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dataframes/"/>
    </mc:Choice>
  </mc:AlternateContent>
  <xr:revisionPtr revIDLastSave="1161" documentId="11_2C44BDEC2040C98AC652E4F9CCB6DDBC1898AE30" xr6:coauthVersionLast="47" xr6:coauthVersionMax="47" xr10:uidLastSave="{6A3B7058-CC06-4479-930A-48BEE5B042C1}"/>
  <bookViews>
    <workbookView xWindow="-120" yWindow="-120" windowWidth="29040" windowHeight="15840" firstSheet="3" activeTab="11" xr2:uid="{00000000-000D-0000-FFFF-FFFF00000000}"/>
  </bookViews>
  <sheets>
    <sheet name="all" sheetId="1" r:id="rId1"/>
    <sheet name="sources" sheetId="2" r:id="rId2"/>
    <sheet name="0307-table1" sheetId="4" r:id="rId3"/>
    <sheet name="0307-table2" sheetId="5" r:id="rId4"/>
    <sheet name="0308-table5" sheetId="11" r:id="rId5"/>
    <sheet name="0319-table1" sheetId="12" r:id="rId6"/>
    <sheet name="0501-table2" sheetId="6" r:id="rId7"/>
    <sheet name="0501-table3" sheetId="7" r:id="rId8"/>
    <sheet name="0502-table1" sheetId="3" r:id="rId9"/>
    <sheet name="0504-figure1" sheetId="8" r:id="rId10"/>
    <sheet name="0505-table1" sheetId="9" r:id="rId11"/>
    <sheet name="0506-table1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/>
  <c r="E182" i="1"/>
  <c r="B183" i="1"/>
  <c r="C183" i="1"/>
  <c r="E183" i="1"/>
  <c r="B184" i="1"/>
  <c r="C184" i="1"/>
  <c r="E184" i="1"/>
  <c r="B185" i="1"/>
  <c r="C185" i="1"/>
  <c r="E185" i="1"/>
  <c r="B186" i="1"/>
  <c r="C186" i="1"/>
  <c r="E186" i="1"/>
  <c r="B187" i="1"/>
  <c r="C187" i="1"/>
  <c r="E187" i="1"/>
  <c r="N3" i="12"/>
  <c r="N4" i="12"/>
  <c r="N5" i="12"/>
  <c r="N6" i="12"/>
  <c r="N7" i="12"/>
  <c r="N2" i="12"/>
  <c r="M3" i="12"/>
  <c r="M4" i="12"/>
  <c r="M5" i="12"/>
  <c r="M6" i="12"/>
  <c r="M7" i="12"/>
  <c r="M2" i="12"/>
  <c r="J7" i="12"/>
  <c r="J2" i="12"/>
  <c r="I3" i="12"/>
  <c r="K3" i="12" s="1"/>
  <c r="P3" i="12" s="1"/>
  <c r="I4" i="12"/>
  <c r="I6" i="12"/>
  <c r="I2" i="12"/>
  <c r="K2" i="12" s="1"/>
  <c r="P2" i="12" s="1"/>
  <c r="G2" i="12"/>
  <c r="J3" i="12" s="1"/>
  <c r="F2" i="12"/>
  <c r="I5" i="12" s="1"/>
  <c r="B177" i="1"/>
  <c r="C177" i="1"/>
  <c r="E177" i="1"/>
  <c r="B178" i="1"/>
  <c r="C178" i="1"/>
  <c r="E178" i="1"/>
  <c r="B179" i="1"/>
  <c r="C179" i="1"/>
  <c r="E179" i="1"/>
  <c r="B180" i="1"/>
  <c r="C180" i="1"/>
  <c r="E180" i="1"/>
  <c r="B181" i="1"/>
  <c r="C181" i="1"/>
  <c r="E181" i="1"/>
  <c r="I3" i="11"/>
  <c r="I4" i="11"/>
  <c r="I5" i="11"/>
  <c r="I6" i="11"/>
  <c r="I2" i="11"/>
  <c r="H3" i="11"/>
  <c r="H4" i="11"/>
  <c r="H5" i="11"/>
  <c r="H6" i="11"/>
  <c r="H2" i="11"/>
  <c r="G3" i="11"/>
  <c r="G4" i="11"/>
  <c r="G5" i="11"/>
  <c r="G6" i="11"/>
  <c r="G2" i="11"/>
  <c r="B157" i="1"/>
  <c r="C157" i="1"/>
  <c r="D157" i="1"/>
  <c r="B158" i="1"/>
  <c r="C158" i="1"/>
  <c r="D158" i="1"/>
  <c r="B159" i="1"/>
  <c r="C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G3" i="10"/>
  <c r="G4" i="10"/>
  <c r="D159" i="1" s="1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" i="10"/>
  <c r="B149" i="1"/>
  <c r="C149" i="1"/>
  <c r="E149" i="1"/>
  <c r="B150" i="1"/>
  <c r="C150" i="1"/>
  <c r="E150" i="1"/>
  <c r="B151" i="1"/>
  <c r="C151" i="1"/>
  <c r="E151" i="1"/>
  <c r="B152" i="1"/>
  <c r="C152" i="1"/>
  <c r="E152" i="1"/>
  <c r="B153" i="1"/>
  <c r="C153" i="1"/>
  <c r="E153" i="1"/>
  <c r="B154" i="1"/>
  <c r="C154" i="1"/>
  <c r="E154" i="1"/>
  <c r="B155" i="1"/>
  <c r="C155" i="1"/>
  <c r="E155" i="1"/>
  <c r="B156" i="1"/>
  <c r="C156" i="1"/>
  <c r="E156" i="1"/>
  <c r="R3" i="9"/>
  <c r="R4" i="9"/>
  <c r="R5" i="9"/>
  <c r="R6" i="9"/>
  <c r="R7" i="9"/>
  <c r="R8" i="9"/>
  <c r="R9" i="9"/>
  <c r="R2" i="9"/>
  <c r="P3" i="9"/>
  <c r="P4" i="9"/>
  <c r="P5" i="9"/>
  <c r="P6" i="9"/>
  <c r="P7" i="9"/>
  <c r="P8" i="9"/>
  <c r="P9" i="9"/>
  <c r="P2" i="9"/>
  <c r="O3" i="9"/>
  <c r="O4" i="9"/>
  <c r="O5" i="9"/>
  <c r="O6" i="9"/>
  <c r="O7" i="9"/>
  <c r="O8" i="9"/>
  <c r="O9" i="9"/>
  <c r="O2" i="9"/>
  <c r="K3" i="9"/>
  <c r="K4" i="9"/>
  <c r="K5" i="9"/>
  <c r="K6" i="9"/>
  <c r="K7" i="9"/>
  <c r="K8" i="9"/>
  <c r="K9" i="9"/>
  <c r="K2" i="9"/>
  <c r="H2" i="9"/>
  <c r="G2" i="9"/>
  <c r="J3" i="9" s="1"/>
  <c r="B146" i="1"/>
  <c r="C146" i="1"/>
  <c r="E146" i="1"/>
  <c r="B147" i="1"/>
  <c r="C147" i="1"/>
  <c r="E147" i="1"/>
  <c r="B148" i="1"/>
  <c r="C148" i="1"/>
  <c r="E148" i="1"/>
  <c r="K3" i="8"/>
  <c r="K4" i="8"/>
  <c r="K2" i="8"/>
  <c r="J3" i="8"/>
  <c r="J4" i="8"/>
  <c r="J2" i="8"/>
  <c r="M3" i="8"/>
  <c r="M4" i="8"/>
  <c r="M2" i="8"/>
  <c r="H2" i="8"/>
  <c r="G2" i="8"/>
  <c r="E3" i="8"/>
  <c r="E4" i="8"/>
  <c r="E2" i="8"/>
  <c r="B118" i="1"/>
  <c r="C118" i="1"/>
  <c r="D118" i="1"/>
  <c r="B119" i="1"/>
  <c r="C119" i="1"/>
  <c r="E119" i="1"/>
  <c r="B113" i="1"/>
  <c r="C113" i="1"/>
  <c r="D113" i="1"/>
  <c r="B114" i="1"/>
  <c r="C114" i="1"/>
  <c r="B115" i="1"/>
  <c r="C115" i="1"/>
  <c r="D115" i="1"/>
  <c r="B116" i="1"/>
  <c r="C116" i="1"/>
  <c r="B117" i="1"/>
  <c r="C117" i="1"/>
  <c r="D117" i="1"/>
  <c r="P4" i="6"/>
  <c r="P6" i="6"/>
  <c r="P2" i="6"/>
  <c r="O3" i="6"/>
  <c r="O4" i="6"/>
  <c r="O5" i="6"/>
  <c r="O6" i="6"/>
  <c r="O2" i="6"/>
  <c r="N3" i="6"/>
  <c r="N4" i="6"/>
  <c r="N5" i="6"/>
  <c r="N6" i="6"/>
  <c r="N2" i="6"/>
  <c r="G2" i="7"/>
  <c r="F2" i="7"/>
  <c r="E2" i="7"/>
  <c r="A2" i="7"/>
  <c r="L4" i="6"/>
  <c r="L6" i="6"/>
  <c r="L2" i="6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" i="3"/>
  <c r="J3" i="6"/>
  <c r="Q3" i="6" s="1"/>
  <c r="E114" i="1" s="1"/>
  <c r="J5" i="6"/>
  <c r="Q5" i="6" s="1"/>
  <c r="E116" i="1" s="1"/>
  <c r="J6" i="6"/>
  <c r="K6" i="6" s="1"/>
  <c r="J2" i="6"/>
  <c r="Q2" i="6" s="1"/>
  <c r="E113" i="1" s="1"/>
  <c r="H2" i="6"/>
  <c r="G2" i="6"/>
  <c r="B120" i="1"/>
  <c r="C120" i="1"/>
  <c r="E120" i="1"/>
  <c r="B121" i="1"/>
  <c r="C121" i="1"/>
  <c r="E121" i="1"/>
  <c r="B122" i="1"/>
  <c r="C122" i="1"/>
  <c r="E122" i="1"/>
  <c r="B123" i="1"/>
  <c r="C123" i="1"/>
  <c r="E123" i="1"/>
  <c r="B124" i="1"/>
  <c r="C124" i="1"/>
  <c r="E124" i="1"/>
  <c r="B125" i="1"/>
  <c r="C125" i="1"/>
  <c r="E125" i="1"/>
  <c r="B126" i="1"/>
  <c r="C126" i="1"/>
  <c r="E126" i="1"/>
  <c r="B127" i="1"/>
  <c r="C127" i="1"/>
  <c r="E127" i="1"/>
  <c r="B128" i="1"/>
  <c r="C128" i="1"/>
  <c r="E128" i="1"/>
  <c r="B129" i="1"/>
  <c r="C129" i="1"/>
  <c r="E129" i="1"/>
  <c r="B130" i="1"/>
  <c r="C130" i="1"/>
  <c r="E130" i="1"/>
  <c r="B131" i="1"/>
  <c r="C131" i="1"/>
  <c r="E131" i="1"/>
  <c r="B132" i="1"/>
  <c r="C132" i="1"/>
  <c r="E132" i="1"/>
  <c r="B133" i="1"/>
  <c r="C133" i="1"/>
  <c r="E133" i="1"/>
  <c r="B134" i="1"/>
  <c r="C134" i="1"/>
  <c r="E134" i="1"/>
  <c r="B135" i="1"/>
  <c r="C135" i="1"/>
  <c r="E135" i="1"/>
  <c r="B136" i="1"/>
  <c r="C136" i="1"/>
  <c r="E136" i="1"/>
  <c r="B137" i="1"/>
  <c r="C137" i="1"/>
  <c r="E137" i="1"/>
  <c r="B138" i="1"/>
  <c r="C138" i="1"/>
  <c r="E138" i="1"/>
  <c r="B139" i="1"/>
  <c r="C139" i="1"/>
  <c r="E139" i="1"/>
  <c r="B140" i="1"/>
  <c r="C140" i="1"/>
  <c r="E140" i="1"/>
  <c r="B141" i="1"/>
  <c r="C141" i="1"/>
  <c r="E141" i="1"/>
  <c r="B142" i="1"/>
  <c r="C142" i="1"/>
  <c r="E142" i="1"/>
  <c r="B143" i="1"/>
  <c r="C143" i="1"/>
  <c r="E143" i="1"/>
  <c r="B144" i="1"/>
  <c r="C144" i="1"/>
  <c r="E144" i="1"/>
  <c r="B145" i="1"/>
  <c r="C145" i="1"/>
  <c r="E145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2" i="1"/>
  <c r="C2" i="1"/>
  <c r="D2" i="1"/>
  <c r="B3" i="1"/>
  <c r="C3" i="1"/>
  <c r="D3" i="1"/>
  <c r="B4" i="1"/>
  <c r="C4" i="1"/>
  <c r="D4" i="1"/>
  <c r="B5" i="1"/>
  <c r="C5" i="1"/>
  <c r="D5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B50" i="1"/>
  <c r="C50" i="1"/>
  <c r="D50" i="1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N2" i="5"/>
  <c r="P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B81" i="1" s="1"/>
  <c r="K33" i="5"/>
  <c r="K34" i="5"/>
  <c r="K35" i="5"/>
  <c r="K36" i="5"/>
  <c r="K37" i="5"/>
  <c r="K38" i="5"/>
  <c r="K39" i="5"/>
  <c r="K40" i="5"/>
  <c r="K41" i="5"/>
  <c r="K42" i="5"/>
  <c r="K43" i="5"/>
  <c r="K44" i="5"/>
  <c r="B93" i="1" s="1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D49" i="1" s="1"/>
  <c r="J50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2" i="4"/>
  <c r="I8" i="3"/>
  <c r="I9" i="3"/>
  <c r="I10" i="3"/>
  <c r="I16" i="3"/>
  <c r="I17" i="3"/>
  <c r="I18" i="3"/>
  <c r="I24" i="3"/>
  <c r="I25" i="3"/>
  <c r="I26" i="3"/>
  <c r="G2" i="3"/>
  <c r="I7" i="3" s="1"/>
  <c r="F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" i="3"/>
  <c r="J6" i="12" l="1"/>
  <c r="K6" i="12" s="1"/>
  <c r="P6" i="12" s="1"/>
  <c r="J5" i="12"/>
  <c r="K5" i="12" s="1"/>
  <c r="P5" i="12" s="1"/>
  <c r="J4" i="12"/>
  <c r="K4" i="12" s="1"/>
  <c r="P4" i="12" s="1"/>
  <c r="I7" i="12"/>
  <c r="K7" i="12" s="1"/>
  <c r="P7" i="12" s="1"/>
  <c r="J9" i="9"/>
  <c r="J2" i="9"/>
  <c r="M2" i="9" s="1"/>
  <c r="M9" i="9"/>
  <c r="J7" i="9"/>
  <c r="J8" i="9"/>
  <c r="M8" i="9" s="1"/>
  <c r="J6" i="9"/>
  <c r="J5" i="9"/>
  <c r="J4" i="9"/>
  <c r="M3" i="9"/>
  <c r="K2" i="6"/>
  <c r="K5" i="6"/>
  <c r="K3" i="6"/>
  <c r="Q6" i="6"/>
  <c r="E117" i="1" s="1"/>
  <c r="I23" i="3"/>
  <c r="M23" i="3" s="1"/>
  <c r="N23" i="3" s="1"/>
  <c r="I15" i="3"/>
  <c r="M15" i="3" s="1"/>
  <c r="N15" i="3" s="1"/>
  <c r="I22" i="3"/>
  <c r="I14" i="3"/>
  <c r="M14" i="3" s="1"/>
  <c r="N14" i="3" s="1"/>
  <c r="I6" i="3"/>
  <c r="M6" i="3" s="1"/>
  <c r="N6" i="3" s="1"/>
  <c r="I2" i="3"/>
  <c r="I21" i="3"/>
  <c r="M21" i="3" s="1"/>
  <c r="N21" i="3" s="1"/>
  <c r="I13" i="3"/>
  <c r="M13" i="3" s="1"/>
  <c r="N13" i="3" s="1"/>
  <c r="I5" i="3"/>
  <c r="M5" i="3" s="1"/>
  <c r="N5" i="3" s="1"/>
  <c r="I28" i="3"/>
  <c r="I20" i="3"/>
  <c r="I12" i="3"/>
  <c r="I4" i="3"/>
  <c r="I27" i="3"/>
  <c r="I19" i="3"/>
  <c r="I11" i="3"/>
  <c r="M11" i="3" s="1"/>
  <c r="N11" i="3" s="1"/>
  <c r="I3" i="3"/>
  <c r="M3" i="3" s="1"/>
  <c r="N3" i="3" s="1"/>
  <c r="M28" i="3"/>
  <c r="N28" i="3" s="1"/>
  <c r="M20" i="3"/>
  <c r="N20" i="3" s="1"/>
  <c r="M12" i="3"/>
  <c r="N12" i="3" s="1"/>
  <c r="M4" i="3"/>
  <c r="N4" i="3" s="1"/>
  <c r="M27" i="3"/>
  <c r="N27" i="3" s="1"/>
  <c r="M19" i="3"/>
  <c r="N19" i="3" s="1"/>
  <c r="M26" i="3"/>
  <c r="N26" i="3" s="1"/>
  <c r="M25" i="3"/>
  <c r="N25" i="3" s="1"/>
  <c r="M17" i="3"/>
  <c r="N17" i="3" s="1"/>
  <c r="M9" i="3"/>
  <c r="N9" i="3" s="1"/>
  <c r="M18" i="3"/>
  <c r="N18" i="3" s="1"/>
  <c r="M24" i="3"/>
  <c r="N24" i="3" s="1"/>
  <c r="M16" i="3"/>
  <c r="N16" i="3" s="1"/>
  <c r="M8" i="3"/>
  <c r="N8" i="3" s="1"/>
  <c r="M10" i="3"/>
  <c r="N10" i="3" s="1"/>
  <c r="M7" i="3"/>
  <c r="N7" i="3" s="1"/>
  <c r="M22" i="3"/>
  <c r="N22" i="3" s="1"/>
  <c r="M2" i="3"/>
  <c r="N2" i="3" s="1"/>
  <c r="M6" i="9" l="1"/>
  <c r="M4" i="9"/>
  <c r="M7" i="9"/>
  <c r="M5" i="9"/>
</calcChain>
</file>

<file path=xl/sharedStrings.xml><?xml version="1.0" encoding="utf-8"?>
<sst xmlns="http://schemas.openxmlformats.org/spreadsheetml/2006/main" count="145" uniqueCount="58">
  <si>
    <t>Papers</t>
  </si>
  <si>
    <t>comments</t>
  </si>
  <si>
    <t>status</t>
  </si>
  <si>
    <t>its in german</t>
  </si>
  <si>
    <t>pressure (atm)</t>
  </si>
  <si>
    <t>temperature ©</t>
  </si>
  <si>
    <t>solubility (cc of H2 at STP per g of ammonia)</t>
  </si>
  <si>
    <t>P</t>
  </si>
  <si>
    <t>T</t>
  </si>
  <si>
    <t>x_H2</t>
  </si>
  <si>
    <t>x_NH3</t>
  </si>
  <si>
    <t>n''_H2/n''_NH3</t>
  </si>
  <si>
    <t>rho_H2_STP (kg/m3)</t>
  </si>
  <si>
    <t>M_H2 (kg/mol)</t>
  </si>
  <si>
    <t>M_NH3 (kg/mol)</t>
  </si>
  <si>
    <t>has very little data and detail</t>
  </si>
  <si>
    <t>done</t>
  </si>
  <si>
    <t>Pressure (PSI)</t>
  </si>
  <si>
    <t>Temperature (F)</t>
  </si>
  <si>
    <t>y_H2</t>
  </si>
  <si>
    <t>pressure (PSI)</t>
  </si>
  <si>
    <t>Temperature(F)</t>
  </si>
  <si>
    <t>K_H2</t>
  </si>
  <si>
    <t>K_NH3</t>
  </si>
  <si>
    <t>Psi to Pa</t>
  </si>
  <si>
    <t>F to K</t>
  </si>
  <si>
    <t>(F-32)*5/9+273.15</t>
  </si>
  <si>
    <t>Paper</t>
  </si>
  <si>
    <t>L (cc of H2 in NTP per g of NH3)</t>
  </si>
  <si>
    <t>P(bar)</t>
  </si>
  <si>
    <t>T©</t>
  </si>
  <si>
    <t>rho_H2 at NTP (kg/m3)</t>
  </si>
  <si>
    <t>y_NH3</t>
  </si>
  <si>
    <t>P (Pa)</t>
  </si>
  <si>
    <t>T(K)</t>
  </si>
  <si>
    <t>w_i (ppm)</t>
  </si>
  <si>
    <t>w_H2</t>
  </si>
  <si>
    <t>P_i (bar)</t>
  </si>
  <si>
    <t>Volume of H₂ dissolved (cm³ per 100 cm³ NH₃)</t>
  </si>
  <si>
    <t>P(atm)</t>
  </si>
  <si>
    <t>its in russian, only table 1 provides raw experimental results, used Copilot to translate the table and document</t>
  </si>
  <si>
    <t>n_H2</t>
  </si>
  <si>
    <t>n_NH3</t>
  </si>
  <si>
    <t>rho_NH3 (kg/m3)</t>
  </si>
  <si>
    <t>(these values are from NIST)</t>
  </si>
  <si>
    <t>both Copilot and google translate were used to obtain the data from table 1</t>
  </si>
  <si>
    <t>the other tables do not contain any information on ammonia-hydrogen system</t>
  </si>
  <si>
    <t>not VLE, lkely single phase gaseous mixture, still useful but not VLE</t>
  </si>
  <si>
    <t>this is the data [0301] says it uses</t>
  </si>
  <si>
    <t>P(psig)</t>
  </si>
  <si>
    <t>x_H2*1e4</t>
  </si>
  <si>
    <t>1psig = pa</t>
  </si>
  <si>
    <t>not a lot of data, only table 5 was used, table 5 is not fully experimental but is obtained from measurements</t>
  </si>
  <si>
    <t>cc of H2 at stp per g of ammonia</t>
  </si>
  <si>
    <t>rho_H2 at STP (kg/m3)</t>
  </si>
  <si>
    <t>relates to nitrogen-hydrogen-ammonia system, not relevant to me</t>
  </si>
  <si>
    <t>no actual experimental data, this relates to the developemnt of a method</t>
  </si>
  <si>
    <t>its in russian, used Copilot to translate the table and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</si>
</sst>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Source Sans Pro"/>
      <family val="2"/>
    </font>
    <font>
      <sz val="13"/>
      <color rgb="FF000000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"/>
  <sheetViews>
    <sheetView topLeftCell="A13" workbookViewId="0">
      <selection activeCell="A47" sqref="A47"/>
    </sheetView>
  </sheetViews>
  <sheetFormatPr defaultRowHeight="15" x14ac:dyDescent="0.25"/>
  <sheetData>
    <row r="1" spans="1:5" x14ac:dyDescent="0.25">
      <c r="A1" t="s">
        <v>27</v>
      </c>
      <c r="B1" t="s">
        <v>7</v>
      </c>
      <c r="C1" t="s">
        <v>8</v>
      </c>
      <c r="D1" t="s">
        <v>19</v>
      </c>
      <c r="E1" t="s">
        <v>9</v>
      </c>
    </row>
    <row r="2" spans="1:5" x14ac:dyDescent="0.25">
      <c r="A2">
        <v>307</v>
      </c>
      <c r="B2">
        <f>'0307-table1'!H2</f>
        <v>1538703.5892</v>
      </c>
      <c r="C2">
        <f>'0307-table1'!I2</f>
        <v>277.59444444444443</v>
      </c>
      <c r="D2">
        <f>'0307-table1'!J2</f>
        <v>0.66010000000000002</v>
      </c>
    </row>
    <row r="3" spans="1:5" x14ac:dyDescent="0.25">
      <c r="A3">
        <v>307</v>
      </c>
      <c r="B3">
        <f>'0307-table1'!H3</f>
        <v>2612700.3544000001</v>
      </c>
      <c r="C3">
        <f>'0307-table1'!I3</f>
        <v>277.59444444444443</v>
      </c>
      <c r="D3">
        <f>'0307-table1'!J3</f>
        <v>0.79069999999999996</v>
      </c>
    </row>
    <row r="4" spans="1:5" x14ac:dyDescent="0.25">
      <c r="A4">
        <v>307</v>
      </c>
      <c r="B4">
        <f>'0307-table1'!H4</f>
        <v>3441588.4016000004</v>
      </c>
      <c r="C4">
        <f>'0307-table1'!I4</f>
        <v>277.59444444444443</v>
      </c>
      <c r="D4">
        <f>'0307-table1'!J4</f>
        <v>0.83699999999999997</v>
      </c>
    </row>
    <row r="5" spans="1:5" x14ac:dyDescent="0.25">
      <c r="A5">
        <v>307</v>
      </c>
      <c r="B5">
        <f>'0307-table1'!H5</f>
        <v>4825780.4191999994</v>
      </c>
      <c r="C5">
        <f>'0307-table1'!I5</f>
        <v>277.59444444444443</v>
      </c>
      <c r="D5">
        <f>'0307-table1'!J5</f>
        <v>0.88039999999999996</v>
      </c>
    </row>
    <row r="6" spans="1:5" x14ac:dyDescent="0.25">
      <c r="A6">
        <v>307</v>
      </c>
      <c r="B6">
        <f>'0307-table1'!H6</f>
        <v>7812176.7655999996</v>
      </c>
      <c r="C6">
        <f>'0307-table1'!I6</f>
        <v>277.59444444444443</v>
      </c>
      <c r="D6">
        <f>'0307-table1'!J6</f>
        <v>0.92179999999999995</v>
      </c>
    </row>
    <row r="7" spans="1:5" x14ac:dyDescent="0.25">
      <c r="A7">
        <v>307</v>
      </c>
      <c r="B7">
        <f>'0307-table1'!H7</f>
        <v>10376200.114400001</v>
      </c>
      <c r="C7">
        <f>'0307-table1'!I7</f>
        <v>277.59444444444443</v>
      </c>
      <c r="D7">
        <f>'0307-table1'!J7</f>
        <v>0.94010000000000005</v>
      </c>
    </row>
    <row r="8" spans="1:5" x14ac:dyDescent="0.25">
      <c r="A8">
        <v>307</v>
      </c>
      <c r="B8">
        <f>'0307-table1'!H8</f>
        <v>14421286.858800001</v>
      </c>
      <c r="C8">
        <f>'0307-table1'!I8</f>
        <v>277.59444444444443</v>
      </c>
      <c r="D8">
        <f>'0307-table1'!J8</f>
        <v>0.95399999999999996</v>
      </c>
    </row>
    <row r="9" spans="1:5" x14ac:dyDescent="0.25">
      <c r="A9">
        <v>307</v>
      </c>
      <c r="B9">
        <f>'0307-table1'!H9</f>
        <v>22066196.746799998</v>
      </c>
      <c r="C9">
        <f>'0307-table1'!I9</f>
        <v>277.59444444444443</v>
      </c>
      <c r="D9">
        <f>'0307-table1'!J9</f>
        <v>0.96379999999999999</v>
      </c>
    </row>
    <row r="10" spans="1:5" x14ac:dyDescent="0.25">
      <c r="A10">
        <v>307</v>
      </c>
      <c r="B10">
        <f>'0307-table1'!H10</f>
        <v>31719688.118000001</v>
      </c>
      <c r="C10">
        <f>'0307-table1'!I10</f>
        <v>277.59444444444443</v>
      </c>
      <c r="D10">
        <f>'0307-table1'!J10</f>
        <v>0.97019999999999995</v>
      </c>
    </row>
    <row r="11" spans="1:5" x14ac:dyDescent="0.25">
      <c r="A11">
        <v>307</v>
      </c>
      <c r="B11">
        <f>'0307-table1'!H11</f>
        <v>35947899.688000001</v>
      </c>
      <c r="C11">
        <f>'0307-table1'!I11</f>
        <v>277.59444444444443</v>
      </c>
      <c r="D11">
        <f>'0307-table1'!J11</f>
        <v>0.97070000000000001</v>
      </c>
    </row>
    <row r="12" spans="1:5" x14ac:dyDescent="0.25">
      <c r="A12">
        <v>307</v>
      </c>
      <c r="B12">
        <f>'0307-table1'!H12</f>
        <v>2455844.5644</v>
      </c>
      <c r="C12">
        <f>'0307-table1'!I12</f>
        <v>310.92777777777775</v>
      </c>
      <c r="D12">
        <f>'0307-table1'!J12</f>
        <v>0.37430000000000002</v>
      </c>
    </row>
    <row r="13" spans="1:5" x14ac:dyDescent="0.25">
      <c r="A13">
        <v>307</v>
      </c>
      <c r="B13">
        <f>'0307-table1'!H13</f>
        <v>3608855.2791999998</v>
      </c>
      <c r="C13">
        <f>'0307-table1'!I13</f>
        <v>310.92777777777775</v>
      </c>
      <c r="D13">
        <f>'0307-table1'!J13</f>
        <v>0.55510000000000004</v>
      </c>
    </row>
    <row r="14" spans="1:5" x14ac:dyDescent="0.25">
      <c r="A14">
        <v>307</v>
      </c>
      <c r="B14">
        <f>'0307-table1'!H14</f>
        <v>5244430.2464000005</v>
      </c>
      <c r="C14">
        <f>'0307-table1'!I14</f>
        <v>310.92777777777775</v>
      </c>
      <c r="D14">
        <f>'0307-table1'!J14</f>
        <v>0.67320000000000002</v>
      </c>
    </row>
    <row r="15" spans="1:5" x14ac:dyDescent="0.25">
      <c r="A15">
        <v>307</v>
      </c>
      <c r="B15">
        <f>'0307-table1'!H15</f>
        <v>5650255.8200000003</v>
      </c>
      <c r="C15">
        <f>'0307-table1'!I15</f>
        <v>310.92777777777775</v>
      </c>
      <c r="D15">
        <f>'0307-table1'!J15</f>
        <v>0.6956</v>
      </c>
    </row>
    <row r="16" spans="1:5" x14ac:dyDescent="0.25">
      <c r="A16">
        <v>307</v>
      </c>
      <c r="B16">
        <f>'0307-table1'!H16</f>
        <v>6203422.4148000004</v>
      </c>
      <c r="C16">
        <f>'0307-table1'!I16</f>
        <v>310.92777777777775</v>
      </c>
      <c r="D16">
        <f>'0307-table1'!J16</f>
        <v>0.72789999999999999</v>
      </c>
    </row>
    <row r="17" spans="1:4" x14ac:dyDescent="0.25">
      <c r="A17">
        <v>307</v>
      </c>
      <c r="B17">
        <f>'0307-table1'!H17</f>
        <v>6964190.2332000006</v>
      </c>
      <c r="C17">
        <f>'0307-table1'!I17</f>
        <v>310.92777777777775</v>
      </c>
      <c r="D17">
        <f>'0307-table1'!J17</f>
        <v>0.74390000000000001</v>
      </c>
    </row>
    <row r="18" spans="1:4" x14ac:dyDescent="0.25">
      <c r="A18">
        <v>307</v>
      </c>
      <c r="B18">
        <f>'0307-table1'!H18</f>
        <v>8362240.7183999997</v>
      </c>
      <c r="C18">
        <f>'0307-table1'!I18</f>
        <v>310.92777777777775</v>
      </c>
      <c r="D18">
        <f>'0307-table1'!J18</f>
        <v>0.78779999999999994</v>
      </c>
    </row>
    <row r="19" spans="1:4" x14ac:dyDescent="0.25">
      <c r="A19">
        <v>307</v>
      </c>
      <c r="B19">
        <f>'0307-table1'!H19</f>
        <v>11655384.937200001</v>
      </c>
      <c r="C19">
        <f>'0307-table1'!I19</f>
        <v>310.92777777777775</v>
      </c>
      <c r="D19">
        <f>'0307-table1'!J19</f>
        <v>0.83630000000000004</v>
      </c>
    </row>
    <row r="20" spans="1:4" x14ac:dyDescent="0.25">
      <c r="A20">
        <v>307</v>
      </c>
      <c r="B20">
        <f>'0307-table1'!H20</f>
        <v>14319864.939200001</v>
      </c>
      <c r="C20">
        <f>'0307-table1'!I20</f>
        <v>310.92777777777775</v>
      </c>
      <c r="D20">
        <f>'0307-table1'!J20</f>
        <v>0.85880000000000001</v>
      </c>
    </row>
    <row r="21" spans="1:4" x14ac:dyDescent="0.25">
      <c r="A21">
        <v>307</v>
      </c>
      <c r="B21">
        <f>'0307-table1'!H21</f>
        <v>17933201.812399998</v>
      </c>
      <c r="C21">
        <f>'0307-table1'!I21</f>
        <v>310.92777777777775</v>
      </c>
      <c r="D21">
        <f>'0307-table1'!J21</f>
        <v>0.88100000000000001</v>
      </c>
    </row>
    <row r="22" spans="1:4" x14ac:dyDescent="0.25">
      <c r="A22">
        <v>307</v>
      </c>
      <c r="B22">
        <f>'0307-table1'!H22</f>
        <v>21157122.640799999</v>
      </c>
      <c r="C22">
        <f>'0307-table1'!I22</f>
        <v>310.92777777777775</v>
      </c>
      <c r="D22">
        <f>'0307-table1'!J22</f>
        <v>0.89119999999999999</v>
      </c>
    </row>
    <row r="23" spans="1:4" x14ac:dyDescent="0.25">
      <c r="A23">
        <v>307</v>
      </c>
      <c r="B23">
        <f>'0307-table1'!H23</f>
        <v>30634246.051199999</v>
      </c>
      <c r="C23">
        <f>'0307-table1'!I23</f>
        <v>310.92777777777775</v>
      </c>
      <c r="D23">
        <f>'0307-table1'!J23</f>
        <v>0.91659999999999997</v>
      </c>
    </row>
    <row r="24" spans="1:4" x14ac:dyDescent="0.25">
      <c r="A24">
        <v>307</v>
      </c>
      <c r="B24">
        <f>'0307-table1'!H24</f>
        <v>40736862.088800006</v>
      </c>
      <c r="C24">
        <f>'0307-table1'!I24</f>
        <v>310.92777777777775</v>
      </c>
      <c r="D24">
        <f>'0307-table1'!J24</f>
        <v>0.92620000000000002</v>
      </c>
    </row>
    <row r="25" spans="1:4" x14ac:dyDescent="0.25">
      <c r="A25">
        <v>307</v>
      </c>
      <c r="B25">
        <f>'0307-table1'!H25</f>
        <v>5407698.1632000003</v>
      </c>
      <c r="C25">
        <f>'0307-table1'!I25</f>
        <v>344.26111111111106</v>
      </c>
      <c r="D25">
        <f>'0307-table1'!J25</f>
        <v>0.3044</v>
      </c>
    </row>
    <row r="26" spans="1:4" x14ac:dyDescent="0.25">
      <c r="A26">
        <v>307</v>
      </c>
      <c r="B26">
        <f>'0307-table1'!H26</f>
        <v>7287416.5820000004</v>
      </c>
      <c r="C26">
        <f>'0307-table1'!I26</f>
        <v>344.26111111111106</v>
      </c>
      <c r="D26">
        <f>'0307-table1'!J26</f>
        <v>0.44440000000000002</v>
      </c>
    </row>
    <row r="27" spans="1:4" x14ac:dyDescent="0.25">
      <c r="A27">
        <v>307</v>
      </c>
      <c r="B27">
        <f>'0307-table1'!H27</f>
        <v>9861230.4900000002</v>
      </c>
      <c r="C27">
        <f>'0307-table1'!I27</f>
        <v>344.26111111111106</v>
      </c>
      <c r="D27">
        <f>'0307-table1'!J27</f>
        <v>0.56200000000000006</v>
      </c>
    </row>
    <row r="28" spans="1:4" x14ac:dyDescent="0.25">
      <c r="A28">
        <v>307</v>
      </c>
      <c r="B28">
        <f>'0307-table1'!H28</f>
        <v>12485445.093599999</v>
      </c>
      <c r="C28">
        <f>'0307-table1'!I28</f>
        <v>344.26111111111106</v>
      </c>
      <c r="D28">
        <f>'0307-table1'!J28</f>
        <v>0.63009999999999999</v>
      </c>
    </row>
    <row r="29" spans="1:4" x14ac:dyDescent="0.25">
      <c r="A29">
        <v>307</v>
      </c>
      <c r="B29">
        <f>'0307-table1'!H29</f>
        <v>16165247.453200001</v>
      </c>
      <c r="C29">
        <f>'0307-table1'!I29</f>
        <v>344.26111111111106</v>
      </c>
      <c r="D29">
        <f>'0307-table1'!J29</f>
        <v>0.69120000000000004</v>
      </c>
    </row>
    <row r="30" spans="1:4" x14ac:dyDescent="0.25">
      <c r="A30">
        <v>307</v>
      </c>
      <c r="B30">
        <f>'0307-table1'!H30</f>
        <v>23442459.790400002</v>
      </c>
      <c r="C30">
        <f>'0307-table1'!I30</f>
        <v>344.26111111111106</v>
      </c>
      <c r="D30">
        <f>'0307-table1'!J30</f>
        <v>0.75960000000000005</v>
      </c>
    </row>
    <row r="31" spans="1:4" x14ac:dyDescent="0.25">
      <c r="A31">
        <v>307</v>
      </c>
      <c r="B31">
        <f>'0307-table1'!H31</f>
        <v>31113845.556800004</v>
      </c>
      <c r="C31">
        <f>'0307-table1'!I31</f>
        <v>344.26111111111106</v>
      </c>
      <c r="D31">
        <f>'0307-table1'!J31</f>
        <v>0.79859999999999998</v>
      </c>
    </row>
    <row r="32" spans="1:4" x14ac:dyDescent="0.25">
      <c r="A32">
        <v>307</v>
      </c>
      <c r="B32">
        <f>'0307-table1'!H32</f>
        <v>37918146.305600002</v>
      </c>
      <c r="C32">
        <f>'0307-table1'!I32</f>
        <v>344.26111111111106</v>
      </c>
      <c r="D32">
        <f>'0307-table1'!J32</f>
        <v>0.81850000000000001</v>
      </c>
    </row>
    <row r="33" spans="1:4" x14ac:dyDescent="0.25">
      <c r="A33">
        <v>307</v>
      </c>
      <c r="B33">
        <f>'0307-table1'!H33</f>
        <v>10729349.721600002</v>
      </c>
      <c r="C33">
        <f>'0307-table1'!I33</f>
        <v>377.59444444444443</v>
      </c>
      <c r="D33">
        <f>'0307-table1'!J33</f>
        <v>0.23119999999999999</v>
      </c>
    </row>
    <row r="34" spans="1:4" x14ac:dyDescent="0.25">
      <c r="A34">
        <v>307</v>
      </c>
      <c r="B34">
        <f>'0307-table1'!H34</f>
        <v>12041353.602</v>
      </c>
      <c r="C34">
        <f>'0307-table1'!I34</f>
        <v>377.59444444444443</v>
      </c>
      <c r="D34">
        <f>'0307-table1'!J34</f>
        <v>0.2772</v>
      </c>
    </row>
    <row r="35" spans="1:4" x14ac:dyDescent="0.25">
      <c r="A35">
        <v>307</v>
      </c>
      <c r="B35">
        <f>'0307-table1'!H35</f>
        <v>13567784.5184</v>
      </c>
      <c r="C35">
        <f>'0307-table1'!I35</f>
        <v>377.59444444444443</v>
      </c>
      <c r="D35">
        <f>'0307-table1'!J35</f>
        <v>0.32269999999999999</v>
      </c>
    </row>
    <row r="36" spans="1:4" x14ac:dyDescent="0.25">
      <c r="A36">
        <v>307</v>
      </c>
      <c r="B36">
        <f>'0307-table1'!H36</f>
        <v>15099593.347600002</v>
      </c>
      <c r="C36">
        <f>'0307-table1'!I36</f>
        <v>377.59444444444443</v>
      </c>
      <c r="D36">
        <f>'0307-table1'!J36</f>
        <v>0.35670000000000002</v>
      </c>
    </row>
    <row r="37" spans="1:4" x14ac:dyDescent="0.25">
      <c r="A37">
        <v>307</v>
      </c>
      <c r="B37">
        <f>'0307-table1'!H37</f>
        <v>17250827.415199999</v>
      </c>
      <c r="C37">
        <f>'0307-table1'!I37</f>
        <v>377.59444444444443</v>
      </c>
      <c r="D37">
        <f>'0307-table1'!J37</f>
        <v>0.40660000000000002</v>
      </c>
    </row>
    <row r="38" spans="1:4" x14ac:dyDescent="0.25">
      <c r="A38">
        <v>307</v>
      </c>
      <c r="B38">
        <f>'0307-table1'!H38</f>
        <v>19377860.8752</v>
      </c>
      <c r="C38">
        <f>'0307-table1'!I38</f>
        <v>377.59444444444443</v>
      </c>
      <c r="D38">
        <f>'0307-table1'!J38</f>
        <v>0.44180000000000003</v>
      </c>
    </row>
    <row r="39" spans="1:4" x14ac:dyDescent="0.25">
      <c r="A39">
        <v>307</v>
      </c>
      <c r="B39">
        <f>'0307-table1'!H39</f>
        <v>21261164.569200002</v>
      </c>
      <c r="C39">
        <f>'0307-table1'!I39</f>
        <v>377.59444444444443</v>
      </c>
      <c r="D39">
        <f>'0307-table1'!J39</f>
        <v>0.47060000000000002</v>
      </c>
    </row>
    <row r="40" spans="1:4" x14ac:dyDescent="0.25">
      <c r="A40">
        <v>307</v>
      </c>
      <c r="B40">
        <f>'0307-table1'!H40</f>
        <v>23489344.158400003</v>
      </c>
      <c r="C40">
        <f>'0307-table1'!I40</f>
        <v>377.59444444444443</v>
      </c>
      <c r="D40">
        <f>'0307-table1'!J40</f>
        <v>0.497</v>
      </c>
    </row>
    <row r="41" spans="1:4" x14ac:dyDescent="0.25">
      <c r="A41">
        <v>307</v>
      </c>
      <c r="B41">
        <f>'0307-table1'!H41</f>
        <v>25636096.631999999</v>
      </c>
      <c r="C41">
        <f>'0307-table1'!I41</f>
        <v>377.59444444444443</v>
      </c>
      <c r="D41">
        <f>'0307-table1'!J41</f>
        <v>0.51659999999999995</v>
      </c>
    </row>
    <row r="42" spans="1:4" x14ac:dyDescent="0.25">
      <c r="A42">
        <v>307</v>
      </c>
      <c r="B42">
        <f>'0307-table1'!H42</f>
        <v>27601792.708000001</v>
      </c>
      <c r="C42">
        <f>'0307-table1'!I42</f>
        <v>377.59444444444443</v>
      </c>
      <c r="D42">
        <f>'0307-table1'!J42</f>
        <v>0.53110000000000002</v>
      </c>
    </row>
    <row r="43" spans="1:4" x14ac:dyDescent="0.25">
      <c r="A43">
        <v>307</v>
      </c>
      <c r="B43">
        <f>'0307-table1'!H43</f>
        <v>31008079.9384</v>
      </c>
      <c r="C43">
        <f>'0307-table1'!I43</f>
        <v>377.59444444444443</v>
      </c>
      <c r="D43">
        <f>'0307-table1'!J43</f>
        <v>0.56000000000000005</v>
      </c>
    </row>
    <row r="44" spans="1:4" x14ac:dyDescent="0.25">
      <c r="A44">
        <v>307</v>
      </c>
      <c r="B44">
        <f>'0307-table1'!H44</f>
        <v>33750815.466400005</v>
      </c>
      <c r="C44">
        <f>'0307-table1'!I44</f>
        <v>377.59444444444443</v>
      </c>
      <c r="D44">
        <f>'0307-table1'!J44</f>
        <v>0.57430000000000003</v>
      </c>
    </row>
    <row r="45" spans="1:4" x14ac:dyDescent="0.25">
      <c r="A45">
        <v>307</v>
      </c>
      <c r="B45">
        <f>'0307-table1'!H45</f>
        <v>38191523.5396</v>
      </c>
      <c r="C45">
        <f>'0307-table1'!I45</f>
        <v>377.59444444444443</v>
      </c>
      <c r="D45">
        <f>'0307-table1'!J45</f>
        <v>0.59699999999999998</v>
      </c>
    </row>
    <row r="46" spans="1:4" x14ac:dyDescent="0.25">
      <c r="A46">
        <v>307</v>
      </c>
      <c r="B46">
        <f>'0307-table1'!H46</f>
        <v>41686546.331200004</v>
      </c>
      <c r="C46">
        <f>'0307-table1'!I46</f>
        <v>377.59444444444443</v>
      </c>
      <c r="D46">
        <f>'0307-table1'!J46</f>
        <v>0.60929999999999995</v>
      </c>
    </row>
    <row r="47" spans="1:4" x14ac:dyDescent="0.25">
      <c r="A47">
        <v>307</v>
      </c>
      <c r="B47">
        <f>'0307-table1'!H47</f>
        <v>17407338.4672</v>
      </c>
      <c r="C47">
        <f>'0307-table1'!I47</f>
        <v>394.26111111111106</v>
      </c>
      <c r="D47">
        <f>'0307-table1'!J47</f>
        <v>0.23669999999999999</v>
      </c>
    </row>
    <row r="48" spans="1:4" x14ac:dyDescent="0.25">
      <c r="A48">
        <v>307</v>
      </c>
      <c r="B48">
        <f>'0307-table1'!H48</f>
        <v>21537023.9168</v>
      </c>
      <c r="C48">
        <f>'0307-table1'!I48</f>
        <v>394.26111111111106</v>
      </c>
      <c r="D48">
        <f>'0307-table1'!J48</f>
        <v>0.28839999999999999</v>
      </c>
    </row>
    <row r="49" spans="1:5" x14ac:dyDescent="0.25">
      <c r="A49">
        <v>307</v>
      </c>
      <c r="B49">
        <f>'0307-table1'!H49</f>
        <v>28776108.231199998</v>
      </c>
      <c r="C49">
        <f>'0307-table1'!I49</f>
        <v>394.26111111111106</v>
      </c>
      <c r="D49">
        <f>'0307-table1'!J49</f>
        <v>0.34300000000000003</v>
      </c>
    </row>
    <row r="50" spans="1:5" x14ac:dyDescent="0.25">
      <c r="A50">
        <v>307</v>
      </c>
      <c r="B50">
        <f>'0307-table1'!H50</f>
        <v>31748370.319600001</v>
      </c>
      <c r="C50">
        <f>'0307-table1'!I50</f>
        <v>394.26111111111106</v>
      </c>
      <c r="D50">
        <f>'0307-table1'!J50</f>
        <v>0.35339999999999999</v>
      </c>
    </row>
    <row r="51" spans="1:5" x14ac:dyDescent="0.25">
      <c r="A51">
        <v>307</v>
      </c>
      <c r="B51">
        <f>'0307-table2'!K2</f>
        <v>505385.908</v>
      </c>
      <c r="C51">
        <f>'0307-table2'!L2</f>
        <v>277.59444444444443</v>
      </c>
      <c r="D51">
        <f>'0307-table2'!M2</f>
        <v>0</v>
      </c>
      <c r="E51">
        <f>'0307-table2'!N2</f>
        <v>0</v>
      </c>
    </row>
    <row r="52" spans="1:5" x14ac:dyDescent="0.25">
      <c r="A52">
        <v>307</v>
      </c>
      <c r="B52">
        <f>'0307-table2'!K3</f>
        <v>3447380</v>
      </c>
      <c r="C52">
        <f>'0307-table2'!L3</f>
        <v>277.59444444444443</v>
      </c>
      <c r="D52">
        <f>'0307-table2'!M3</f>
        <v>0.83699999999999997</v>
      </c>
      <c r="E52">
        <f>'0307-table2'!N3</f>
        <v>2.0999999999999999E-3</v>
      </c>
    </row>
    <row r="53" spans="1:5" x14ac:dyDescent="0.25">
      <c r="A53">
        <v>307</v>
      </c>
      <c r="B53">
        <f>'0307-table2'!K4</f>
        <v>6894760</v>
      </c>
      <c r="C53">
        <f>'0307-table2'!L4</f>
        <v>277.59444444444443</v>
      </c>
      <c r="D53">
        <f>'0307-table2'!M4</f>
        <v>0.91439999999999999</v>
      </c>
      <c r="E53">
        <f>'0307-table2'!N4</f>
        <v>4.0000000000000001E-3</v>
      </c>
    </row>
    <row r="54" spans="1:5" x14ac:dyDescent="0.25">
      <c r="A54">
        <v>307</v>
      </c>
      <c r="B54">
        <f>'0307-table2'!K5</f>
        <v>10342140</v>
      </c>
      <c r="C54">
        <f>'0307-table2'!L5</f>
        <v>277.59444444444443</v>
      </c>
      <c r="D54">
        <f>'0307-table2'!M5</f>
        <v>0.94010000000000005</v>
      </c>
      <c r="E54">
        <f>'0307-table2'!N5</f>
        <v>5.4999999999999997E-3</v>
      </c>
    </row>
    <row r="55" spans="1:5" x14ac:dyDescent="0.25">
      <c r="A55">
        <v>307</v>
      </c>
      <c r="B55">
        <f>'0307-table2'!K6</f>
        <v>13789520</v>
      </c>
      <c r="C55">
        <f>'0307-table2'!L6</f>
        <v>277.59444444444443</v>
      </c>
      <c r="D55">
        <f>'0307-table2'!M6</f>
        <v>0.95240000000000002</v>
      </c>
      <c r="E55">
        <f>'0307-table2'!N6</f>
        <v>7.0000000000000001E-3</v>
      </c>
    </row>
    <row r="56" spans="1:5" x14ac:dyDescent="0.25">
      <c r="A56">
        <v>307</v>
      </c>
      <c r="B56">
        <f>'0307-table2'!K7</f>
        <v>17236900</v>
      </c>
      <c r="C56">
        <f>'0307-table2'!L7</f>
        <v>277.59444444444443</v>
      </c>
      <c r="D56">
        <f>'0307-table2'!M7</f>
        <v>0.95950000000000002</v>
      </c>
      <c r="E56">
        <f>'0307-table2'!N7</f>
        <v>8.5000000000000006E-3</v>
      </c>
    </row>
    <row r="57" spans="1:5" x14ac:dyDescent="0.25">
      <c r="A57">
        <v>307</v>
      </c>
      <c r="B57">
        <f>'0307-table2'!K8</f>
        <v>20684280</v>
      </c>
      <c r="C57">
        <f>'0307-table2'!L8</f>
        <v>277.59444444444443</v>
      </c>
      <c r="D57">
        <f>'0307-table2'!M8</f>
        <v>0.96399999999999997</v>
      </c>
      <c r="E57">
        <f>'0307-table2'!N8</f>
        <v>1.0200000000000001E-2</v>
      </c>
    </row>
    <row r="58" spans="1:5" x14ac:dyDescent="0.25">
      <c r="A58">
        <v>307</v>
      </c>
      <c r="B58">
        <f>'0307-table2'!K9</f>
        <v>24131660</v>
      </c>
      <c r="C58">
        <f>'0307-table2'!L9</f>
        <v>277.59444444444443</v>
      </c>
      <c r="D58">
        <f>'0307-table2'!M9</f>
        <v>0.96640000000000004</v>
      </c>
      <c r="E58">
        <f>'0307-table2'!N9</f>
        <v>1.2E-2</v>
      </c>
    </row>
    <row r="59" spans="1:5" x14ac:dyDescent="0.25">
      <c r="A59">
        <v>307</v>
      </c>
      <c r="B59">
        <f>'0307-table2'!K10</f>
        <v>27579040</v>
      </c>
      <c r="C59">
        <f>'0307-table2'!L10</f>
        <v>277.59444444444443</v>
      </c>
      <c r="D59">
        <f>'0307-table2'!M10</f>
        <v>0.96899999999999997</v>
      </c>
      <c r="E59">
        <f>'0307-table2'!N10</f>
        <v>1.4E-2</v>
      </c>
    </row>
    <row r="60" spans="1:5" x14ac:dyDescent="0.25">
      <c r="A60">
        <v>307</v>
      </c>
      <c r="B60">
        <f>'0307-table2'!K11</f>
        <v>31026420</v>
      </c>
      <c r="C60">
        <f>'0307-table2'!L11</f>
        <v>277.59444444444443</v>
      </c>
      <c r="D60">
        <f>'0307-table2'!M11</f>
        <v>0.97050000000000003</v>
      </c>
      <c r="E60">
        <f>'0307-table2'!N11</f>
        <v>1.6E-2</v>
      </c>
    </row>
    <row r="61" spans="1:5" x14ac:dyDescent="0.25">
      <c r="A61">
        <v>307</v>
      </c>
      <c r="B61">
        <f>'0307-table2'!K12</f>
        <v>34473800</v>
      </c>
      <c r="C61">
        <f>'0307-table2'!L12</f>
        <v>277.59444444444443</v>
      </c>
      <c r="D61">
        <f>'0307-table2'!M12</f>
        <v>0.97150000000000003</v>
      </c>
      <c r="E61">
        <f>'0307-table2'!N12</f>
        <v>1.8100000000000002E-2</v>
      </c>
    </row>
    <row r="62" spans="1:5" x14ac:dyDescent="0.25">
      <c r="A62">
        <v>307</v>
      </c>
      <c r="B62">
        <f>'0307-table2'!K13</f>
        <v>37921180</v>
      </c>
      <c r="C62">
        <f>'0307-table2'!L13</f>
        <v>277.59444444444443</v>
      </c>
      <c r="D62">
        <f>'0307-table2'!M13</f>
        <v>0.9718</v>
      </c>
      <c r="E62">
        <f>'0307-table2'!N13</f>
        <v>2.0299999999999999E-2</v>
      </c>
    </row>
    <row r="63" spans="1:5" x14ac:dyDescent="0.25">
      <c r="A63">
        <v>307</v>
      </c>
      <c r="B63">
        <f>'0307-table2'!K14</f>
        <v>41368560</v>
      </c>
      <c r="C63">
        <f>'0307-table2'!L14</f>
        <v>277.59444444444443</v>
      </c>
      <c r="D63">
        <f>'0307-table2'!M14</f>
        <v>0.97199999999999998</v>
      </c>
      <c r="E63">
        <f>'0307-table2'!N14</f>
        <v>2.2499999999999999E-2</v>
      </c>
    </row>
    <row r="64" spans="1:5" x14ac:dyDescent="0.25">
      <c r="A64">
        <v>307</v>
      </c>
      <c r="B64">
        <f>'0307-table2'!K15</f>
        <v>1460999.6440000001</v>
      </c>
      <c r="C64">
        <f>'0307-table2'!L15</f>
        <v>310.92777777777775</v>
      </c>
      <c r="D64">
        <f>'0307-table2'!M15</f>
        <v>0</v>
      </c>
      <c r="E64">
        <f>'0307-table2'!N15</f>
        <v>0</v>
      </c>
    </row>
    <row r="65" spans="1:5" x14ac:dyDescent="0.25">
      <c r="A65">
        <v>307</v>
      </c>
      <c r="B65">
        <f>'0307-table2'!K16</f>
        <v>3447380</v>
      </c>
      <c r="C65">
        <f>'0307-table2'!L16</f>
        <v>310.92777777777775</v>
      </c>
      <c r="D65">
        <f>'0307-table2'!M16</f>
        <v>0.53500000000000003</v>
      </c>
      <c r="E65">
        <f>'0307-table2'!N16</f>
        <v>2.5000000000000001E-3</v>
      </c>
    </row>
    <row r="66" spans="1:5" x14ac:dyDescent="0.25">
      <c r="A66">
        <v>307</v>
      </c>
      <c r="B66">
        <f>'0307-table2'!K17</f>
        <v>6894760</v>
      </c>
      <c r="C66">
        <f>'0307-table2'!L17</f>
        <v>310.92777777777775</v>
      </c>
      <c r="D66">
        <f>'0307-table2'!M17</f>
        <v>0.749</v>
      </c>
      <c r="E66">
        <f>'0307-table2'!N17</f>
        <v>5.5999999999999999E-3</v>
      </c>
    </row>
    <row r="67" spans="1:5" x14ac:dyDescent="0.25">
      <c r="A67">
        <v>307</v>
      </c>
      <c r="B67">
        <f>'0307-table2'!K18</f>
        <v>10342140</v>
      </c>
      <c r="C67">
        <f>'0307-table2'!L18</f>
        <v>310.92777777777775</v>
      </c>
      <c r="D67">
        <f>'0307-table2'!M18</f>
        <v>0.81830000000000003</v>
      </c>
      <c r="E67">
        <f>'0307-table2'!N18</f>
        <v>8.5000000000000006E-3</v>
      </c>
    </row>
    <row r="68" spans="1:5" x14ac:dyDescent="0.25">
      <c r="A68">
        <v>307</v>
      </c>
      <c r="B68">
        <f>'0307-table2'!K19</f>
        <v>13789520</v>
      </c>
      <c r="C68">
        <f>'0307-table2'!L19</f>
        <v>310.92777777777775</v>
      </c>
      <c r="D68">
        <f>'0307-table2'!M19</f>
        <v>0.85619999999999996</v>
      </c>
      <c r="E68">
        <f>'0307-table2'!N19</f>
        <v>1.15E-2</v>
      </c>
    </row>
    <row r="69" spans="1:5" x14ac:dyDescent="0.25">
      <c r="A69">
        <v>307</v>
      </c>
      <c r="B69">
        <f>'0307-table2'!K20</f>
        <v>17236900</v>
      </c>
      <c r="C69">
        <f>'0307-table2'!L20</f>
        <v>310.92777777777775</v>
      </c>
      <c r="D69">
        <f>'0307-table2'!M20</f>
        <v>0.87790000000000001</v>
      </c>
      <c r="E69">
        <f>'0307-table2'!N20</f>
        <v>1.47E-2</v>
      </c>
    </row>
    <row r="70" spans="1:5" x14ac:dyDescent="0.25">
      <c r="A70">
        <v>307</v>
      </c>
      <c r="B70">
        <f>'0307-table2'!K21</f>
        <v>20684280</v>
      </c>
      <c r="C70">
        <f>'0307-table2'!L21</f>
        <v>310.92777777777775</v>
      </c>
      <c r="D70">
        <f>'0307-table2'!M21</f>
        <v>0.89229999999999998</v>
      </c>
      <c r="E70">
        <f>'0307-table2'!N21</f>
        <v>1.8100000000000002E-2</v>
      </c>
    </row>
    <row r="71" spans="1:5" x14ac:dyDescent="0.25">
      <c r="A71">
        <v>307</v>
      </c>
      <c r="B71">
        <f>'0307-table2'!K22</f>
        <v>24131660</v>
      </c>
      <c r="C71">
        <f>'0307-table2'!L22</f>
        <v>310.92777777777775</v>
      </c>
      <c r="D71">
        <f>'0307-table2'!M22</f>
        <v>0.90329999999999999</v>
      </c>
      <c r="E71">
        <f>'0307-table2'!N22</f>
        <v>2.1700000000000001E-2</v>
      </c>
    </row>
    <row r="72" spans="1:5" x14ac:dyDescent="0.25">
      <c r="A72">
        <v>307</v>
      </c>
      <c r="B72">
        <f>'0307-table2'!K23</f>
        <v>27579040</v>
      </c>
      <c r="C72">
        <f>'0307-table2'!L23</f>
        <v>310.92777777777775</v>
      </c>
      <c r="D72">
        <f>'0307-table2'!M23</f>
        <v>0.91100000000000003</v>
      </c>
      <c r="E72">
        <f>'0307-table2'!N23</f>
        <v>2.5499999999999998E-2</v>
      </c>
    </row>
    <row r="73" spans="1:5" x14ac:dyDescent="0.25">
      <c r="A73">
        <v>307</v>
      </c>
      <c r="B73">
        <f>'0307-table2'!K24</f>
        <v>31026420</v>
      </c>
      <c r="C73">
        <f>'0307-table2'!L24</f>
        <v>310.92777777777775</v>
      </c>
      <c r="D73">
        <f>'0307-table2'!M24</f>
        <v>0.91649999999999998</v>
      </c>
      <c r="E73">
        <f>'0307-table2'!N24</f>
        <v>2.9499999999999998E-2</v>
      </c>
    </row>
    <row r="74" spans="1:5" x14ac:dyDescent="0.25">
      <c r="A74">
        <v>307</v>
      </c>
      <c r="B74">
        <f>'0307-table2'!K25</f>
        <v>34473800</v>
      </c>
      <c r="C74">
        <f>'0307-table2'!L25</f>
        <v>310.92777777777775</v>
      </c>
      <c r="D74">
        <f>'0307-table2'!M25</f>
        <v>0.92149999999999999</v>
      </c>
      <c r="E74">
        <f>'0307-table2'!N25</f>
        <v>3.3500000000000002E-2</v>
      </c>
    </row>
    <row r="75" spans="1:5" x14ac:dyDescent="0.25">
      <c r="A75">
        <v>307</v>
      </c>
      <c r="B75">
        <f>'0307-table2'!K26</f>
        <v>37921180</v>
      </c>
      <c r="C75">
        <f>'0307-table2'!L26</f>
        <v>310.92777777777775</v>
      </c>
      <c r="D75">
        <f>'0307-table2'!M26</f>
        <v>0.92459999999999998</v>
      </c>
      <c r="E75">
        <f>'0307-table2'!N26</f>
        <v>3.7499999999999999E-2</v>
      </c>
    </row>
    <row r="76" spans="1:5" x14ac:dyDescent="0.25">
      <c r="A76">
        <v>307</v>
      </c>
      <c r="B76">
        <f>'0307-table2'!K27</f>
        <v>41368560</v>
      </c>
      <c r="C76">
        <f>'0307-table2'!L27</f>
        <v>310.92777777777775</v>
      </c>
      <c r="D76">
        <f>'0307-table2'!M27</f>
        <v>0.92700000000000005</v>
      </c>
      <c r="E76">
        <f>'0307-table2'!N27</f>
        <v>4.1300000000000003E-2</v>
      </c>
    </row>
    <row r="77" spans="1:5" x14ac:dyDescent="0.25">
      <c r="A77">
        <v>307</v>
      </c>
      <c r="B77">
        <f>'0307-table2'!K28</f>
        <v>3397737.7280000001</v>
      </c>
      <c r="C77">
        <f>'0307-table2'!L28</f>
        <v>344.26111111111106</v>
      </c>
      <c r="D77">
        <f>'0307-table2'!M28</f>
        <v>0</v>
      </c>
      <c r="E77">
        <f>'0307-table2'!N28</f>
        <v>0</v>
      </c>
    </row>
    <row r="78" spans="1:5" x14ac:dyDescent="0.25">
      <c r="A78">
        <v>307</v>
      </c>
      <c r="B78">
        <f>'0307-table2'!K29</f>
        <v>3447380</v>
      </c>
      <c r="C78">
        <f>'0307-table2'!L29</f>
        <v>344.26111111111106</v>
      </c>
      <c r="D78">
        <f>'0307-table2'!M29</f>
        <v>9.9000000000000008E-3</v>
      </c>
      <c r="E78">
        <f>'0307-table2'!N29</f>
        <v>1E-4</v>
      </c>
    </row>
    <row r="79" spans="1:5" x14ac:dyDescent="0.25">
      <c r="A79">
        <v>307</v>
      </c>
      <c r="B79">
        <f>'0307-table2'!K30</f>
        <v>6894760</v>
      </c>
      <c r="C79">
        <f>'0307-table2'!L30</f>
        <v>344.26111111111106</v>
      </c>
      <c r="D79">
        <f>'0307-table2'!M30</f>
        <v>0.42199999999999999</v>
      </c>
      <c r="E79">
        <f>'0307-table2'!N30</f>
        <v>6.4999999999999997E-3</v>
      </c>
    </row>
    <row r="80" spans="1:5" x14ac:dyDescent="0.25">
      <c r="A80">
        <v>307</v>
      </c>
      <c r="B80">
        <f>'0307-table2'!K31</f>
        <v>10342140</v>
      </c>
      <c r="C80">
        <f>'0307-table2'!L31</f>
        <v>344.26111111111106</v>
      </c>
      <c r="D80">
        <f>'0307-table2'!M31</f>
        <v>0.57650000000000001</v>
      </c>
      <c r="E80">
        <f>'0307-table2'!N31</f>
        <v>1.15E-2</v>
      </c>
    </row>
    <row r="81" spans="1:5" x14ac:dyDescent="0.25">
      <c r="A81">
        <v>307</v>
      </c>
      <c r="B81">
        <f>'0307-table2'!K32</f>
        <v>13789520</v>
      </c>
      <c r="C81">
        <f>'0307-table2'!L32</f>
        <v>344.26111111111106</v>
      </c>
      <c r="D81">
        <f>'0307-table2'!M32</f>
        <v>0.65539999999999998</v>
      </c>
      <c r="E81">
        <f>'0307-table2'!N32</f>
        <v>1.7000000000000001E-2</v>
      </c>
    </row>
    <row r="82" spans="1:5" x14ac:dyDescent="0.25">
      <c r="A82">
        <v>307</v>
      </c>
      <c r="B82">
        <f>'0307-table2'!K33</f>
        <v>17236900</v>
      </c>
      <c r="C82">
        <f>'0307-table2'!L33</f>
        <v>344.26111111111106</v>
      </c>
      <c r="D82">
        <f>'0307-table2'!M33</f>
        <v>0.70379999999999998</v>
      </c>
      <c r="E82">
        <f>'0307-table2'!N33</f>
        <v>2.3E-2</v>
      </c>
    </row>
    <row r="83" spans="1:5" x14ac:dyDescent="0.25">
      <c r="A83">
        <v>307</v>
      </c>
      <c r="B83">
        <f>'0307-table2'!K34</f>
        <v>20684280</v>
      </c>
      <c r="C83">
        <f>'0307-table2'!L34</f>
        <v>344.26111111111106</v>
      </c>
      <c r="D83">
        <f>'0307-table2'!M34</f>
        <v>0.73950000000000005</v>
      </c>
      <c r="E83">
        <f>'0307-table2'!N34</f>
        <v>2.9000000000000001E-2</v>
      </c>
    </row>
    <row r="84" spans="1:5" x14ac:dyDescent="0.25">
      <c r="A84">
        <v>307</v>
      </c>
      <c r="B84">
        <f>'0307-table2'!K35</f>
        <v>24131660</v>
      </c>
      <c r="C84">
        <f>'0307-table2'!L35</f>
        <v>344.26111111111106</v>
      </c>
      <c r="D84">
        <f>'0307-table2'!M35</f>
        <v>0.76400000000000001</v>
      </c>
      <c r="E84">
        <f>'0307-table2'!N35</f>
        <v>3.5000000000000003E-2</v>
      </c>
    </row>
    <row r="85" spans="1:5" x14ac:dyDescent="0.25">
      <c r="A85">
        <v>307</v>
      </c>
      <c r="B85">
        <f>'0307-table2'!K36</f>
        <v>27579040</v>
      </c>
      <c r="C85">
        <f>'0307-table2'!L36</f>
        <v>344.26111111111106</v>
      </c>
      <c r="D85">
        <f>'0307-table2'!M36</f>
        <v>0.78310000000000002</v>
      </c>
      <c r="E85">
        <f>'0307-table2'!N36</f>
        <v>4.1000000000000002E-2</v>
      </c>
    </row>
    <row r="86" spans="1:5" x14ac:dyDescent="0.25">
      <c r="A86">
        <v>307</v>
      </c>
      <c r="B86">
        <f>'0307-table2'!K37</f>
        <v>31026420</v>
      </c>
      <c r="C86">
        <f>'0307-table2'!L37</f>
        <v>344.26111111111106</v>
      </c>
      <c r="D86">
        <f>'0307-table2'!M37</f>
        <v>0.79800000000000004</v>
      </c>
      <c r="E86">
        <f>'0307-table2'!N37</f>
        <v>4.7E-2</v>
      </c>
    </row>
    <row r="87" spans="1:5" x14ac:dyDescent="0.25">
      <c r="A87">
        <v>307</v>
      </c>
      <c r="B87">
        <f>'0307-table2'!K38</f>
        <v>34473800</v>
      </c>
      <c r="C87">
        <f>'0307-table2'!L38</f>
        <v>344.26111111111106</v>
      </c>
      <c r="D87">
        <f>'0307-table2'!M38</f>
        <v>0.80979999999999996</v>
      </c>
      <c r="E87">
        <f>'0307-table2'!N38</f>
        <v>5.2999999999999999E-2</v>
      </c>
    </row>
    <row r="88" spans="1:5" x14ac:dyDescent="0.25">
      <c r="A88">
        <v>307</v>
      </c>
      <c r="B88">
        <f>'0307-table2'!K39</f>
        <v>37921180</v>
      </c>
      <c r="C88">
        <f>'0307-table2'!L39</f>
        <v>344.26111111111106</v>
      </c>
      <c r="D88">
        <f>'0307-table2'!M39</f>
        <v>0.81850000000000001</v>
      </c>
      <c r="E88">
        <f>'0307-table2'!N39</f>
        <v>5.8999999999999997E-2</v>
      </c>
    </row>
    <row r="89" spans="1:5" x14ac:dyDescent="0.25">
      <c r="A89">
        <v>307</v>
      </c>
      <c r="B89">
        <f>'0307-table2'!K40</f>
        <v>41368560</v>
      </c>
      <c r="C89">
        <f>'0307-table2'!L40</f>
        <v>344.26111111111106</v>
      </c>
      <c r="D89">
        <f>'0307-table2'!M40</f>
        <v>0.8266</v>
      </c>
      <c r="E89">
        <f>'0307-table2'!N40</f>
        <v>6.5000000000000002E-2</v>
      </c>
    </row>
    <row r="90" spans="1:5" x14ac:dyDescent="0.25">
      <c r="A90">
        <v>307</v>
      </c>
      <c r="B90">
        <f>'0307-table2'!K41</f>
        <v>6822365.0200000005</v>
      </c>
      <c r="C90">
        <f>'0307-table2'!L41</f>
        <v>377.59444444444443</v>
      </c>
      <c r="D90">
        <f>'0307-table2'!M41</f>
        <v>0</v>
      </c>
      <c r="E90">
        <f>'0307-table2'!N41</f>
        <v>0</v>
      </c>
    </row>
    <row r="91" spans="1:5" x14ac:dyDescent="0.25">
      <c r="A91">
        <v>307</v>
      </c>
      <c r="B91">
        <f>'0307-table2'!K42</f>
        <v>6894760</v>
      </c>
      <c r="C91">
        <f>'0307-table2'!L42</f>
        <v>377.59444444444443</v>
      </c>
      <c r="D91">
        <f>'0307-table2'!M42</f>
        <v>8.6E-3</v>
      </c>
      <c r="E91">
        <f>'0307-table2'!N42</f>
        <v>4.0000000000000002E-4</v>
      </c>
    </row>
    <row r="92" spans="1:5" x14ac:dyDescent="0.25">
      <c r="A92">
        <v>307</v>
      </c>
      <c r="B92">
        <f>'0307-table2'!K43</f>
        <v>10342140</v>
      </c>
      <c r="C92">
        <f>'0307-table2'!L43</f>
        <v>377.59444444444443</v>
      </c>
      <c r="D92">
        <f>'0307-table2'!M43</f>
        <v>0.2162</v>
      </c>
      <c r="E92">
        <f>'0307-table2'!N43</f>
        <v>1.15E-2</v>
      </c>
    </row>
    <row r="93" spans="1:5" x14ac:dyDescent="0.25">
      <c r="A93">
        <v>307</v>
      </c>
      <c r="B93">
        <f>'0307-table2'!K44</f>
        <v>13789520</v>
      </c>
      <c r="C93">
        <f>'0307-table2'!L44</f>
        <v>377.59444444444443</v>
      </c>
      <c r="D93">
        <f>'0307-table2'!M44</f>
        <v>0.33</v>
      </c>
      <c r="E93">
        <f>'0307-table2'!N44</f>
        <v>2.2599999999999999E-2</v>
      </c>
    </row>
    <row r="94" spans="1:5" x14ac:dyDescent="0.25">
      <c r="A94">
        <v>307</v>
      </c>
      <c r="B94">
        <f>'0307-table2'!K45</f>
        <v>17236900</v>
      </c>
      <c r="C94">
        <f>'0307-table2'!L45</f>
        <v>377.59444444444443</v>
      </c>
      <c r="D94">
        <f>'0307-table2'!M45</f>
        <v>0.40560000000000002</v>
      </c>
      <c r="E94">
        <f>'0307-table2'!N45</f>
        <v>3.3599999999999998E-2</v>
      </c>
    </row>
    <row r="95" spans="1:5" x14ac:dyDescent="0.25">
      <c r="A95">
        <v>307</v>
      </c>
      <c r="B95">
        <f>'0307-table2'!K46</f>
        <v>20684280</v>
      </c>
      <c r="C95">
        <f>'0307-table2'!L46</f>
        <v>377.59444444444443</v>
      </c>
      <c r="D95">
        <f>'0307-table2'!M46</f>
        <v>0.46200000000000002</v>
      </c>
      <c r="E95">
        <f>'0307-table2'!N46</f>
        <v>4.4999999999999998E-2</v>
      </c>
    </row>
    <row r="96" spans="1:5" x14ac:dyDescent="0.25">
      <c r="A96">
        <v>307</v>
      </c>
      <c r="B96">
        <f>'0307-table2'!K47</f>
        <v>24131660</v>
      </c>
      <c r="C96">
        <f>'0307-table2'!L47</f>
        <v>377.59444444444443</v>
      </c>
      <c r="D96">
        <f>'0307-table2'!M47</f>
        <v>0.50239999999999996</v>
      </c>
      <c r="E96">
        <f>'0307-table2'!N47</f>
        <v>5.6000000000000001E-2</v>
      </c>
    </row>
    <row r="97" spans="1:5" x14ac:dyDescent="0.25">
      <c r="A97">
        <v>307</v>
      </c>
      <c r="B97">
        <f>'0307-table2'!K48</f>
        <v>27579040</v>
      </c>
      <c r="C97">
        <f>'0307-table2'!L48</f>
        <v>377.59444444444443</v>
      </c>
      <c r="D97">
        <f>'0307-table2'!M48</f>
        <v>0.5343</v>
      </c>
      <c r="E97">
        <f>'0307-table2'!N48</f>
        <v>6.7000000000000004E-2</v>
      </c>
    </row>
    <row r="98" spans="1:5" x14ac:dyDescent="0.25">
      <c r="A98">
        <v>307</v>
      </c>
      <c r="B98">
        <f>'0307-table2'!K49</f>
        <v>31026420</v>
      </c>
      <c r="C98">
        <f>'0307-table2'!L49</f>
        <v>377.59444444444443</v>
      </c>
      <c r="D98">
        <f>'0307-table2'!M49</f>
        <v>0.55800000000000005</v>
      </c>
      <c r="E98">
        <f>'0307-table2'!N49</f>
        <v>7.7499999999999999E-2</v>
      </c>
    </row>
    <row r="99" spans="1:5" x14ac:dyDescent="0.25">
      <c r="A99">
        <v>307</v>
      </c>
      <c r="B99">
        <f>'0307-table2'!K50</f>
        <v>34473800</v>
      </c>
      <c r="C99">
        <f>'0307-table2'!L50</f>
        <v>377.59444444444443</v>
      </c>
      <c r="D99">
        <f>'0307-table2'!M50</f>
        <v>0.57879999999999998</v>
      </c>
      <c r="E99">
        <f>'0307-table2'!N50</f>
        <v>8.8499999999999995E-2</v>
      </c>
    </row>
    <row r="100" spans="1:5" x14ac:dyDescent="0.25">
      <c r="A100">
        <v>307</v>
      </c>
      <c r="B100">
        <f>'0307-table2'!K51</f>
        <v>37921180</v>
      </c>
      <c r="C100">
        <f>'0307-table2'!L51</f>
        <v>377.59444444444443</v>
      </c>
      <c r="D100">
        <f>'0307-table2'!M51</f>
        <v>0.59519999999999995</v>
      </c>
      <c r="E100">
        <f>'0307-table2'!N51</f>
        <v>9.9500000000000005E-2</v>
      </c>
    </row>
    <row r="101" spans="1:5" x14ac:dyDescent="0.25">
      <c r="A101">
        <v>307</v>
      </c>
      <c r="B101">
        <f>'0307-table2'!K52</f>
        <v>41368560</v>
      </c>
      <c r="C101">
        <f>'0307-table2'!L52</f>
        <v>377.59444444444443</v>
      </c>
      <c r="D101">
        <f>'0307-table2'!M52</f>
        <v>0.60960000000000003</v>
      </c>
      <c r="E101">
        <f>'0307-table2'!N52</f>
        <v>0.1105</v>
      </c>
    </row>
    <row r="102" spans="1:5" x14ac:dyDescent="0.25">
      <c r="A102">
        <v>307</v>
      </c>
      <c r="B102">
        <f>'0307-table2'!K53</f>
        <v>9287241.7200000007</v>
      </c>
      <c r="C102">
        <f>'0307-table2'!L53</f>
        <v>394.26111111111106</v>
      </c>
      <c r="D102">
        <f>'0307-table2'!M53</f>
        <v>0</v>
      </c>
      <c r="E102">
        <f>'0307-table2'!N53</f>
        <v>0</v>
      </c>
    </row>
    <row r="103" spans="1:5" x14ac:dyDescent="0.25">
      <c r="A103">
        <v>307</v>
      </c>
      <c r="B103">
        <f>'0307-table2'!K54</f>
        <v>10342140</v>
      </c>
      <c r="C103">
        <f>'0307-table2'!L54</f>
        <v>394.26111111111106</v>
      </c>
      <c r="D103">
        <f>'0307-table2'!M54</f>
        <v>5.2999999999999999E-2</v>
      </c>
      <c r="E103">
        <f>'0307-table2'!N54</f>
        <v>1.0200000000000001E-2</v>
      </c>
    </row>
    <row r="104" spans="1:5" x14ac:dyDescent="0.25">
      <c r="A104">
        <v>307</v>
      </c>
      <c r="B104">
        <f>'0307-table2'!K55</f>
        <v>13789520</v>
      </c>
      <c r="C104">
        <f>'0307-table2'!L55</f>
        <v>394.26111111111106</v>
      </c>
      <c r="D104">
        <f>'0307-table2'!M55</f>
        <v>0.1593</v>
      </c>
      <c r="E104">
        <f>'0307-table2'!N55</f>
        <v>3.09E-2</v>
      </c>
    </row>
    <row r="105" spans="1:5" x14ac:dyDescent="0.25">
      <c r="A105">
        <v>307</v>
      </c>
      <c r="B105">
        <f>'0307-table2'!K56</f>
        <v>17236900</v>
      </c>
      <c r="C105">
        <f>'0307-table2'!L56</f>
        <v>394.26111111111106</v>
      </c>
      <c r="D105">
        <f>'0307-table2'!M56</f>
        <v>0.23319999999999999</v>
      </c>
      <c r="E105">
        <f>'0307-table2'!N56</f>
        <v>4.9000000000000002E-2</v>
      </c>
    </row>
    <row r="106" spans="1:5" x14ac:dyDescent="0.25">
      <c r="A106">
        <v>307</v>
      </c>
      <c r="B106">
        <f>'0307-table2'!K57</f>
        <v>20684280</v>
      </c>
      <c r="C106">
        <f>'0307-table2'!L57</f>
        <v>394.26111111111106</v>
      </c>
      <c r="D106">
        <f>'0307-table2'!M57</f>
        <v>0.27950000000000003</v>
      </c>
      <c r="E106">
        <f>'0307-table2'!N57</f>
        <v>6.5000000000000002E-2</v>
      </c>
    </row>
    <row r="107" spans="1:5" x14ac:dyDescent="0.25">
      <c r="A107">
        <v>307</v>
      </c>
      <c r="B107">
        <f>'0307-table2'!K58</f>
        <v>24131660</v>
      </c>
      <c r="C107">
        <f>'0307-table2'!L58</f>
        <v>394.26111111111106</v>
      </c>
      <c r="D107">
        <f>'0307-table2'!M58</f>
        <v>0.31280000000000002</v>
      </c>
      <c r="E107">
        <f>'0307-table2'!N58</f>
        <v>8.0500000000000002E-2</v>
      </c>
    </row>
    <row r="108" spans="1:5" x14ac:dyDescent="0.25">
      <c r="A108">
        <v>307</v>
      </c>
      <c r="B108">
        <f>'0307-table2'!K59</f>
        <v>27579040</v>
      </c>
      <c r="C108">
        <f>'0307-table2'!L59</f>
        <v>394.26111111111106</v>
      </c>
      <c r="D108">
        <f>'0307-table2'!M59</f>
        <v>0.33600000000000002</v>
      </c>
      <c r="E108">
        <f>'0307-table2'!N59</f>
        <v>9.5299999999999996E-2</v>
      </c>
    </row>
    <row r="109" spans="1:5" x14ac:dyDescent="0.25">
      <c r="A109">
        <v>307</v>
      </c>
      <c r="B109">
        <f>'0307-table2'!K60</f>
        <v>31026420</v>
      </c>
      <c r="C109">
        <f>'0307-table2'!L60</f>
        <v>394.26111111111106</v>
      </c>
      <c r="D109">
        <f>'0307-table2'!M60</f>
        <v>0.3528</v>
      </c>
      <c r="E109">
        <f>'0307-table2'!N60</f>
        <v>0.111</v>
      </c>
    </row>
    <row r="110" spans="1:5" x14ac:dyDescent="0.25">
      <c r="A110">
        <v>307</v>
      </c>
      <c r="B110">
        <f>'0307-table2'!K61</f>
        <v>34473800</v>
      </c>
      <c r="C110">
        <f>'0307-table2'!L61</f>
        <v>394.26111111111106</v>
      </c>
      <c r="D110">
        <f>'0307-table2'!M61</f>
        <v>0.36149999999999999</v>
      </c>
      <c r="E110">
        <f>'0307-table2'!N61</f>
        <v>0.12470000000000001</v>
      </c>
    </row>
    <row r="111" spans="1:5" x14ac:dyDescent="0.25">
      <c r="A111">
        <v>307</v>
      </c>
      <c r="B111">
        <f>'0307-table2'!K62</f>
        <v>37921180</v>
      </c>
      <c r="C111">
        <f>'0307-table2'!L62</f>
        <v>394.26111111111106</v>
      </c>
      <c r="D111">
        <f>'0307-table2'!M62</f>
        <v>0.3679</v>
      </c>
      <c r="E111">
        <f>'0307-table2'!N62</f>
        <v>0.13669999999999999</v>
      </c>
    </row>
    <row r="112" spans="1:5" x14ac:dyDescent="0.25">
      <c r="A112">
        <v>307</v>
      </c>
      <c r="B112">
        <f>'0307-table2'!K63</f>
        <v>41368560</v>
      </c>
      <c r="C112">
        <f>'0307-table2'!L63</f>
        <v>394.26111111111106</v>
      </c>
      <c r="D112">
        <f>'0307-table2'!M63</f>
        <v>0.37009999999999998</v>
      </c>
      <c r="E112">
        <f>'0307-table2'!N63</f>
        <v>0.15</v>
      </c>
    </row>
    <row r="113" spans="1:5" x14ac:dyDescent="0.25">
      <c r="A113">
        <v>501</v>
      </c>
      <c r="B113">
        <f>'0501-table2'!N2</f>
        <v>20215000</v>
      </c>
      <c r="C113">
        <f>'0501-table2'!O2</f>
        <v>298.14999999999998</v>
      </c>
      <c r="D113">
        <f>'0501-table2'!P2</f>
        <v>0.9304</v>
      </c>
      <c r="E113">
        <f>'0501-table2'!Q2</f>
        <v>1.4497203394127574E-2</v>
      </c>
    </row>
    <row r="114" spans="1:5" x14ac:dyDescent="0.25">
      <c r="A114">
        <v>501</v>
      </c>
      <c r="B114">
        <f>'0501-table2'!N3</f>
        <v>10070000</v>
      </c>
      <c r="C114">
        <f>'0501-table2'!O3</f>
        <v>298.14999999999998</v>
      </c>
      <c r="E114">
        <f>'0501-table2'!Q3</f>
        <v>7.1619850379650322E-3</v>
      </c>
    </row>
    <row r="115" spans="1:5" x14ac:dyDescent="0.25">
      <c r="A115">
        <v>501</v>
      </c>
      <c r="B115">
        <f>'0501-table2'!N4</f>
        <v>10020000</v>
      </c>
      <c r="C115">
        <f>'0501-table2'!O4</f>
        <v>298.14999999999998</v>
      </c>
      <c r="D115">
        <f>'0501-table2'!P4</f>
        <v>0.87509999999999999</v>
      </c>
    </row>
    <row r="116" spans="1:5" x14ac:dyDescent="0.25">
      <c r="A116">
        <v>501</v>
      </c>
      <c r="B116">
        <f>'0501-table2'!N5</f>
        <v>5345000</v>
      </c>
      <c r="C116">
        <f>'0501-table2'!O5</f>
        <v>298.14999999999998</v>
      </c>
      <c r="E116">
        <f>'0501-table2'!Q5</f>
        <v>3.4497600218698107E-3</v>
      </c>
    </row>
    <row r="117" spans="1:5" x14ac:dyDescent="0.25">
      <c r="A117">
        <v>501</v>
      </c>
      <c r="B117">
        <f>'0501-table2'!N6</f>
        <v>2890000</v>
      </c>
      <c r="C117">
        <f>'0501-table2'!O6</f>
        <v>298.14999999999998</v>
      </c>
      <c r="D117">
        <f>'0501-table2'!P6</f>
        <v>0.61450000000000005</v>
      </c>
      <c r="E117">
        <f>'0501-table2'!Q6</f>
        <v>1.5549902108292406E-3</v>
      </c>
    </row>
    <row r="118" spans="1:5" x14ac:dyDescent="0.25">
      <c r="A118">
        <v>501</v>
      </c>
      <c r="B118">
        <f>'0501-table3'!E2</f>
        <v>2005999.9999999998</v>
      </c>
      <c r="C118">
        <f>'0501-table3'!F2</f>
        <v>298.14999999999998</v>
      </c>
      <c r="D118">
        <f>'0501-table3'!G2</f>
        <v>0.48350000000000004</v>
      </c>
    </row>
    <row r="119" spans="1:5" x14ac:dyDescent="0.25">
      <c r="A119">
        <v>502</v>
      </c>
      <c r="B119">
        <f>'0502-table1'!K2</f>
        <v>5066250</v>
      </c>
      <c r="C119">
        <f>'0502-table1'!L2</f>
        <v>298.14999999999998</v>
      </c>
      <c r="E119">
        <f>'0502-table1'!M2</f>
        <v>3.3834405899717947E-3</v>
      </c>
    </row>
    <row r="120" spans="1:5" x14ac:dyDescent="0.25">
      <c r="A120">
        <v>502</v>
      </c>
      <c r="B120">
        <f>'0502-table1'!K3</f>
        <v>10132500</v>
      </c>
      <c r="C120">
        <f>'0502-table1'!L3</f>
        <v>298.14999999999998</v>
      </c>
      <c r="E120">
        <f>'0502-table1'!M3</f>
        <v>7.4424952810637447E-3</v>
      </c>
    </row>
    <row r="121" spans="1:5" x14ac:dyDescent="0.25">
      <c r="A121">
        <v>502</v>
      </c>
      <c r="B121">
        <f>'0502-table1'!K4</f>
        <v>20265000</v>
      </c>
      <c r="C121">
        <f>'0502-table1'!L4</f>
        <v>298.14999999999998</v>
      </c>
      <c r="E121">
        <f>'0502-table1'!M4</f>
        <v>1.5015983705205323E-2</v>
      </c>
    </row>
    <row r="122" spans="1:5" x14ac:dyDescent="0.25">
      <c r="A122">
        <v>502</v>
      </c>
      <c r="B122">
        <f>'0502-table1'!K5</f>
        <v>40530000</v>
      </c>
      <c r="C122">
        <f>'0502-table1'!L5</f>
        <v>298.14999999999998</v>
      </c>
      <c r="E122">
        <f>'0502-table1'!M5</f>
        <v>2.8141118589038051E-2</v>
      </c>
    </row>
    <row r="123" spans="1:5" x14ac:dyDescent="0.25">
      <c r="A123">
        <v>502</v>
      </c>
      <c r="B123">
        <f>'0502-table1'!K6</f>
        <v>60795000</v>
      </c>
      <c r="C123">
        <f>'0502-table1'!L6</f>
        <v>298.14999999999998</v>
      </c>
      <c r="E123">
        <f>'0502-table1'!M6</f>
        <v>3.9185775712098872E-2</v>
      </c>
    </row>
    <row r="124" spans="1:5" x14ac:dyDescent="0.25">
      <c r="A124">
        <v>502</v>
      </c>
      <c r="B124">
        <f>'0502-table1'!K7</f>
        <v>81060000</v>
      </c>
      <c r="C124">
        <f>'0502-table1'!L7</f>
        <v>298.14999999999998</v>
      </c>
      <c r="E124">
        <f>'0502-table1'!M7</f>
        <v>4.8844610069611764E-2</v>
      </c>
    </row>
    <row r="125" spans="1:5" x14ac:dyDescent="0.25">
      <c r="A125">
        <v>502</v>
      </c>
      <c r="B125">
        <f>'0502-table1'!K8</f>
        <v>101325000</v>
      </c>
      <c r="C125">
        <f>'0502-table1'!L8</f>
        <v>298.14999999999998</v>
      </c>
      <c r="E125">
        <f>'0502-table1'!M8</f>
        <v>5.676060158784485E-2</v>
      </c>
    </row>
    <row r="126" spans="1:5" x14ac:dyDescent="0.25">
      <c r="A126">
        <v>502</v>
      </c>
      <c r="B126">
        <f>'0502-table1'!K9</f>
        <v>5066250</v>
      </c>
      <c r="C126">
        <f>'0502-table1'!L9</f>
        <v>323.14999999999998</v>
      </c>
      <c r="E126">
        <f>'0502-table1'!M9</f>
        <v>3.857601727147475E-3</v>
      </c>
    </row>
    <row r="127" spans="1:5" x14ac:dyDescent="0.25">
      <c r="A127">
        <v>502</v>
      </c>
      <c r="B127">
        <f>'0502-table1'!K10</f>
        <v>10132500</v>
      </c>
      <c r="C127">
        <f>'0502-table1'!L10</f>
        <v>323.14999999999998</v>
      </c>
      <c r="E127">
        <f>'0502-table1'!M10</f>
        <v>1.0136412838601337E-2</v>
      </c>
    </row>
    <row r="128" spans="1:5" x14ac:dyDescent="0.25">
      <c r="A128">
        <v>502</v>
      </c>
      <c r="B128">
        <f>'0502-table1'!K11</f>
        <v>18238500</v>
      </c>
      <c r="C128">
        <f>'0502-table1'!L11</f>
        <v>323.14999999999998</v>
      </c>
      <c r="E128">
        <f>'0502-table1'!M11</f>
        <v>1.9615653183594622E-2</v>
      </c>
    </row>
    <row r="129" spans="1:5" x14ac:dyDescent="0.25">
      <c r="A129">
        <v>502</v>
      </c>
      <c r="B129">
        <f>'0502-table1'!K12</f>
        <v>20265000</v>
      </c>
      <c r="C129">
        <f>'0502-table1'!L12</f>
        <v>323.14999999999998</v>
      </c>
      <c r="E129">
        <f>'0502-table1'!M12</f>
        <v>2.1829310461812065E-2</v>
      </c>
    </row>
    <row r="130" spans="1:5" x14ac:dyDescent="0.25">
      <c r="A130">
        <v>502</v>
      </c>
      <c r="B130">
        <f>'0502-table1'!K13</f>
        <v>40530000</v>
      </c>
      <c r="C130">
        <f>'0502-table1'!L13</f>
        <v>323.14999999999998</v>
      </c>
      <c r="E130">
        <f>'0502-table1'!M13</f>
        <v>4.2412720543724483E-2</v>
      </c>
    </row>
    <row r="131" spans="1:5" x14ac:dyDescent="0.25">
      <c r="A131">
        <v>502</v>
      </c>
      <c r="B131">
        <f>'0502-table1'!K14</f>
        <v>60795000</v>
      </c>
      <c r="C131">
        <f>'0502-table1'!L14</f>
        <v>323.14999999999998</v>
      </c>
      <c r="E131">
        <f>'0502-table1'!M14</f>
        <v>5.9609626592918387E-2</v>
      </c>
    </row>
    <row r="132" spans="1:5" x14ac:dyDescent="0.25">
      <c r="A132">
        <v>502</v>
      </c>
      <c r="B132">
        <f>'0502-table1'!K15</f>
        <v>81060000</v>
      </c>
      <c r="C132">
        <f>'0502-table1'!L15</f>
        <v>323.14999999999998</v>
      </c>
      <c r="E132">
        <f>'0502-table1'!M15</f>
        <v>7.4095429318166803E-2</v>
      </c>
    </row>
    <row r="133" spans="1:5" x14ac:dyDescent="0.25">
      <c r="A133">
        <v>502</v>
      </c>
      <c r="B133">
        <f>'0502-table1'!K16</f>
        <v>101325000</v>
      </c>
      <c r="C133">
        <f>'0502-table1'!L16</f>
        <v>323.14999999999998</v>
      </c>
      <c r="E133">
        <f>'0502-table1'!M16</f>
        <v>8.6630259285135722E-2</v>
      </c>
    </row>
    <row r="134" spans="1:5" x14ac:dyDescent="0.25">
      <c r="A134">
        <v>502</v>
      </c>
      <c r="B134">
        <f>'0502-table1'!K17</f>
        <v>10132500</v>
      </c>
      <c r="C134">
        <f>'0502-table1'!L17</f>
        <v>348.15</v>
      </c>
      <c r="E134">
        <f>'0502-table1'!M17</f>
        <v>1.2262669153853647E-2</v>
      </c>
    </row>
    <row r="135" spans="1:5" x14ac:dyDescent="0.25">
      <c r="A135">
        <v>502</v>
      </c>
      <c r="B135">
        <f>'0502-table1'!K18</f>
        <v>20265000</v>
      </c>
      <c r="C135">
        <f>'0502-table1'!L18</f>
        <v>348.15</v>
      </c>
      <c r="E135">
        <f>'0502-table1'!M18</f>
        <v>3.0484955772193539E-2</v>
      </c>
    </row>
    <row r="136" spans="1:5" x14ac:dyDescent="0.25">
      <c r="A136">
        <v>502</v>
      </c>
      <c r="B136">
        <f>'0502-table1'!K19</f>
        <v>40530000</v>
      </c>
      <c r="C136">
        <f>'0502-table1'!L19</f>
        <v>348.15</v>
      </c>
      <c r="E136">
        <f>'0502-table1'!M19</f>
        <v>6.2861801321159164E-2</v>
      </c>
    </row>
    <row r="137" spans="1:5" x14ac:dyDescent="0.25">
      <c r="A137">
        <v>502</v>
      </c>
      <c r="B137">
        <f>'0502-table1'!K20</f>
        <v>60795000</v>
      </c>
      <c r="C137">
        <f>'0502-table1'!L20</f>
        <v>348.15</v>
      </c>
      <c r="E137">
        <f>'0502-table1'!M20</f>
        <v>9.0490647643341734E-2</v>
      </c>
    </row>
    <row r="138" spans="1:5" x14ac:dyDescent="0.25">
      <c r="A138">
        <v>502</v>
      </c>
      <c r="B138">
        <f>'0502-table1'!K21</f>
        <v>81060000</v>
      </c>
      <c r="C138">
        <f>'0502-table1'!L21</f>
        <v>348.15</v>
      </c>
      <c r="E138">
        <f>'0502-table1'!M21</f>
        <v>0.11386200689149437</v>
      </c>
    </row>
    <row r="139" spans="1:5" x14ac:dyDescent="0.25">
      <c r="A139">
        <v>502</v>
      </c>
      <c r="B139">
        <f>'0502-table1'!K22</f>
        <v>101325000</v>
      </c>
      <c r="C139">
        <f>'0502-table1'!L22</f>
        <v>348.15</v>
      </c>
      <c r="E139">
        <f>'0502-table1'!M22</f>
        <v>0.1337209927825925</v>
      </c>
    </row>
    <row r="140" spans="1:5" x14ac:dyDescent="0.25">
      <c r="A140">
        <v>502</v>
      </c>
      <c r="B140">
        <f>'0502-table1'!K23</f>
        <v>10132500</v>
      </c>
      <c r="C140">
        <f>'0502-table1'!L23</f>
        <v>373.15</v>
      </c>
      <c r="E140">
        <f>'0502-table1'!M23</f>
        <v>1.1758659117582504E-2</v>
      </c>
    </row>
    <row r="141" spans="1:5" x14ac:dyDescent="0.25">
      <c r="A141">
        <v>502</v>
      </c>
      <c r="B141">
        <f>'0502-table1'!K24</f>
        <v>20265000</v>
      </c>
      <c r="C141">
        <f>'0502-table1'!L24</f>
        <v>373.15</v>
      </c>
      <c r="E141">
        <f>'0502-table1'!M24</f>
        <v>4.1555532270781424E-2</v>
      </c>
    </row>
    <row r="142" spans="1:5" x14ac:dyDescent="0.25">
      <c r="A142">
        <v>502</v>
      </c>
      <c r="B142">
        <f>'0502-table1'!K25</f>
        <v>40530000</v>
      </c>
      <c r="C142">
        <f>'0502-table1'!L25</f>
        <v>373.15</v>
      </c>
      <c r="E142">
        <f>'0502-table1'!M25</f>
        <v>9.6462254298326319E-2</v>
      </c>
    </row>
    <row r="143" spans="1:5" x14ac:dyDescent="0.25">
      <c r="A143">
        <v>502</v>
      </c>
      <c r="B143">
        <f>'0502-table1'!K26</f>
        <v>60795000</v>
      </c>
      <c r="C143">
        <f>'0502-table1'!L26</f>
        <v>373.15</v>
      </c>
      <c r="E143">
        <f>'0502-table1'!M26</f>
        <v>0.14536346287489368</v>
      </c>
    </row>
    <row r="144" spans="1:5" x14ac:dyDescent="0.25">
      <c r="A144">
        <v>502</v>
      </c>
      <c r="B144">
        <f>'0502-table1'!K27</f>
        <v>81060000</v>
      </c>
      <c r="C144">
        <f>'0502-table1'!L27</f>
        <v>373.15</v>
      </c>
      <c r="E144">
        <f>'0502-table1'!M27</f>
        <v>0.18814362971143664</v>
      </c>
    </row>
    <row r="145" spans="1:5" x14ac:dyDescent="0.25">
      <c r="A145">
        <v>502</v>
      </c>
      <c r="B145">
        <f>'0502-table1'!K28</f>
        <v>101325000</v>
      </c>
      <c r="C145">
        <f>'0502-table1'!L28</f>
        <v>373.15</v>
      </c>
      <c r="E145">
        <f>'0502-table1'!M28</f>
        <v>0.22766126059376768</v>
      </c>
    </row>
    <row r="146" spans="1:5" x14ac:dyDescent="0.25">
      <c r="A146">
        <v>504</v>
      </c>
      <c r="B146">
        <f>'0504-figure1'!J2</f>
        <v>1171053.1558736416</v>
      </c>
      <c r="C146">
        <f>'0504-figure1'!K2</f>
        <v>293</v>
      </c>
      <c r="E146">
        <f>'0504-figure1'!M2</f>
        <v>5.1705008482839161E-2</v>
      </c>
    </row>
    <row r="147" spans="1:5" x14ac:dyDescent="0.25">
      <c r="A147">
        <v>504</v>
      </c>
      <c r="B147">
        <f>'0504-figure1'!J3</f>
        <v>1231380.6234444855</v>
      </c>
      <c r="C147">
        <f>'0504-figure1'!K3</f>
        <v>293</v>
      </c>
      <c r="E147">
        <f>'0504-figure1'!M3</f>
        <v>6.4785233241468995E-2</v>
      </c>
    </row>
    <row r="148" spans="1:5" x14ac:dyDescent="0.25">
      <c r="A148">
        <v>504</v>
      </c>
      <c r="B148">
        <f>'0504-figure1'!J4</f>
        <v>1301516.1849184444</v>
      </c>
      <c r="C148">
        <f>'0504-figure1'!K4</f>
        <v>293</v>
      </c>
      <c r="E148">
        <f>'0504-figure1'!M4</f>
        <v>7.6641622490551856E-2</v>
      </c>
    </row>
    <row r="149" spans="1:5" x14ac:dyDescent="0.25">
      <c r="A149">
        <v>505</v>
      </c>
      <c r="B149">
        <f>'0505-table1'!O2</f>
        <v>1519875</v>
      </c>
      <c r="C149">
        <f>'0505-table1'!P2</f>
        <v>298.14999999999998</v>
      </c>
      <c r="E149">
        <f>'0505-table1'!R2</f>
        <v>1.1397028420922746E-3</v>
      </c>
    </row>
    <row r="150" spans="1:5" x14ac:dyDescent="0.25">
      <c r="A150">
        <v>505</v>
      </c>
      <c r="B150">
        <f>'0505-table1'!O3</f>
        <v>2533125</v>
      </c>
      <c r="C150">
        <f>'0505-table1'!P3</f>
        <v>298.14999999999998</v>
      </c>
      <c r="E150">
        <f>'0505-table1'!R3</f>
        <v>1.8826132653342671E-3</v>
      </c>
    </row>
    <row r="151" spans="1:5" x14ac:dyDescent="0.25">
      <c r="A151">
        <v>505</v>
      </c>
      <c r="B151">
        <f>'0505-table1'!O4</f>
        <v>5066250</v>
      </c>
      <c r="C151">
        <f>'0505-table1'!P4</f>
        <v>298.14999999999998</v>
      </c>
      <c r="E151">
        <f>'0505-table1'!R4</f>
        <v>3.5213558568286986E-3</v>
      </c>
    </row>
    <row r="152" spans="1:5" x14ac:dyDescent="0.25">
      <c r="A152">
        <v>505</v>
      </c>
      <c r="B152">
        <f>'0505-table1'!O5</f>
        <v>7092750</v>
      </c>
      <c r="C152">
        <f>'0505-table1'!P5</f>
        <v>298.14999999999998</v>
      </c>
      <c r="E152">
        <f>'0505-table1'!R5</f>
        <v>5.0212255466733149E-3</v>
      </c>
    </row>
    <row r="153" spans="1:5" x14ac:dyDescent="0.25">
      <c r="A153">
        <v>505</v>
      </c>
      <c r="B153">
        <f>'0505-table1'!O6</f>
        <v>10132500</v>
      </c>
      <c r="C153">
        <f>'0505-table1'!P6</f>
        <v>298.14999999999998</v>
      </c>
      <c r="E153">
        <f>'0505-table1'!R6</f>
        <v>7.0196800785226922E-3</v>
      </c>
    </row>
    <row r="154" spans="1:5" x14ac:dyDescent="0.25">
      <c r="A154">
        <v>505</v>
      </c>
      <c r="B154">
        <f>'0505-table1'!O7</f>
        <v>15198750</v>
      </c>
      <c r="C154">
        <f>'0505-table1'!P7</f>
        <v>298.14999999999998</v>
      </c>
      <c r="E154">
        <f>'0505-table1'!R7</f>
        <v>1.0488119010032895E-2</v>
      </c>
    </row>
    <row r="155" spans="1:5" x14ac:dyDescent="0.25">
      <c r="A155">
        <v>505</v>
      </c>
      <c r="B155">
        <f>'0505-table1'!O8</f>
        <v>20265000</v>
      </c>
      <c r="C155">
        <f>'0505-table1'!P8</f>
        <v>298.14999999999998</v>
      </c>
      <c r="E155">
        <f>'0505-table1'!R8</f>
        <v>1.3729538324168343E-2</v>
      </c>
    </row>
    <row r="156" spans="1:5" x14ac:dyDescent="0.25">
      <c r="A156">
        <v>505</v>
      </c>
      <c r="B156">
        <f>'0505-table1'!O9</f>
        <v>25331250</v>
      </c>
      <c r="C156">
        <f>'0505-table1'!P9</f>
        <v>298.14999999999998</v>
      </c>
      <c r="E156">
        <f>'0505-table1'!R9</f>
        <v>1.756986395297162E-2</v>
      </c>
    </row>
    <row r="157" spans="1:5" x14ac:dyDescent="0.25">
      <c r="A157">
        <v>506</v>
      </c>
      <c r="B157">
        <f>'0506-table1'!E2</f>
        <v>10132500</v>
      </c>
      <c r="C157">
        <f>'0506-table1'!F2</f>
        <v>273.14999999999998</v>
      </c>
      <c r="D157">
        <f>'0506-table1'!G2</f>
        <v>0.94399999999999995</v>
      </c>
    </row>
    <row r="158" spans="1:5" x14ac:dyDescent="0.25">
      <c r="A158">
        <v>506</v>
      </c>
      <c r="B158">
        <f>'0506-table1'!E3</f>
        <v>15198750</v>
      </c>
      <c r="C158">
        <f>'0506-table1'!F3</f>
        <v>273.14999999999998</v>
      </c>
      <c r="D158">
        <f>'0506-table1'!G3</f>
        <v>0.96</v>
      </c>
    </row>
    <row r="159" spans="1:5" x14ac:dyDescent="0.25">
      <c r="A159">
        <v>506</v>
      </c>
      <c r="B159">
        <f>'0506-table1'!E4</f>
        <v>20265000</v>
      </c>
      <c r="C159">
        <f>'0506-table1'!F4</f>
        <v>273.14999999999998</v>
      </c>
      <c r="D159">
        <f>'0506-table1'!G4</f>
        <v>0.97</v>
      </c>
    </row>
    <row r="160" spans="1:5" x14ac:dyDescent="0.25">
      <c r="A160">
        <v>506</v>
      </c>
      <c r="B160">
        <f>'0506-table1'!E5</f>
        <v>25331250</v>
      </c>
      <c r="C160">
        <f>'0506-table1'!F5</f>
        <v>273.14999999999998</v>
      </c>
      <c r="D160">
        <f>'0506-table1'!G5</f>
        <v>0.97599999999999998</v>
      </c>
    </row>
    <row r="161" spans="1:4" x14ac:dyDescent="0.25">
      <c r="A161">
        <v>506</v>
      </c>
      <c r="B161">
        <f>'0506-table1'!E6</f>
        <v>30397500</v>
      </c>
      <c r="C161">
        <f>'0506-table1'!F6</f>
        <v>273.14999999999998</v>
      </c>
      <c r="D161">
        <f>'0506-table1'!G6</f>
        <v>0.97799999999999998</v>
      </c>
    </row>
    <row r="162" spans="1:4" x14ac:dyDescent="0.25">
      <c r="A162">
        <v>506</v>
      </c>
      <c r="B162">
        <f>'0506-table1'!E7</f>
        <v>10132500</v>
      </c>
      <c r="C162">
        <f>'0506-table1'!F7</f>
        <v>298.14999999999998</v>
      </c>
      <c r="D162">
        <f>'0506-table1'!G7</f>
        <v>0.89600000000000002</v>
      </c>
    </row>
    <row r="163" spans="1:4" x14ac:dyDescent="0.25">
      <c r="A163">
        <v>506</v>
      </c>
      <c r="B163">
        <f>'0506-table1'!E8</f>
        <v>15198750</v>
      </c>
      <c r="C163">
        <f>'0506-table1'!F8</f>
        <v>298.14999999999998</v>
      </c>
      <c r="D163">
        <f>'0506-table1'!G8</f>
        <v>0.91800000000000004</v>
      </c>
    </row>
    <row r="164" spans="1:4" x14ac:dyDescent="0.25">
      <c r="A164">
        <v>506</v>
      </c>
      <c r="B164">
        <f>'0506-table1'!E9</f>
        <v>20265000</v>
      </c>
      <c r="C164">
        <f>'0506-table1'!F9</f>
        <v>298.14999999999998</v>
      </c>
      <c r="D164">
        <f>'0506-table1'!G9</f>
        <v>0.93700000000000006</v>
      </c>
    </row>
    <row r="165" spans="1:4" x14ac:dyDescent="0.25">
      <c r="A165">
        <v>506</v>
      </c>
      <c r="B165">
        <f>'0506-table1'!E10</f>
        <v>25331250</v>
      </c>
      <c r="C165">
        <f>'0506-table1'!F10</f>
        <v>298.14999999999998</v>
      </c>
      <c r="D165">
        <f>'0506-table1'!G10</f>
        <v>0.94499999999999995</v>
      </c>
    </row>
    <row r="166" spans="1:4" x14ac:dyDescent="0.25">
      <c r="A166">
        <v>506</v>
      </c>
      <c r="B166">
        <f>'0506-table1'!E11</f>
        <v>30397500</v>
      </c>
      <c r="C166">
        <f>'0506-table1'!F11</f>
        <v>298.14999999999998</v>
      </c>
      <c r="D166">
        <f>'0506-table1'!G11</f>
        <v>0.95499999999999996</v>
      </c>
    </row>
    <row r="167" spans="1:4" x14ac:dyDescent="0.25">
      <c r="A167">
        <v>506</v>
      </c>
      <c r="B167">
        <f>'0506-table1'!E12</f>
        <v>10132500</v>
      </c>
      <c r="C167">
        <f>'0506-table1'!F12</f>
        <v>323.14999999999998</v>
      </c>
      <c r="D167">
        <f>'0506-table1'!G12</f>
        <v>0.81200000000000006</v>
      </c>
    </row>
    <row r="168" spans="1:4" x14ac:dyDescent="0.25">
      <c r="A168">
        <v>506</v>
      </c>
      <c r="B168">
        <f>'0506-table1'!E13</f>
        <v>15198750</v>
      </c>
      <c r="C168">
        <f>'0506-table1'!F13</f>
        <v>323.14999999999998</v>
      </c>
      <c r="D168">
        <f>'0506-table1'!G13</f>
        <v>0.85199999999999998</v>
      </c>
    </row>
    <row r="169" spans="1:4" x14ac:dyDescent="0.25">
      <c r="A169">
        <v>506</v>
      </c>
      <c r="B169">
        <f>'0506-table1'!E14</f>
        <v>20265000</v>
      </c>
      <c r="C169">
        <f>'0506-table1'!F14</f>
        <v>323.14999999999998</v>
      </c>
      <c r="D169">
        <f>'0506-table1'!G14</f>
        <v>0.877</v>
      </c>
    </row>
    <row r="170" spans="1:4" x14ac:dyDescent="0.25">
      <c r="A170">
        <v>506</v>
      </c>
      <c r="B170">
        <f>'0506-table1'!E15</f>
        <v>25331250</v>
      </c>
      <c r="C170">
        <f>'0506-table1'!F15</f>
        <v>323.14999999999998</v>
      </c>
      <c r="D170">
        <f>'0506-table1'!G15</f>
        <v>0.88900000000000001</v>
      </c>
    </row>
    <row r="171" spans="1:4" x14ac:dyDescent="0.25">
      <c r="A171">
        <v>506</v>
      </c>
      <c r="B171">
        <f>'0506-table1'!E16</f>
        <v>30397500</v>
      </c>
      <c r="C171">
        <f>'0506-table1'!F16</f>
        <v>323.14999999999998</v>
      </c>
      <c r="D171">
        <f>'0506-table1'!G16</f>
        <v>0.89300000000000002</v>
      </c>
    </row>
    <row r="172" spans="1:4" x14ac:dyDescent="0.25">
      <c r="A172">
        <v>506</v>
      </c>
      <c r="B172">
        <f>'0506-table1'!E17</f>
        <v>10132500</v>
      </c>
      <c r="C172">
        <f>'0506-table1'!F17</f>
        <v>348.15</v>
      </c>
      <c r="D172">
        <f>'0506-table1'!G17</f>
        <v>0.69300000000000006</v>
      </c>
    </row>
    <row r="173" spans="1:4" x14ac:dyDescent="0.25">
      <c r="A173">
        <v>506</v>
      </c>
      <c r="B173">
        <f>'0506-table1'!E18</f>
        <v>15198750</v>
      </c>
      <c r="C173">
        <f>'0506-table1'!F18</f>
        <v>348.15</v>
      </c>
      <c r="D173">
        <f>'0506-table1'!G18</f>
        <v>0.78500000000000003</v>
      </c>
    </row>
    <row r="174" spans="1:4" x14ac:dyDescent="0.25">
      <c r="A174">
        <v>506</v>
      </c>
      <c r="B174">
        <f>'0506-table1'!E19</f>
        <v>20265000</v>
      </c>
      <c r="C174">
        <f>'0506-table1'!F19</f>
        <v>348.15</v>
      </c>
      <c r="D174">
        <f>'0506-table1'!G19</f>
        <v>0.83199999999999996</v>
      </c>
    </row>
    <row r="175" spans="1:4" x14ac:dyDescent="0.25">
      <c r="A175">
        <v>506</v>
      </c>
      <c r="B175">
        <f>'0506-table1'!E20</f>
        <v>25331250</v>
      </c>
      <c r="C175">
        <f>'0506-table1'!F20</f>
        <v>348.15</v>
      </c>
      <c r="D175">
        <f>'0506-table1'!G20</f>
        <v>0.86199999999999999</v>
      </c>
    </row>
    <row r="176" spans="1:4" x14ac:dyDescent="0.25">
      <c r="A176">
        <v>506</v>
      </c>
      <c r="B176">
        <f>'0506-table1'!E21</f>
        <v>30397500</v>
      </c>
      <c r="C176">
        <f>'0506-table1'!F21</f>
        <v>348.15</v>
      </c>
      <c r="D176">
        <f>'0506-table1'!G21</f>
        <v>0.878</v>
      </c>
    </row>
    <row r="177" spans="1:5" x14ac:dyDescent="0.25">
      <c r="A177">
        <v>308</v>
      </c>
      <c r="B177">
        <f>'0308-table5'!G2</f>
        <v>2068427.1839999999</v>
      </c>
      <c r="C177">
        <f>'0308-table5'!H2</f>
        <v>298.14999999999998</v>
      </c>
      <c r="E177">
        <f>'0308-table5'!I2</f>
        <v>8.755E-5</v>
      </c>
    </row>
    <row r="178" spans="1:5" x14ac:dyDescent="0.25">
      <c r="A178">
        <v>308</v>
      </c>
      <c r="B178">
        <f>'0308-table5'!G3</f>
        <v>2068427.1839999999</v>
      </c>
      <c r="C178">
        <f>'0308-table5'!H3</f>
        <v>273.14999999999998</v>
      </c>
      <c r="E178">
        <f>'0308-table5'!I3</f>
        <v>5.5650000000000004E-5</v>
      </c>
    </row>
    <row r="179" spans="1:5" x14ac:dyDescent="0.25">
      <c r="A179">
        <v>308</v>
      </c>
      <c r="B179">
        <f>'0308-table5'!G4</f>
        <v>2068427.1839999999</v>
      </c>
      <c r="C179">
        <f>'0308-table5'!H4</f>
        <v>253.14999999999998</v>
      </c>
      <c r="E179">
        <f>'0308-table5'!I4</f>
        <v>3.8080000000000001E-5</v>
      </c>
    </row>
    <row r="180" spans="1:5" x14ac:dyDescent="0.25">
      <c r="A180">
        <v>308</v>
      </c>
      <c r="B180">
        <f>'0308-table5'!G5</f>
        <v>2068427.1839999999</v>
      </c>
      <c r="C180">
        <f>'0308-table5'!H5</f>
        <v>231.54999999999998</v>
      </c>
      <c r="E180">
        <f>'0308-table5'!I5</f>
        <v>2.4470000000000001E-5</v>
      </c>
    </row>
    <row r="181" spans="1:5" x14ac:dyDescent="0.25">
      <c r="A181">
        <v>308</v>
      </c>
      <c r="B181">
        <f>'0308-table5'!G6</f>
        <v>2068427.1839999999</v>
      </c>
      <c r="C181">
        <f>'0308-table5'!H6</f>
        <v>209.14999999999998</v>
      </c>
      <c r="E181">
        <f>'0308-table5'!I6</f>
        <v>1.415E-5</v>
      </c>
    </row>
    <row r="182" spans="1:5" x14ac:dyDescent="0.25">
      <c r="A182">
        <v>319</v>
      </c>
      <c r="B182">
        <f>'0319-table1'!M2</f>
        <v>10132500</v>
      </c>
      <c r="C182">
        <f>'0319-table1'!N2</f>
        <v>273.14999999999998</v>
      </c>
      <c r="E182">
        <f>'0319-table1'!P2</f>
        <v>5.0646175173961775E-3</v>
      </c>
    </row>
    <row r="183" spans="1:5" x14ac:dyDescent="0.25">
      <c r="A183">
        <v>319</v>
      </c>
      <c r="B183">
        <f>'0319-table1'!M3</f>
        <v>20265000</v>
      </c>
      <c r="C183">
        <f>'0319-table1'!N3</f>
        <v>273.14999999999998</v>
      </c>
      <c r="E183">
        <f>'0319-table1'!P3</f>
        <v>9.8622337523848608E-3</v>
      </c>
    </row>
    <row r="184" spans="1:5" x14ac:dyDescent="0.25">
      <c r="A184">
        <v>319</v>
      </c>
      <c r="B184">
        <f>'0319-table1'!M4</f>
        <v>40530000</v>
      </c>
      <c r="C184">
        <f>'0319-table1'!N4</f>
        <v>273.14999999999998</v>
      </c>
      <c r="E184">
        <f>'0319-table1'!P4</f>
        <v>1.814949112408663E-2</v>
      </c>
    </row>
    <row r="185" spans="1:5" x14ac:dyDescent="0.25">
      <c r="A185">
        <v>319</v>
      </c>
      <c r="B185">
        <f>'0319-table1'!M5</f>
        <v>60795000</v>
      </c>
      <c r="C185">
        <f>'0319-table1'!N5</f>
        <v>273.14999999999998</v>
      </c>
      <c r="E185">
        <f>'0319-table1'!P5</f>
        <v>2.51741703634101E-2</v>
      </c>
    </row>
    <row r="186" spans="1:5" x14ac:dyDescent="0.25">
      <c r="A186">
        <v>319</v>
      </c>
      <c r="B186">
        <f>'0319-table1'!M6</f>
        <v>81060000</v>
      </c>
      <c r="C186">
        <f>'0319-table1'!N6</f>
        <v>273.14999999999998</v>
      </c>
      <c r="E186">
        <f>'0319-table1'!P6</f>
        <v>3.1158599678305806E-2</v>
      </c>
    </row>
    <row r="187" spans="1:5" x14ac:dyDescent="0.25">
      <c r="A187">
        <v>319</v>
      </c>
      <c r="B187">
        <f>'0319-table1'!M7</f>
        <v>101325000</v>
      </c>
      <c r="C187">
        <f>'0319-table1'!N7</f>
        <v>273.14999999999998</v>
      </c>
      <c r="E187">
        <f>'0319-table1'!P7</f>
        <v>3.6435554369137736E-2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18F57-6770-4D75-A714-B2C4DDBC5A16}">
  <dimension ref="A1:C13"/>
  <sheetViews>
    <sheetView workbookViewId="0">
      <selection activeCell="B19" sqref="B19"/>
    </sheetView>
  </sheetViews>
  <sheetFormatPr defaultRowHeight="15" x14ac:dyDescent="0.25"/>
  <cols>
    <col min="2" max="2" width="10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307</v>
      </c>
      <c r="B2" t="s">
        <v>48</v>
      </c>
      <c r="C2" t="s">
        <v>16</v>
      </c>
    </row>
    <row r="3" spans="1:3" x14ac:dyDescent="0.25">
      <c r="A3">
        <v>308</v>
      </c>
      <c r="B3" t="s">
        <v>52</v>
      </c>
      <c r="C3" t="s">
        <v>16</v>
      </c>
    </row>
    <row r="4" spans="1:3" x14ac:dyDescent="0.25">
      <c r="A4">
        <v>314</v>
      </c>
      <c r="B4" t="s">
        <v>47</v>
      </c>
      <c r="C4" t="s">
        <v>16</v>
      </c>
    </row>
    <row r="5" spans="1:3" x14ac:dyDescent="0.25">
      <c r="A5">
        <v>319</v>
      </c>
      <c r="B5" t="s">
        <v>16</v>
      </c>
      <c r="C5" t="s">
        <v>16</v>
      </c>
    </row>
    <row r="6" spans="1:3" x14ac:dyDescent="0.25">
      <c r="A6">
        <v>500</v>
      </c>
      <c r="B6" t="s">
        <v>55</v>
      </c>
      <c r="C6" t="s">
        <v>16</v>
      </c>
    </row>
    <row r="7" spans="1:3" x14ac:dyDescent="0.25">
      <c r="A7">
        <v>501</v>
      </c>
      <c r="B7" t="s">
        <v>3</v>
      </c>
      <c r="C7" t="s">
        <v>16</v>
      </c>
    </row>
    <row r="8" spans="1:3" x14ac:dyDescent="0.25">
      <c r="A8">
        <v>502</v>
      </c>
      <c r="B8" t="s">
        <v>16</v>
      </c>
      <c r="C8" t="s">
        <v>16</v>
      </c>
    </row>
    <row r="9" spans="1:3" x14ac:dyDescent="0.25">
      <c r="A9">
        <v>503</v>
      </c>
      <c r="B9" t="s">
        <v>56</v>
      </c>
      <c r="C9" t="s">
        <v>16</v>
      </c>
    </row>
    <row r="10" spans="1:3" x14ac:dyDescent="0.25">
      <c r="A10">
        <v>504</v>
      </c>
      <c r="B10" t="s">
        <v>15</v>
      </c>
      <c r="C10" t="s">
        <v>16</v>
      </c>
    </row>
    <row r="11" spans="1:3" x14ac:dyDescent="0.25">
      <c r="A11">
        <v>505</v>
      </c>
      <c r="B11" t="s">
        <v>40</v>
      </c>
      <c r="C11" t="s">
        <v>16</v>
      </c>
    </row>
    <row r="12" spans="1:3" x14ac:dyDescent="0.25">
      <c r="A12">
        <v>506</v>
      </c>
      <c r="B12" t="s">
        <v>57</v>
      </c>
      <c r="C12" t="s">
        <v>16</v>
      </c>
    </row>
    <row r="13" spans="1:3" x14ac:dyDescent="0.25">
      <c r="A13">
        <v>511</v>
      </c>
      <c r="B13" t="s">
        <v>47</v>
      </c>
      <c r="C13" t="s">
        <v>16</v>
      </c>
    </row>
  </sheetData>
  <sortState xmlns:xlrd2="http://schemas.microsoft.com/office/spreadsheetml/2017/richdata2" ref="A2:C13">
    <sortCondition ref="A2:A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19A7-819B-4FEB-939C-17A1552C7BC6}">
  <dimension ref="A1:M50"/>
  <sheetViews>
    <sheetView topLeftCell="A22" workbookViewId="0">
      <selection activeCell="V35" sqref="V35"/>
    </sheetView>
  </sheetViews>
  <sheetFormatPr defaultRowHeight="15" x14ac:dyDescent="0.25"/>
  <cols>
    <col min="2" max="2" width="15.5703125" bestFit="1" customWidth="1"/>
    <col min="6" max="6" width="16.7109375" bestFit="1" customWidth="1"/>
  </cols>
  <sheetData>
    <row r="1" spans="1:13" x14ac:dyDescent="0.25">
      <c r="A1" t="s">
        <v>17</v>
      </c>
      <c r="B1" t="s">
        <v>18</v>
      </c>
      <c r="C1" t="s">
        <v>19</v>
      </c>
      <c r="E1" t="s">
        <v>24</v>
      </c>
      <c r="F1" t="s">
        <v>25</v>
      </c>
      <c r="H1" t="s">
        <v>7</v>
      </c>
      <c r="I1" t="s">
        <v>8</v>
      </c>
      <c r="J1" t="s">
        <v>19</v>
      </c>
      <c r="K1" t="s">
        <v>9</v>
      </c>
      <c r="L1" t="s">
        <v>22</v>
      </c>
      <c r="M1" t="s">
        <v>23</v>
      </c>
    </row>
    <row r="2" spans="1:13" x14ac:dyDescent="0.25">
      <c r="A2">
        <v>223.17</v>
      </c>
      <c r="B2">
        <v>40</v>
      </c>
      <c r="C2">
        <v>0.66010000000000002</v>
      </c>
      <c r="E2">
        <v>6894.76</v>
      </c>
      <c r="F2" t="s">
        <v>26</v>
      </c>
      <c r="H2">
        <f t="shared" ref="H2:H33" si="0">A2*$E$2</f>
        <v>1538703.5892</v>
      </c>
      <c r="I2">
        <f>(B2-32)*5/9+273.15</f>
        <v>277.59444444444443</v>
      </c>
      <c r="J2">
        <f>C2</f>
        <v>0.66010000000000002</v>
      </c>
    </row>
    <row r="3" spans="1:13" x14ac:dyDescent="0.25">
      <c r="A3">
        <v>378.94</v>
      </c>
      <c r="B3">
        <v>40</v>
      </c>
      <c r="C3">
        <v>0.79069999999999996</v>
      </c>
      <c r="H3">
        <f t="shared" si="0"/>
        <v>2612700.3544000001</v>
      </c>
      <c r="I3">
        <f t="shared" ref="I3:I50" si="1">(B3-32)*5/9+273.15</f>
        <v>277.59444444444443</v>
      </c>
      <c r="J3">
        <f t="shared" ref="J3:J50" si="2">C3</f>
        <v>0.79069999999999996</v>
      </c>
    </row>
    <row r="4" spans="1:13" x14ac:dyDescent="0.25">
      <c r="A4">
        <v>499.16</v>
      </c>
      <c r="B4">
        <v>40</v>
      </c>
      <c r="C4">
        <v>0.83699999999999997</v>
      </c>
      <c r="H4">
        <f t="shared" si="0"/>
        <v>3441588.4016000004</v>
      </c>
      <c r="I4">
        <f t="shared" si="1"/>
        <v>277.59444444444443</v>
      </c>
      <c r="J4">
        <f t="shared" si="2"/>
        <v>0.83699999999999997</v>
      </c>
    </row>
    <row r="5" spans="1:13" x14ac:dyDescent="0.25">
      <c r="A5">
        <v>699.92</v>
      </c>
      <c r="B5">
        <v>40</v>
      </c>
      <c r="C5">
        <v>0.88039999999999996</v>
      </c>
      <c r="H5">
        <f t="shared" si="0"/>
        <v>4825780.4191999994</v>
      </c>
      <c r="I5">
        <f t="shared" si="1"/>
        <v>277.59444444444443</v>
      </c>
      <c r="J5">
        <f t="shared" si="2"/>
        <v>0.88039999999999996</v>
      </c>
    </row>
    <row r="6" spans="1:13" x14ac:dyDescent="0.25">
      <c r="A6">
        <v>1133.06</v>
      </c>
      <c r="B6">
        <v>40</v>
      </c>
      <c r="C6">
        <v>0.92179999999999995</v>
      </c>
      <c r="H6">
        <f t="shared" si="0"/>
        <v>7812176.7655999996</v>
      </c>
      <c r="I6">
        <f t="shared" si="1"/>
        <v>277.59444444444443</v>
      </c>
      <c r="J6">
        <f t="shared" si="2"/>
        <v>0.92179999999999995</v>
      </c>
    </row>
    <row r="7" spans="1:13" x14ac:dyDescent="0.25">
      <c r="A7">
        <v>1504.94</v>
      </c>
      <c r="B7">
        <v>40</v>
      </c>
      <c r="C7">
        <v>0.94010000000000005</v>
      </c>
      <c r="H7">
        <f t="shared" si="0"/>
        <v>10376200.114400001</v>
      </c>
      <c r="I7">
        <f t="shared" si="1"/>
        <v>277.59444444444443</v>
      </c>
      <c r="J7">
        <f t="shared" si="2"/>
        <v>0.94010000000000005</v>
      </c>
    </row>
    <row r="8" spans="1:13" x14ac:dyDescent="0.25">
      <c r="A8">
        <v>2091.63</v>
      </c>
      <c r="B8">
        <v>40</v>
      </c>
      <c r="C8">
        <v>0.95399999999999996</v>
      </c>
      <c r="H8">
        <f t="shared" si="0"/>
        <v>14421286.858800001</v>
      </c>
      <c r="I8">
        <f t="shared" si="1"/>
        <v>277.59444444444443</v>
      </c>
      <c r="J8">
        <f t="shared" si="2"/>
        <v>0.95399999999999996</v>
      </c>
    </row>
    <row r="9" spans="1:13" x14ac:dyDescent="0.25">
      <c r="A9">
        <v>3200.43</v>
      </c>
      <c r="B9">
        <v>40</v>
      </c>
      <c r="C9">
        <v>0.96379999999999999</v>
      </c>
      <c r="H9">
        <f t="shared" si="0"/>
        <v>22066196.746799998</v>
      </c>
      <c r="I9">
        <f t="shared" si="1"/>
        <v>277.59444444444443</v>
      </c>
      <c r="J9">
        <f t="shared" si="2"/>
        <v>0.96379999999999999</v>
      </c>
    </row>
    <row r="10" spans="1:13" x14ac:dyDescent="0.25">
      <c r="A10">
        <v>4600.55</v>
      </c>
      <c r="B10">
        <v>40</v>
      </c>
      <c r="C10">
        <v>0.97019999999999995</v>
      </c>
      <c r="H10">
        <f t="shared" si="0"/>
        <v>31719688.118000001</v>
      </c>
      <c r="I10">
        <f t="shared" si="1"/>
        <v>277.59444444444443</v>
      </c>
      <c r="J10">
        <f t="shared" si="2"/>
        <v>0.97019999999999995</v>
      </c>
    </row>
    <row r="11" spans="1:13" x14ac:dyDescent="0.25">
      <c r="A11">
        <v>5213.8</v>
      </c>
      <c r="B11">
        <v>40</v>
      </c>
      <c r="C11">
        <v>0.97070000000000001</v>
      </c>
      <c r="H11">
        <f t="shared" si="0"/>
        <v>35947899.688000001</v>
      </c>
      <c r="I11">
        <f t="shared" si="1"/>
        <v>277.59444444444443</v>
      </c>
      <c r="J11">
        <f t="shared" si="2"/>
        <v>0.97070000000000001</v>
      </c>
    </row>
    <row r="12" spans="1:13" x14ac:dyDescent="0.25">
      <c r="A12">
        <v>356.19</v>
      </c>
      <c r="B12">
        <v>100</v>
      </c>
      <c r="C12">
        <v>0.37430000000000002</v>
      </c>
      <c r="H12">
        <f t="shared" si="0"/>
        <v>2455844.5644</v>
      </c>
      <c r="I12">
        <f t="shared" si="1"/>
        <v>310.92777777777775</v>
      </c>
      <c r="J12">
        <f t="shared" si="2"/>
        <v>0.37430000000000002</v>
      </c>
    </row>
    <row r="13" spans="1:13" x14ac:dyDescent="0.25">
      <c r="A13">
        <v>523.41999999999996</v>
      </c>
      <c r="B13">
        <v>100</v>
      </c>
      <c r="C13">
        <v>0.55510000000000004</v>
      </c>
      <c r="H13">
        <f t="shared" si="0"/>
        <v>3608855.2791999998</v>
      </c>
      <c r="I13">
        <f t="shared" si="1"/>
        <v>310.92777777777775</v>
      </c>
      <c r="J13">
        <f t="shared" si="2"/>
        <v>0.55510000000000004</v>
      </c>
    </row>
    <row r="14" spans="1:13" x14ac:dyDescent="0.25">
      <c r="A14">
        <v>760.64</v>
      </c>
      <c r="B14">
        <v>100</v>
      </c>
      <c r="C14">
        <v>0.67320000000000002</v>
      </c>
      <c r="H14">
        <f t="shared" si="0"/>
        <v>5244430.2464000005</v>
      </c>
      <c r="I14">
        <f t="shared" si="1"/>
        <v>310.92777777777775</v>
      </c>
      <c r="J14">
        <f t="shared" si="2"/>
        <v>0.67320000000000002</v>
      </c>
    </row>
    <row r="15" spans="1:13" x14ac:dyDescent="0.25">
      <c r="A15">
        <v>819.5</v>
      </c>
      <c r="B15">
        <v>100</v>
      </c>
      <c r="C15">
        <v>0.6956</v>
      </c>
      <c r="H15">
        <f t="shared" si="0"/>
        <v>5650255.8200000003</v>
      </c>
      <c r="I15">
        <f t="shared" si="1"/>
        <v>310.92777777777775</v>
      </c>
      <c r="J15">
        <f t="shared" si="2"/>
        <v>0.6956</v>
      </c>
    </row>
    <row r="16" spans="1:13" x14ac:dyDescent="0.25">
      <c r="A16">
        <v>899.73</v>
      </c>
      <c r="B16">
        <v>100</v>
      </c>
      <c r="C16">
        <v>0.72789999999999999</v>
      </c>
      <c r="H16">
        <f t="shared" si="0"/>
        <v>6203422.4148000004</v>
      </c>
      <c r="I16">
        <f t="shared" si="1"/>
        <v>310.92777777777775</v>
      </c>
      <c r="J16">
        <f t="shared" si="2"/>
        <v>0.72789999999999999</v>
      </c>
    </row>
    <row r="17" spans="1:10" x14ac:dyDescent="0.25">
      <c r="A17">
        <v>1010.07</v>
      </c>
      <c r="B17">
        <v>100</v>
      </c>
      <c r="C17">
        <v>0.74390000000000001</v>
      </c>
      <c r="H17">
        <f t="shared" si="0"/>
        <v>6964190.2332000006</v>
      </c>
      <c r="I17">
        <f t="shared" si="1"/>
        <v>310.92777777777775</v>
      </c>
      <c r="J17">
        <f t="shared" si="2"/>
        <v>0.74390000000000001</v>
      </c>
    </row>
    <row r="18" spans="1:10" x14ac:dyDescent="0.25">
      <c r="A18">
        <v>1212.8399999999999</v>
      </c>
      <c r="B18">
        <v>100</v>
      </c>
      <c r="C18">
        <v>0.78779999999999994</v>
      </c>
      <c r="H18">
        <f t="shared" si="0"/>
        <v>8362240.7183999997</v>
      </c>
      <c r="I18">
        <f t="shared" si="1"/>
        <v>310.92777777777775</v>
      </c>
      <c r="J18">
        <f t="shared" si="2"/>
        <v>0.78779999999999994</v>
      </c>
    </row>
    <row r="19" spans="1:10" x14ac:dyDescent="0.25">
      <c r="A19">
        <v>1690.47</v>
      </c>
      <c r="B19">
        <v>100</v>
      </c>
      <c r="C19">
        <v>0.83630000000000004</v>
      </c>
      <c r="H19">
        <f t="shared" si="0"/>
        <v>11655384.937200001</v>
      </c>
      <c r="I19">
        <f t="shared" si="1"/>
        <v>310.92777777777775</v>
      </c>
      <c r="J19">
        <f t="shared" si="2"/>
        <v>0.83630000000000004</v>
      </c>
    </row>
    <row r="20" spans="1:10" x14ac:dyDescent="0.25">
      <c r="A20">
        <v>2076.92</v>
      </c>
      <c r="B20">
        <v>100</v>
      </c>
      <c r="C20">
        <v>0.85880000000000001</v>
      </c>
      <c r="H20">
        <f t="shared" si="0"/>
        <v>14319864.939200001</v>
      </c>
      <c r="I20">
        <f t="shared" si="1"/>
        <v>310.92777777777775</v>
      </c>
      <c r="J20">
        <f t="shared" si="2"/>
        <v>0.85880000000000001</v>
      </c>
    </row>
    <row r="21" spans="1:10" x14ac:dyDescent="0.25">
      <c r="A21">
        <v>2600.9899999999998</v>
      </c>
      <c r="B21">
        <v>100</v>
      </c>
      <c r="C21">
        <v>0.88100000000000001</v>
      </c>
      <c r="H21">
        <f t="shared" si="0"/>
        <v>17933201.812399998</v>
      </c>
      <c r="I21">
        <f t="shared" si="1"/>
        <v>310.92777777777775</v>
      </c>
      <c r="J21">
        <f t="shared" si="2"/>
        <v>0.88100000000000001</v>
      </c>
    </row>
    <row r="22" spans="1:10" x14ac:dyDescent="0.25">
      <c r="A22">
        <v>3068.58</v>
      </c>
      <c r="B22">
        <v>100</v>
      </c>
      <c r="C22">
        <v>0.89119999999999999</v>
      </c>
      <c r="H22">
        <f t="shared" si="0"/>
        <v>21157122.640799999</v>
      </c>
      <c r="I22">
        <f t="shared" si="1"/>
        <v>310.92777777777775</v>
      </c>
      <c r="J22">
        <f t="shared" si="2"/>
        <v>0.89119999999999999</v>
      </c>
    </row>
    <row r="23" spans="1:10" x14ac:dyDescent="0.25">
      <c r="A23">
        <v>4443.12</v>
      </c>
      <c r="B23">
        <v>100</v>
      </c>
      <c r="C23">
        <v>0.91659999999999997</v>
      </c>
      <c r="H23">
        <f t="shared" si="0"/>
        <v>30634246.051199999</v>
      </c>
      <c r="I23">
        <f t="shared" si="1"/>
        <v>310.92777777777775</v>
      </c>
      <c r="J23">
        <f t="shared" si="2"/>
        <v>0.91659999999999997</v>
      </c>
    </row>
    <row r="24" spans="1:10" x14ac:dyDescent="0.25">
      <c r="A24">
        <v>5908.38</v>
      </c>
      <c r="B24">
        <v>100</v>
      </c>
      <c r="C24">
        <v>0.92620000000000002</v>
      </c>
      <c r="H24">
        <f t="shared" si="0"/>
        <v>40736862.088800006</v>
      </c>
      <c r="I24">
        <f t="shared" si="1"/>
        <v>310.92777777777775</v>
      </c>
      <c r="J24">
        <f t="shared" si="2"/>
        <v>0.92620000000000002</v>
      </c>
    </row>
    <row r="25" spans="1:10" x14ac:dyDescent="0.25">
      <c r="A25">
        <v>784.32</v>
      </c>
      <c r="B25">
        <v>160</v>
      </c>
      <c r="C25">
        <v>0.3044</v>
      </c>
      <c r="H25">
        <f t="shared" si="0"/>
        <v>5407698.1632000003</v>
      </c>
      <c r="I25">
        <f t="shared" si="1"/>
        <v>344.26111111111106</v>
      </c>
      <c r="J25">
        <f t="shared" si="2"/>
        <v>0.3044</v>
      </c>
    </row>
    <row r="26" spans="1:10" x14ac:dyDescent="0.25">
      <c r="A26">
        <v>1056.95</v>
      </c>
      <c r="B26">
        <v>160</v>
      </c>
      <c r="C26">
        <v>0.44440000000000002</v>
      </c>
      <c r="H26">
        <f t="shared" si="0"/>
        <v>7287416.5820000004</v>
      </c>
      <c r="I26">
        <f t="shared" si="1"/>
        <v>344.26111111111106</v>
      </c>
      <c r="J26">
        <f t="shared" si="2"/>
        <v>0.44440000000000002</v>
      </c>
    </row>
    <row r="27" spans="1:10" x14ac:dyDescent="0.25">
      <c r="A27">
        <v>1430.25</v>
      </c>
      <c r="B27">
        <v>160</v>
      </c>
      <c r="C27">
        <v>0.56200000000000006</v>
      </c>
      <c r="H27">
        <f t="shared" si="0"/>
        <v>9861230.4900000002</v>
      </c>
      <c r="I27">
        <f t="shared" si="1"/>
        <v>344.26111111111106</v>
      </c>
      <c r="J27">
        <f t="shared" si="2"/>
        <v>0.56200000000000006</v>
      </c>
    </row>
    <row r="28" spans="1:10" x14ac:dyDescent="0.25">
      <c r="A28">
        <v>1810.86</v>
      </c>
      <c r="B28">
        <v>160</v>
      </c>
      <c r="C28">
        <v>0.63009999999999999</v>
      </c>
      <c r="H28">
        <f t="shared" si="0"/>
        <v>12485445.093599999</v>
      </c>
      <c r="I28">
        <f t="shared" si="1"/>
        <v>344.26111111111106</v>
      </c>
      <c r="J28">
        <f t="shared" si="2"/>
        <v>0.63009999999999999</v>
      </c>
    </row>
    <row r="29" spans="1:10" x14ac:dyDescent="0.25">
      <c r="A29">
        <v>2344.5700000000002</v>
      </c>
      <c r="B29">
        <v>160</v>
      </c>
      <c r="C29">
        <v>0.69120000000000004</v>
      </c>
      <c r="H29">
        <f t="shared" si="0"/>
        <v>16165247.453200001</v>
      </c>
      <c r="I29">
        <f t="shared" si="1"/>
        <v>344.26111111111106</v>
      </c>
      <c r="J29">
        <f t="shared" si="2"/>
        <v>0.69120000000000004</v>
      </c>
    </row>
    <row r="30" spans="1:10" x14ac:dyDescent="0.25">
      <c r="A30">
        <v>3400.04</v>
      </c>
      <c r="B30">
        <v>160</v>
      </c>
      <c r="C30">
        <v>0.75960000000000005</v>
      </c>
      <c r="H30">
        <f t="shared" si="0"/>
        <v>23442459.790400002</v>
      </c>
      <c r="I30">
        <f t="shared" si="1"/>
        <v>344.26111111111106</v>
      </c>
      <c r="J30">
        <f t="shared" si="2"/>
        <v>0.75960000000000005</v>
      </c>
    </row>
    <row r="31" spans="1:10" x14ac:dyDescent="0.25">
      <c r="A31">
        <v>4512.68</v>
      </c>
      <c r="B31">
        <v>160</v>
      </c>
      <c r="C31">
        <v>0.79859999999999998</v>
      </c>
      <c r="H31">
        <f t="shared" si="0"/>
        <v>31113845.556800004</v>
      </c>
      <c r="I31">
        <f t="shared" si="1"/>
        <v>344.26111111111106</v>
      </c>
      <c r="J31">
        <f t="shared" si="2"/>
        <v>0.79859999999999998</v>
      </c>
    </row>
    <row r="32" spans="1:10" x14ac:dyDescent="0.25">
      <c r="A32">
        <v>5499.56</v>
      </c>
      <c r="B32">
        <v>160</v>
      </c>
      <c r="C32">
        <v>0.81850000000000001</v>
      </c>
      <c r="H32">
        <f t="shared" si="0"/>
        <v>37918146.305600002</v>
      </c>
      <c r="I32">
        <f t="shared" si="1"/>
        <v>344.26111111111106</v>
      </c>
      <c r="J32">
        <f t="shared" si="2"/>
        <v>0.81850000000000001</v>
      </c>
    </row>
    <row r="33" spans="1:10" x14ac:dyDescent="0.25">
      <c r="A33">
        <v>1556.16</v>
      </c>
      <c r="B33">
        <v>220</v>
      </c>
      <c r="C33">
        <v>0.23119999999999999</v>
      </c>
      <c r="H33">
        <f t="shared" si="0"/>
        <v>10729349.721600002</v>
      </c>
      <c r="I33">
        <f t="shared" si="1"/>
        <v>377.59444444444443</v>
      </c>
      <c r="J33">
        <f t="shared" si="2"/>
        <v>0.23119999999999999</v>
      </c>
    </row>
    <row r="34" spans="1:10" x14ac:dyDescent="0.25">
      <c r="A34">
        <v>1746.45</v>
      </c>
      <c r="B34">
        <v>220</v>
      </c>
      <c r="C34">
        <v>0.2772</v>
      </c>
      <c r="H34">
        <f t="shared" ref="H34:H50" si="3">A34*$E$2</f>
        <v>12041353.602</v>
      </c>
      <c r="I34">
        <f t="shared" si="1"/>
        <v>377.59444444444443</v>
      </c>
      <c r="J34">
        <f t="shared" si="2"/>
        <v>0.2772</v>
      </c>
    </row>
    <row r="35" spans="1:10" x14ac:dyDescent="0.25">
      <c r="A35">
        <v>1967.84</v>
      </c>
      <c r="B35">
        <v>220</v>
      </c>
      <c r="C35">
        <v>0.32269999999999999</v>
      </c>
      <c r="H35">
        <f t="shared" si="3"/>
        <v>13567784.5184</v>
      </c>
      <c r="I35">
        <f t="shared" si="1"/>
        <v>377.59444444444443</v>
      </c>
      <c r="J35">
        <f t="shared" si="2"/>
        <v>0.32269999999999999</v>
      </c>
    </row>
    <row r="36" spans="1:10" x14ac:dyDescent="0.25">
      <c r="A36">
        <v>2190.0100000000002</v>
      </c>
      <c r="B36">
        <v>220</v>
      </c>
      <c r="C36">
        <v>0.35670000000000002</v>
      </c>
      <c r="H36">
        <f t="shared" si="3"/>
        <v>15099593.347600002</v>
      </c>
      <c r="I36">
        <f t="shared" si="1"/>
        <v>377.59444444444443</v>
      </c>
      <c r="J36">
        <f t="shared" si="2"/>
        <v>0.35670000000000002</v>
      </c>
    </row>
    <row r="37" spans="1:10" x14ac:dyDescent="0.25">
      <c r="A37">
        <v>2502.02</v>
      </c>
      <c r="B37">
        <v>220</v>
      </c>
      <c r="C37">
        <v>0.40660000000000002</v>
      </c>
      <c r="H37">
        <f t="shared" si="3"/>
        <v>17250827.415199999</v>
      </c>
      <c r="I37">
        <f t="shared" si="1"/>
        <v>377.59444444444443</v>
      </c>
      <c r="J37">
        <f t="shared" si="2"/>
        <v>0.40660000000000002</v>
      </c>
    </row>
    <row r="38" spans="1:10" x14ac:dyDescent="0.25">
      <c r="A38">
        <v>2810.52</v>
      </c>
      <c r="B38">
        <v>220</v>
      </c>
      <c r="C38">
        <v>0.44180000000000003</v>
      </c>
      <c r="H38">
        <f t="shared" si="3"/>
        <v>19377860.8752</v>
      </c>
      <c r="I38">
        <f t="shared" si="1"/>
        <v>377.59444444444443</v>
      </c>
      <c r="J38">
        <f t="shared" si="2"/>
        <v>0.44180000000000003</v>
      </c>
    </row>
    <row r="39" spans="1:10" x14ac:dyDescent="0.25">
      <c r="A39">
        <v>3083.67</v>
      </c>
      <c r="B39">
        <v>220</v>
      </c>
      <c r="C39">
        <v>0.47060000000000002</v>
      </c>
      <c r="H39">
        <f t="shared" si="3"/>
        <v>21261164.569200002</v>
      </c>
      <c r="I39">
        <f t="shared" si="1"/>
        <v>377.59444444444443</v>
      </c>
      <c r="J39">
        <f t="shared" si="2"/>
        <v>0.47060000000000002</v>
      </c>
    </row>
    <row r="40" spans="1:10" x14ac:dyDescent="0.25">
      <c r="A40">
        <v>3406.84</v>
      </c>
      <c r="B40">
        <v>220</v>
      </c>
      <c r="C40">
        <v>0.497</v>
      </c>
      <c r="H40">
        <f t="shared" si="3"/>
        <v>23489344.158400003</v>
      </c>
      <c r="I40">
        <f t="shared" si="1"/>
        <v>377.59444444444443</v>
      </c>
      <c r="J40">
        <f t="shared" si="2"/>
        <v>0.497</v>
      </c>
    </row>
    <row r="41" spans="1:10" x14ac:dyDescent="0.25">
      <c r="A41">
        <v>3718.2</v>
      </c>
      <c r="B41">
        <v>220</v>
      </c>
      <c r="C41">
        <v>0.51659999999999995</v>
      </c>
      <c r="H41">
        <f t="shared" si="3"/>
        <v>25636096.631999999</v>
      </c>
      <c r="I41">
        <f t="shared" si="1"/>
        <v>377.59444444444443</v>
      </c>
      <c r="J41">
        <f t="shared" si="2"/>
        <v>0.51659999999999995</v>
      </c>
    </row>
    <row r="42" spans="1:10" x14ac:dyDescent="0.25">
      <c r="A42">
        <v>4003.3</v>
      </c>
      <c r="B42">
        <v>220</v>
      </c>
      <c r="C42">
        <v>0.53110000000000002</v>
      </c>
      <c r="H42">
        <f t="shared" si="3"/>
        <v>27601792.708000001</v>
      </c>
      <c r="I42">
        <f t="shared" si="1"/>
        <v>377.59444444444443</v>
      </c>
      <c r="J42">
        <f t="shared" si="2"/>
        <v>0.53110000000000002</v>
      </c>
    </row>
    <row r="43" spans="1:10" x14ac:dyDescent="0.25">
      <c r="A43">
        <v>4497.34</v>
      </c>
      <c r="B43">
        <v>220</v>
      </c>
      <c r="C43">
        <v>0.56000000000000005</v>
      </c>
      <c r="H43">
        <f t="shared" si="3"/>
        <v>31008079.9384</v>
      </c>
      <c r="I43">
        <f t="shared" si="1"/>
        <v>377.59444444444443</v>
      </c>
      <c r="J43">
        <f t="shared" si="2"/>
        <v>0.56000000000000005</v>
      </c>
    </row>
    <row r="44" spans="1:10" x14ac:dyDescent="0.25">
      <c r="A44">
        <v>4895.1400000000003</v>
      </c>
      <c r="B44">
        <v>220</v>
      </c>
      <c r="C44">
        <v>0.57430000000000003</v>
      </c>
      <c r="H44">
        <f t="shared" si="3"/>
        <v>33750815.466400005</v>
      </c>
      <c r="I44">
        <f t="shared" si="1"/>
        <v>377.59444444444443</v>
      </c>
      <c r="J44">
        <f t="shared" si="2"/>
        <v>0.57430000000000003</v>
      </c>
    </row>
    <row r="45" spans="1:10" x14ac:dyDescent="0.25">
      <c r="A45">
        <v>5539.21</v>
      </c>
      <c r="B45">
        <v>220</v>
      </c>
      <c r="C45">
        <v>0.59699999999999998</v>
      </c>
      <c r="H45">
        <f t="shared" si="3"/>
        <v>38191523.5396</v>
      </c>
      <c r="I45">
        <f t="shared" si="1"/>
        <v>377.59444444444443</v>
      </c>
      <c r="J45">
        <f t="shared" si="2"/>
        <v>0.59699999999999998</v>
      </c>
    </row>
    <row r="46" spans="1:10" x14ac:dyDescent="0.25">
      <c r="A46">
        <v>6046.12</v>
      </c>
      <c r="B46">
        <v>220</v>
      </c>
      <c r="C46">
        <v>0.60929999999999995</v>
      </c>
      <c r="H46">
        <f t="shared" si="3"/>
        <v>41686546.331200004</v>
      </c>
      <c r="I46">
        <f t="shared" si="1"/>
        <v>377.59444444444443</v>
      </c>
      <c r="J46">
        <f t="shared" si="2"/>
        <v>0.60929999999999995</v>
      </c>
    </row>
    <row r="47" spans="1:10" x14ac:dyDescent="0.25">
      <c r="A47">
        <v>2524.7199999999998</v>
      </c>
      <c r="B47">
        <v>250</v>
      </c>
      <c r="C47">
        <v>0.23669999999999999</v>
      </c>
      <c r="H47">
        <f t="shared" si="3"/>
        <v>17407338.4672</v>
      </c>
      <c r="I47">
        <f t="shared" si="1"/>
        <v>394.26111111111106</v>
      </c>
      <c r="J47">
        <f t="shared" si="2"/>
        <v>0.23669999999999999</v>
      </c>
    </row>
    <row r="48" spans="1:10" x14ac:dyDescent="0.25">
      <c r="A48">
        <v>3123.68</v>
      </c>
      <c r="B48">
        <v>250</v>
      </c>
      <c r="C48">
        <v>0.28839999999999999</v>
      </c>
      <c r="H48">
        <f t="shared" si="3"/>
        <v>21537023.9168</v>
      </c>
      <c r="I48">
        <f t="shared" si="1"/>
        <v>394.26111111111106</v>
      </c>
      <c r="J48">
        <f t="shared" si="2"/>
        <v>0.28839999999999999</v>
      </c>
    </row>
    <row r="49" spans="1:10" x14ac:dyDescent="0.25">
      <c r="A49">
        <v>4173.62</v>
      </c>
      <c r="B49">
        <v>250</v>
      </c>
      <c r="C49">
        <v>0.34300000000000003</v>
      </c>
      <c r="H49">
        <f t="shared" si="3"/>
        <v>28776108.231199998</v>
      </c>
      <c r="I49">
        <f t="shared" si="1"/>
        <v>394.26111111111106</v>
      </c>
      <c r="J49">
        <f t="shared" si="2"/>
        <v>0.34300000000000003</v>
      </c>
    </row>
    <row r="50" spans="1:10" x14ac:dyDescent="0.25">
      <c r="A50">
        <v>4604.71</v>
      </c>
      <c r="B50">
        <v>250</v>
      </c>
      <c r="C50">
        <v>0.35339999999999999</v>
      </c>
      <c r="H50">
        <f t="shared" si="3"/>
        <v>31748370.319600001</v>
      </c>
      <c r="I50">
        <f t="shared" si="1"/>
        <v>394.26111111111106</v>
      </c>
      <c r="J50">
        <f t="shared" si="2"/>
        <v>0.35339999999999999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9BC3-33AC-4000-8BEC-85F7D0B1621C}">
  <dimension ref="A1:P63"/>
  <sheetViews>
    <sheetView topLeftCell="A40" workbookViewId="0">
      <selection activeCell="A45" sqref="A45"/>
    </sheetView>
  </sheetViews>
  <sheetFormatPr defaultRowHeight="15" x14ac:dyDescent="0.25"/>
  <cols>
    <col min="9" max="9" width="16.7109375" bestFit="1" customWidth="1"/>
  </cols>
  <sheetData>
    <row r="1" spans="1:16" x14ac:dyDescent="0.25">
      <c r="A1" t="s">
        <v>20</v>
      </c>
      <c r="B1" t="s">
        <v>21</v>
      </c>
      <c r="C1" t="s">
        <v>19</v>
      </c>
      <c r="D1" t="s">
        <v>9</v>
      </c>
      <c r="E1" t="s">
        <v>22</v>
      </c>
      <c r="F1" t="s">
        <v>23</v>
      </c>
      <c r="H1" t="s">
        <v>24</v>
      </c>
      <c r="I1" t="s">
        <v>25</v>
      </c>
      <c r="K1" t="s">
        <v>7</v>
      </c>
      <c r="L1" t="s">
        <v>8</v>
      </c>
      <c r="M1" t="s">
        <v>19</v>
      </c>
      <c r="N1" t="s">
        <v>9</v>
      </c>
      <c r="O1" t="s">
        <v>22</v>
      </c>
      <c r="P1" t="s">
        <v>23</v>
      </c>
    </row>
    <row r="2" spans="1:16" x14ac:dyDescent="0.25">
      <c r="A2">
        <v>73.3</v>
      </c>
      <c r="B2">
        <v>40</v>
      </c>
      <c r="C2">
        <v>0</v>
      </c>
      <c r="D2">
        <v>0</v>
      </c>
      <c r="F2">
        <v>1</v>
      </c>
      <c r="H2">
        <v>6894.76</v>
      </c>
      <c r="I2" t="s">
        <v>26</v>
      </c>
      <c r="K2">
        <f t="shared" ref="K2:K33" si="0">A2*$H$2</f>
        <v>505385.908</v>
      </c>
      <c r="L2">
        <f>(B2-32)*5/9+273.15</f>
        <v>277.59444444444443</v>
      </c>
      <c r="M2">
        <f>C2</f>
        <v>0</v>
      </c>
      <c r="N2">
        <f t="shared" ref="N2:P2" si="1">D2</f>
        <v>0</v>
      </c>
      <c r="P2">
        <f t="shared" si="1"/>
        <v>1</v>
      </c>
    </row>
    <row r="3" spans="1:16" x14ac:dyDescent="0.25">
      <c r="A3">
        <v>500</v>
      </c>
      <c r="B3">
        <v>40</v>
      </c>
      <c r="C3">
        <v>0.83699999999999997</v>
      </c>
      <c r="D3">
        <v>2.0999999999999999E-3</v>
      </c>
      <c r="E3">
        <v>398.6</v>
      </c>
      <c r="F3">
        <v>0.1633</v>
      </c>
      <c r="K3">
        <f t="shared" si="0"/>
        <v>3447380</v>
      </c>
      <c r="L3">
        <f t="shared" ref="L3:L63" si="2">(B3-32)*5/9+273.15</f>
        <v>277.59444444444443</v>
      </c>
      <c r="M3">
        <f t="shared" ref="M3:M63" si="3">C3</f>
        <v>0.83699999999999997</v>
      </c>
      <c r="N3">
        <f t="shared" ref="N3:N63" si="4">D3</f>
        <v>2.0999999999999999E-3</v>
      </c>
      <c r="O3">
        <f t="shared" ref="O3:O63" si="5">E3</f>
        <v>398.6</v>
      </c>
      <c r="P3">
        <f t="shared" ref="P3:P63" si="6">F3</f>
        <v>0.1633</v>
      </c>
    </row>
    <row r="4" spans="1:16" x14ac:dyDescent="0.25">
      <c r="A4">
        <v>1000</v>
      </c>
      <c r="B4">
        <v>40</v>
      </c>
      <c r="C4">
        <v>0.91439999999999999</v>
      </c>
      <c r="D4">
        <v>4.0000000000000001E-3</v>
      </c>
      <c r="E4">
        <v>228.6</v>
      </c>
      <c r="F4">
        <v>8.5900000000000004E-2</v>
      </c>
      <c r="K4">
        <f t="shared" si="0"/>
        <v>6894760</v>
      </c>
      <c r="L4">
        <f t="shared" si="2"/>
        <v>277.59444444444443</v>
      </c>
      <c r="M4">
        <f t="shared" si="3"/>
        <v>0.91439999999999999</v>
      </c>
      <c r="N4">
        <f t="shared" si="4"/>
        <v>4.0000000000000001E-3</v>
      </c>
      <c r="O4">
        <f t="shared" si="5"/>
        <v>228.6</v>
      </c>
      <c r="P4">
        <f t="shared" si="6"/>
        <v>8.5900000000000004E-2</v>
      </c>
    </row>
    <row r="5" spans="1:16" x14ac:dyDescent="0.25">
      <c r="A5">
        <v>1500</v>
      </c>
      <c r="B5">
        <v>40</v>
      </c>
      <c r="C5">
        <v>0.94010000000000005</v>
      </c>
      <c r="D5">
        <v>5.4999999999999997E-3</v>
      </c>
      <c r="E5">
        <v>170.9</v>
      </c>
      <c r="F5">
        <v>6.0199999999999997E-2</v>
      </c>
      <c r="K5">
        <f t="shared" si="0"/>
        <v>10342140</v>
      </c>
      <c r="L5">
        <f t="shared" si="2"/>
        <v>277.59444444444443</v>
      </c>
      <c r="M5">
        <f t="shared" si="3"/>
        <v>0.94010000000000005</v>
      </c>
      <c r="N5">
        <f t="shared" si="4"/>
        <v>5.4999999999999997E-3</v>
      </c>
      <c r="O5">
        <f t="shared" si="5"/>
        <v>170.9</v>
      </c>
      <c r="P5">
        <f t="shared" si="6"/>
        <v>6.0199999999999997E-2</v>
      </c>
    </row>
    <row r="6" spans="1:16" x14ac:dyDescent="0.25">
      <c r="A6">
        <v>2000</v>
      </c>
      <c r="B6">
        <v>40</v>
      </c>
      <c r="C6">
        <v>0.95240000000000002</v>
      </c>
      <c r="D6">
        <v>7.0000000000000001E-3</v>
      </c>
      <c r="E6">
        <v>136</v>
      </c>
      <c r="F6">
        <v>4.7899999999999998E-2</v>
      </c>
      <c r="K6">
        <f t="shared" si="0"/>
        <v>13789520</v>
      </c>
      <c r="L6">
        <f t="shared" si="2"/>
        <v>277.59444444444443</v>
      </c>
      <c r="M6">
        <f t="shared" si="3"/>
        <v>0.95240000000000002</v>
      </c>
      <c r="N6">
        <f t="shared" si="4"/>
        <v>7.0000000000000001E-3</v>
      </c>
      <c r="O6">
        <f t="shared" si="5"/>
        <v>136</v>
      </c>
      <c r="P6">
        <f t="shared" si="6"/>
        <v>4.7899999999999998E-2</v>
      </c>
    </row>
    <row r="7" spans="1:16" x14ac:dyDescent="0.25">
      <c r="A7">
        <v>2500</v>
      </c>
      <c r="B7">
        <v>40</v>
      </c>
      <c r="C7">
        <v>0.95950000000000002</v>
      </c>
      <c r="D7">
        <v>8.5000000000000006E-3</v>
      </c>
      <c r="E7">
        <v>112.9</v>
      </c>
      <c r="F7">
        <v>4.0800000000000003E-2</v>
      </c>
      <c r="K7">
        <f t="shared" si="0"/>
        <v>17236900</v>
      </c>
      <c r="L7">
        <f t="shared" si="2"/>
        <v>277.59444444444443</v>
      </c>
      <c r="M7">
        <f t="shared" si="3"/>
        <v>0.95950000000000002</v>
      </c>
      <c r="N7">
        <f t="shared" si="4"/>
        <v>8.5000000000000006E-3</v>
      </c>
      <c r="O7">
        <f t="shared" si="5"/>
        <v>112.9</v>
      </c>
      <c r="P7">
        <f t="shared" si="6"/>
        <v>4.0800000000000003E-2</v>
      </c>
    </row>
    <row r="8" spans="1:16" x14ac:dyDescent="0.25">
      <c r="A8">
        <v>3000</v>
      </c>
      <c r="B8">
        <v>40</v>
      </c>
      <c r="C8">
        <v>0.96399999999999997</v>
      </c>
      <c r="D8">
        <v>1.0200000000000001E-2</v>
      </c>
      <c r="E8">
        <v>94.51</v>
      </c>
      <c r="F8">
        <v>3.6400000000000002E-2</v>
      </c>
      <c r="K8">
        <f t="shared" si="0"/>
        <v>20684280</v>
      </c>
      <c r="L8">
        <f t="shared" si="2"/>
        <v>277.59444444444443</v>
      </c>
      <c r="M8">
        <f t="shared" si="3"/>
        <v>0.96399999999999997</v>
      </c>
      <c r="N8">
        <f t="shared" si="4"/>
        <v>1.0200000000000001E-2</v>
      </c>
      <c r="O8">
        <f t="shared" si="5"/>
        <v>94.51</v>
      </c>
      <c r="P8">
        <f t="shared" si="6"/>
        <v>3.6400000000000002E-2</v>
      </c>
    </row>
    <row r="9" spans="1:16" x14ac:dyDescent="0.25">
      <c r="A9">
        <v>3500</v>
      </c>
      <c r="B9">
        <v>40</v>
      </c>
      <c r="C9">
        <v>0.96640000000000004</v>
      </c>
      <c r="D9">
        <v>1.2E-2</v>
      </c>
      <c r="E9">
        <v>80.53</v>
      </c>
      <c r="F9">
        <v>3.4000000000000002E-2</v>
      </c>
      <c r="K9">
        <f t="shared" si="0"/>
        <v>24131660</v>
      </c>
      <c r="L9">
        <f t="shared" si="2"/>
        <v>277.59444444444443</v>
      </c>
      <c r="M9">
        <f t="shared" si="3"/>
        <v>0.96640000000000004</v>
      </c>
      <c r="N9">
        <f t="shared" si="4"/>
        <v>1.2E-2</v>
      </c>
      <c r="O9">
        <f t="shared" si="5"/>
        <v>80.53</v>
      </c>
      <c r="P9">
        <f t="shared" si="6"/>
        <v>3.4000000000000002E-2</v>
      </c>
    </row>
    <row r="10" spans="1:16" x14ac:dyDescent="0.25">
      <c r="A10">
        <v>4000</v>
      </c>
      <c r="B10">
        <v>40</v>
      </c>
      <c r="C10">
        <v>0.96899999999999997</v>
      </c>
      <c r="D10">
        <v>1.4E-2</v>
      </c>
      <c r="E10">
        <v>69.209999999999994</v>
      </c>
      <c r="F10">
        <v>3.1399999999999997E-2</v>
      </c>
      <c r="K10">
        <f t="shared" si="0"/>
        <v>27579040</v>
      </c>
      <c r="L10">
        <f t="shared" si="2"/>
        <v>277.59444444444443</v>
      </c>
      <c r="M10">
        <f t="shared" si="3"/>
        <v>0.96899999999999997</v>
      </c>
      <c r="N10">
        <f t="shared" si="4"/>
        <v>1.4E-2</v>
      </c>
      <c r="O10">
        <f t="shared" si="5"/>
        <v>69.209999999999994</v>
      </c>
      <c r="P10">
        <f t="shared" si="6"/>
        <v>3.1399999999999997E-2</v>
      </c>
    </row>
    <row r="11" spans="1:16" x14ac:dyDescent="0.25">
      <c r="A11">
        <v>4500</v>
      </c>
      <c r="B11">
        <v>40</v>
      </c>
      <c r="C11">
        <v>0.97050000000000003</v>
      </c>
      <c r="D11">
        <v>1.6E-2</v>
      </c>
      <c r="E11">
        <v>60.66</v>
      </c>
      <c r="F11">
        <v>0.03</v>
      </c>
      <c r="K11">
        <f t="shared" si="0"/>
        <v>31026420</v>
      </c>
      <c r="L11">
        <f t="shared" si="2"/>
        <v>277.59444444444443</v>
      </c>
      <c r="M11">
        <f t="shared" si="3"/>
        <v>0.97050000000000003</v>
      </c>
      <c r="N11">
        <f t="shared" si="4"/>
        <v>1.6E-2</v>
      </c>
      <c r="O11">
        <f t="shared" si="5"/>
        <v>60.66</v>
      </c>
      <c r="P11">
        <f t="shared" si="6"/>
        <v>0.03</v>
      </c>
    </row>
    <row r="12" spans="1:16" x14ac:dyDescent="0.25">
      <c r="A12">
        <v>5000</v>
      </c>
      <c r="B12">
        <v>40</v>
      </c>
      <c r="C12">
        <v>0.97150000000000003</v>
      </c>
      <c r="D12">
        <v>1.8100000000000002E-2</v>
      </c>
      <c r="E12">
        <v>53.67</v>
      </c>
      <c r="F12">
        <v>2.9000000000000001E-2</v>
      </c>
      <c r="K12">
        <f t="shared" si="0"/>
        <v>34473800</v>
      </c>
      <c r="L12">
        <f t="shared" si="2"/>
        <v>277.59444444444443</v>
      </c>
      <c r="M12">
        <f t="shared" si="3"/>
        <v>0.97150000000000003</v>
      </c>
      <c r="N12">
        <f t="shared" si="4"/>
        <v>1.8100000000000002E-2</v>
      </c>
      <c r="O12">
        <f t="shared" si="5"/>
        <v>53.67</v>
      </c>
      <c r="P12">
        <f t="shared" si="6"/>
        <v>2.9000000000000001E-2</v>
      </c>
    </row>
    <row r="13" spans="1:16" x14ac:dyDescent="0.25">
      <c r="A13">
        <v>5500</v>
      </c>
      <c r="B13">
        <v>40</v>
      </c>
      <c r="C13">
        <v>0.9718</v>
      </c>
      <c r="D13">
        <v>2.0299999999999999E-2</v>
      </c>
      <c r="E13">
        <v>47.87</v>
      </c>
      <c r="F13">
        <v>2.8799999999999999E-2</v>
      </c>
      <c r="K13">
        <f t="shared" si="0"/>
        <v>37921180</v>
      </c>
      <c r="L13">
        <f t="shared" si="2"/>
        <v>277.59444444444443</v>
      </c>
      <c r="M13">
        <f t="shared" si="3"/>
        <v>0.9718</v>
      </c>
      <c r="N13">
        <f t="shared" si="4"/>
        <v>2.0299999999999999E-2</v>
      </c>
      <c r="O13">
        <f t="shared" si="5"/>
        <v>47.87</v>
      </c>
      <c r="P13">
        <f t="shared" si="6"/>
        <v>2.8799999999999999E-2</v>
      </c>
    </row>
    <row r="14" spans="1:16" x14ac:dyDescent="0.25">
      <c r="A14">
        <v>6000</v>
      </c>
      <c r="B14">
        <v>40</v>
      </c>
      <c r="C14">
        <v>0.97199999999999998</v>
      </c>
      <c r="D14">
        <v>2.2499999999999999E-2</v>
      </c>
      <c r="E14">
        <v>43.2</v>
      </c>
      <c r="F14">
        <v>2.86E-2</v>
      </c>
      <c r="K14">
        <f t="shared" si="0"/>
        <v>41368560</v>
      </c>
      <c r="L14">
        <f t="shared" si="2"/>
        <v>277.59444444444443</v>
      </c>
      <c r="M14">
        <f t="shared" si="3"/>
        <v>0.97199999999999998</v>
      </c>
      <c r="N14">
        <f t="shared" si="4"/>
        <v>2.2499999999999999E-2</v>
      </c>
      <c r="O14">
        <f t="shared" si="5"/>
        <v>43.2</v>
      </c>
      <c r="P14">
        <f t="shared" si="6"/>
        <v>2.86E-2</v>
      </c>
    </row>
    <row r="15" spans="1:16" x14ac:dyDescent="0.25">
      <c r="A15">
        <v>211.9</v>
      </c>
      <c r="B15">
        <v>100</v>
      </c>
      <c r="C15">
        <v>0</v>
      </c>
      <c r="D15">
        <v>0</v>
      </c>
      <c r="F15">
        <v>1</v>
      </c>
      <c r="K15">
        <f t="shared" si="0"/>
        <v>1460999.6440000001</v>
      </c>
      <c r="L15">
        <f t="shared" si="2"/>
        <v>310.92777777777775</v>
      </c>
      <c r="M15">
        <f t="shared" si="3"/>
        <v>0</v>
      </c>
      <c r="N15">
        <f t="shared" si="4"/>
        <v>0</v>
      </c>
      <c r="P15">
        <f t="shared" si="6"/>
        <v>1</v>
      </c>
    </row>
    <row r="16" spans="1:16" x14ac:dyDescent="0.25">
      <c r="A16">
        <v>500</v>
      </c>
      <c r="B16">
        <v>100</v>
      </c>
      <c r="C16">
        <v>0.53500000000000003</v>
      </c>
      <c r="D16">
        <v>2.5000000000000001E-3</v>
      </c>
      <c r="E16">
        <v>214</v>
      </c>
      <c r="F16">
        <v>0.4662</v>
      </c>
      <c r="K16">
        <f t="shared" si="0"/>
        <v>3447380</v>
      </c>
      <c r="L16">
        <f t="shared" si="2"/>
        <v>310.92777777777775</v>
      </c>
      <c r="M16">
        <f t="shared" si="3"/>
        <v>0.53500000000000003</v>
      </c>
      <c r="N16">
        <f t="shared" si="4"/>
        <v>2.5000000000000001E-3</v>
      </c>
      <c r="O16">
        <f t="shared" si="5"/>
        <v>214</v>
      </c>
      <c r="P16">
        <f t="shared" si="6"/>
        <v>0.4662</v>
      </c>
    </row>
    <row r="17" spans="1:16" x14ac:dyDescent="0.25">
      <c r="A17">
        <v>1000</v>
      </c>
      <c r="B17">
        <v>100</v>
      </c>
      <c r="C17">
        <v>0.749</v>
      </c>
      <c r="D17">
        <v>5.5999999999999999E-3</v>
      </c>
      <c r="E17">
        <v>133.80000000000001</v>
      </c>
      <c r="F17">
        <v>0.25240000000000001</v>
      </c>
      <c r="K17">
        <f t="shared" si="0"/>
        <v>6894760</v>
      </c>
      <c r="L17">
        <f t="shared" si="2"/>
        <v>310.92777777777775</v>
      </c>
      <c r="M17">
        <f t="shared" si="3"/>
        <v>0.749</v>
      </c>
      <c r="N17">
        <f t="shared" si="4"/>
        <v>5.5999999999999999E-3</v>
      </c>
      <c r="O17">
        <f t="shared" si="5"/>
        <v>133.80000000000001</v>
      </c>
      <c r="P17">
        <f t="shared" si="6"/>
        <v>0.25240000000000001</v>
      </c>
    </row>
    <row r="18" spans="1:16" x14ac:dyDescent="0.25">
      <c r="A18">
        <v>1500</v>
      </c>
      <c r="B18">
        <v>100</v>
      </c>
      <c r="C18">
        <v>0.81830000000000003</v>
      </c>
      <c r="D18">
        <v>8.5000000000000006E-3</v>
      </c>
      <c r="E18">
        <v>96.27</v>
      </c>
      <c r="F18">
        <v>0.17929999999999999</v>
      </c>
      <c r="K18">
        <f t="shared" si="0"/>
        <v>10342140</v>
      </c>
      <c r="L18">
        <f t="shared" si="2"/>
        <v>310.92777777777775</v>
      </c>
      <c r="M18">
        <f t="shared" si="3"/>
        <v>0.81830000000000003</v>
      </c>
      <c r="N18">
        <f t="shared" si="4"/>
        <v>8.5000000000000006E-3</v>
      </c>
      <c r="O18">
        <f t="shared" si="5"/>
        <v>96.27</v>
      </c>
      <c r="P18">
        <f t="shared" si="6"/>
        <v>0.17929999999999999</v>
      </c>
    </row>
    <row r="19" spans="1:16" x14ac:dyDescent="0.25">
      <c r="A19">
        <v>2000</v>
      </c>
      <c r="B19">
        <v>100</v>
      </c>
      <c r="C19">
        <v>0.85619999999999996</v>
      </c>
      <c r="D19">
        <v>1.15E-2</v>
      </c>
      <c r="E19">
        <v>74.45</v>
      </c>
      <c r="F19">
        <v>0.1457</v>
      </c>
      <c r="K19">
        <f t="shared" si="0"/>
        <v>13789520</v>
      </c>
      <c r="L19">
        <f t="shared" si="2"/>
        <v>310.92777777777775</v>
      </c>
      <c r="M19">
        <f t="shared" si="3"/>
        <v>0.85619999999999996</v>
      </c>
      <c r="N19">
        <f t="shared" si="4"/>
        <v>1.15E-2</v>
      </c>
      <c r="O19">
        <f t="shared" si="5"/>
        <v>74.45</v>
      </c>
      <c r="P19">
        <f t="shared" si="6"/>
        <v>0.1457</v>
      </c>
    </row>
    <row r="20" spans="1:16" x14ac:dyDescent="0.25">
      <c r="A20">
        <v>2500</v>
      </c>
      <c r="B20">
        <v>100</v>
      </c>
      <c r="C20">
        <v>0.87790000000000001</v>
      </c>
      <c r="D20">
        <v>1.47E-2</v>
      </c>
      <c r="E20">
        <v>59.72</v>
      </c>
      <c r="F20">
        <v>0.1239</v>
      </c>
      <c r="K20">
        <f t="shared" si="0"/>
        <v>17236900</v>
      </c>
      <c r="L20">
        <f t="shared" si="2"/>
        <v>310.92777777777775</v>
      </c>
      <c r="M20">
        <f t="shared" si="3"/>
        <v>0.87790000000000001</v>
      </c>
      <c r="N20">
        <f t="shared" si="4"/>
        <v>1.47E-2</v>
      </c>
      <c r="O20">
        <f t="shared" si="5"/>
        <v>59.72</v>
      </c>
      <c r="P20">
        <f t="shared" si="6"/>
        <v>0.1239</v>
      </c>
    </row>
    <row r="21" spans="1:16" x14ac:dyDescent="0.25">
      <c r="A21">
        <v>3000</v>
      </c>
      <c r="B21">
        <v>100</v>
      </c>
      <c r="C21">
        <v>0.89229999999999998</v>
      </c>
      <c r="D21">
        <v>1.8100000000000002E-2</v>
      </c>
      <c r="E21">
        <v>49.3</v>
      </c>
      <c r="F21">
        <v>0.109</v>
      </c>
      <c r="K21">
        <f t="shared" si="0"/>
        <v>20684280</v>
      </c>
      <c r="L21">
        <f t="shared" si="2"/>
        <v>310.92777777777775</v>
      </c>
      <c r="M21">
        <f t="shared" si="3"/>
        <v>0.89229999999999998</v>
      </c>
      <c r="N21">
        <f t="shared" si="4"/>
        <v>1.8100000000000002E-2</v>
      </c>
      <c r="O21">
        <f t="shared" si="5"/>
        <v>49.3</v>
      </c>
      <c r="P21">
        <f t="shared" si="6"/>
        <v>0.109</v>
      </c>
    </row>
    <row r="22" spans="1:16" x14ac:dyDescent="0.25">
      <c r="A22">
        <v>3500</v>
      </c>
      <c r="B22">
        <v>100</v>
      </c>
      <c r="C22">
        <v>0.90329999999999999</v>
      </c>
      <c r="D22">
        <v>2.1700000000000001E-2</v>
      </c>
      <c r="E22">
        <v>41.63</v>
      </c>
      <c r="F22">
        <v>9.8199999999999996E-2</v>
      </c>
      <c r="K22">
        <f t="shared" si="0"/>
        <v>24131660</v>
      </c>
      <c r="L22">
        <f t="shared" si="2"/>
        <v>310.92777777777775</v>
      </c>
      <c r="M22">
        <f t="shared" si="3"/>
        <v>0.90329999999999999</v>
      </c>
      <c r="N22">
        <f t="shared" si="4"/>
        <v>2.1700000000000001E-2</v>
      </c>
      <c r="O22">
        <f t="shared" si="5"/>
        <v>41.63</v>
      </c>
      <c r="P22">
        <f t="shared" si="6"/>
        <v>9.8199999999999996E-2</v>
      </c>
    </row>
    <row r="23" spans="1:16" x14ac:dyDescent="0.25">
      <c r="A23">
        <v>4000</v>
      </c>
      <c r="B23">
        <v>100</v>
      </c>
      <c r="C23">
        <v>0.91100000000000003</v>
      </c>
      <c r="D23">
        <v>2.5499999999999998E-2</v>
      </c>
      <c r="E23">
        <v>35.68</v>
      </c>
      <c r="F23">
        <v>9.1399999999999995E-2</v>
      </c>
      <c r="K23">
        <f t="shared" si="0"/>
        <v>27579040</v>
      </c>
      <c r="L23">
        <f t="shared" si="2"/>
        <v>310.92777777777775</v>
      </c>
      <c r="M23">
        <f t="shared" si="3"/>
        <v>0.91100000000000003</v>
      </c>
      <c r="N23">
        <f t="shared" si="4"/>
        <v>2.5499999999999998E-2</v>
      </c>
      <c r="O23">
        <f t="shared" si="5"/>
        <v>35.68</v>
      </c>
      <c r="P23">
        <f t="shared" si="6"/>
        <v>9.1399999999999995E-2</v>
      </c>
    </row>
    <row r="24" spans="1:16" x14ac:dyDescent="0.25">
      <c r="A24">
        <v>4500</v>
      </c>
      <c r="B24">
        <v>100</v>
      </c>
      <c r="C24">
        <v>0.91649999999999998</v>
      </c>
      <c r="D24">
        <v>2.9499999999999998E-2</v>
      </c>
      <c r="E24">
        <v>31.07</v>
      </c>
      <c r="F24">
        <v>8.5999999999999993E-2</v>
      </c>
      <c r="K24">
        <f t="shared" si="0"/>
        <v>31026420</v>
      </c>
      <c r="L24">
        <f t="shared" si="2"/>
        <v>310.92777777777775</v>
      </c>
      <c r="M24">
        <f t="shared" si="3"/>
        <v>0.91649999999999998</v>
      </c>
      <c r="N24">
        <f t="shared" si="4"/>
        <v>2.9499999999999998E-2</v>
      </c>
      <c r="O24">
        <f t="shared" si="5"/>
        <v>31.07</v>
      </c>
      <c r="P24">
        <f t="shared" si="6"/>
        <v>8.5999999999999993E-2</v>
      </c>
    </row>
    <row r="25" spans="1:16" x14ac:dyDescent="0.25">
      <c r="A25">
        <v>5000</v>
      </c>
      <c r="B25">
        <v>100</v>
      </c>
      <c r="C25">
        <v>0.92149999999999999</v>
      </c>
      <c r="D25">
        <v>3.3500000000000002E-2</v>
      </c>
      <c r="E25">
        <v>27.48</v>
      </c>
      <c r="F25">
        <v>8.1199999999999994E-2</v>
      </c>
      <c r="K25">
        <f t="shared" si="0"/>
        <v>34473800</v>
      </c>
      <c r="L25">
        <f t="shared" si="2"/>
        <v>310.92777777777775</v>
      </c>
      <c r="M25">
        <f t="shared" si="3"/>
        <v>0.92149999999999999</v>
      </c>
      <c r="N25">
        <f t="shared" si="4"/>
        <v>3.3500000000000002E-2</v>
      </c>
      <c r="O25">
        <f t="shared" si="5"/>
        <v>27.48</v>
      </c>
      <c r="P25">
        <f t="shared" si="6"/>
        <v>8.1199999999999994E-2</v>
      </c>
    </row>
    <row r="26" spans="1:16" x14ac:dyDescent="0.25">
      <c r="A26">
        <v>5500</v>
      </c>
      <c r="B26">
        <v>100</v>
      </c>
      <c r="C26">
        <v>0.92459999999999998</v>
      </c>
      <c r="D26">
        <v>3.7499999999999999E-2</v>
      </c>
      <c r="E26">
        <v>24.66</v>
      </c>
      <c r="F26">
        <v>7.8399999999999997E-2</v>
      </c>
      <c r="K26">
        <f t="shared" si="0"/>
        <v>37921180</v>
      </c>
      <c r="L26">
        <f t="shared" si="2"/>
        <v>310.92777777777775</v>
      </c>
      <c r="M26">
        <f t="shared" si="3"/>
        <v>0.92459999999999998</v>
      </c>
      <c r="N26">
        <f t="shared" si="4"/>
        <v>3.7499999999999999E-2</v>
      </c>
      <c r="O26">
        <f t="shared" si="5"/>
        <v>24.66</v>
      </c>
      <c r="P26">
        <f t="shared" si="6"/>
        <v>7.8399999999999997E-2</v>
      </c>
    </row>
    <row r="27" spans="1:16" x14ac:dyDescent="0.25">
      <c r="A27">
        <v>6000</v>
      </c>
      <c r="B27">
        <v>100</v>
      </c>
      <c r="C27">
        <v>0.92700000000000005</v>
      </c>
      <c r="D27">
        <v>4.1300000000000003E-2</v>
      </c>
      <c r="E27">
        <v>22.45</v>
      </c>
      <c r="F27">
        <v>7.6100000000000001E-2</v>
      </c>
      <c r="K27">
        <f t="shared" si="0"/>
        <v>41368560</v>
      </c>
      <c r="L27">
        <f t="shared" si="2"/>
        <v>310.92777777777775</v>
      </c>
      <c r="M27">
        <f t="shared" si="3"/>
        <v>0.92700000000000005</v>
      </c>
      <c r="N27">
        <f t="shared" si="4"/>
        <v>4.1300000000000003E-2</v>
      </c>
      <c r="O27">
        <f t="shared" si="5"/>
        <v>22.45</v>
      </c>
      <c r="P27">
        <f t="shared" si="6"/>
        <v>7.6100000000000001E-2</v>
      </c>
    </row>
    <row r="28" spans="1:16" x14ac:dyDescent="0.25">
      <c r="A28">
        <v>492.8</v>
      </c>
      <c r="B28">
        <v>160</v>
      </c>
      <c r="C28">
        <v>0</v>
      </c>
      <c r="D28">
        <v>0</v>
      </c>
      <c r="F28">
        <v>1</v>
      </c>
      <c r="K28">
        <f t="shared" si="0"/>
        <v>3397737.7280000001</v>
      </c>
      <c r="L28">
        <f t="shared" si="2"/>
        <v>344.26111111111106</v>
      </c>
      <c r="M28">
        <f t="shared" si="3"/>
        <v>0</v>
      </c>
      <c r="N28">
        <f t="shared" si="4"/>
        <v>0</v>
      </c>
      <c r="P28">
        <f t="shared" si="6"/>
        <v>1</v>
      </c>
    </row>
    <row r="29" spans="1:16" x14ac:dyDescent="0.25">
      <c r="A29">
        <v>500</v>
      </c>
      <c r="B29">
        <v>160</v>
      </c>
      <c r="C29">
        <v>9.9000000000000008E-3</v>
      </c>
      <c r="D29">
        <v>1E-4</v>
      </c>
      <c r="E29">
        <v>99</v>
      </c>
      <c r="F29">
        <v>0.99019999999999997</v>
      </c>
      <c r="K29">
        <f t="shared" si="0"/>
        <v>3447380</v>
      </c>
      <c r="L29">
        <f t="shared" si="2"/>
        <v>344.26111111111106</v>
      </c>
      <c r="M29">
        <f t="shared" si="3"/>
        <v>9.9000000000000008E-3</v>
      </c>
      <c r="N29">
        <f t="shared" si="4"/>
        <v>1E-4</v>
      </c>
      <c r="O29">
        <f t="shared" si="5"/>
        <v>99</v>
      </c>
      <c r="P29">
        <f t="shared" si="6"/>
        <v>0.99019999999999997</v>
      </c>
    </row>
    <row r="30" spans="1:16" x14ac:dyDescent="0.25">
      <c r="A30">
        <v>1000</v>
      </c>
      <c r="B30">
        <v>160</v>
      </c>
      <c r="C30">
        <v>0.42199999999999999</v>
      </c>
      <c r="D30">
        <v>6.4999999999999997E-3</v>
      </c>
      <c r="E30">
        <v>6.92</v>
      </c>
      <c r="F30">
        <v>0.58179999999999998</v>
      </c>
      <c r="K30">
        <f t="shared" si="0"/>
        <v>6894760</v>
      </c>
      <c r="L30">
        <f t="shared" si="2"/>
        <v>344.26111111111106</v>
      </c>
      <c r="M30">
        <f t="shared" si="3"/>
        <v>0.42199999999999999</v>
      </c>
      <c r="N30">
        <f t="shared" si="4"/>
        <v>6.4999999999999997E-3</v>
      </c>
      <c r="O30">
        <f t="shared" si="5"/>
        <v>6.92</v>
      </c>
      <c r="P30">
        <f t="shared" si="6"/>
        <v>0.58179999999999998</v>
      </c>
    </row>
    <row r="31" spans="1:16" x14ac:dyDescent="0.25">
      <c r="A31">
        <v>1500</v>
      </c>
      <c r="B31">
        <v>160</v>
      </c>
      <c r="C31">
        <v>0.57650000000000001</v>
      </c>
      <c r="D31">
        <v>1.15E-2</v>
      </c>
      <c r="E31">
        <v>50.13</v>
      </c>
      <c r="F31">
        <v>0.4284</v>
      </c>
      <c r="K31">
        <f t="shared" si="0"/>
        <v>10342140</v>
      </c>
      <c r="L31">
        <f t="shared" si="2"/>
        <v>344.26111111111106</v>
      </c>
      <c r="M31">
        <f t="shared" si="3"/>
        <v>0.57650000000000001</v>
      </c>
      <c r="N31">
        <f t="shared" si="4"/>
        <v>1.15E-2</v>
      </c>
      <c r="O31">
        <f t="shared" si="5"/>
        <v>50.13</v>
      </c>
      <c r="P31">
        <f t="shared" si="6"/>
        <v>0.4284</v>
      </c>
    </row>
    <row r="32" spans="1:16" x14ac:dyDescent="0.25">
      <c r="A32">
        <v>2000</v>
      </c>
      <c r="B32">
        <v>160</v>
      </c>
      <c r="C32">
        <v>0.65539999999999998</v>
      </c>
      <c r="D32">
        <v>1.7000000000000001E-2</v>
      </c>
      <c r="E32">
        <v>38.549999999999997</v>
      </c>
      <c r="F32">
        <v>0.35099999999999998</v>
      </c>
      <c r="K32">
        <f t="shared" si="0"/>
        <v>13789520</v>
      </c>
      <c r="L32">
        <f t="shared" si="2"/>
        <v>344.26111111111106</v>
      </c>
      <c r="M32">
        <f t="shared" si="3"/>
        <v>0.65539999999999998</v>
      </c>
      <c r="N32">
        <f t="shared" si="4"/>
        <v>1.7000000000000001E-2</v>
      </c>
      <c r="O32">
        <f t="shared" si="5"/>
        <v>38.549999999999997</v>
      </c>
      <c r="P32">
        <f t="shared" si="6"/>
        <v>0.35099999999999998</v>
      </c>
    </row>
    <row r="33" spans="1:16" x14ac:dyDescent="0.25">
      <c r="A33">
        <v>2500</v>
      </c>
      <c r="B33">
        <v>160</v>
      </c>
      <c r="C33">
        <v>0.70379999999999998</v>
      </c>
      <c r="D33">
        <v>2.3E-2</v>
      </c>
      <c r="E33">
        <v>30.6</v>
      </c>
      <c r="F33">
        <v>0.30320000000000003</v>
      </c>
      <c r="K33">
        <f t="shared" si="0"/>
        <v>17236900</v>
      </c>
      <c r="L33">
        <f t="shared" si="2"/>
        <v>344.26111111111106</v>
      </c>
      <c r="M33">
        <f t="shared" si="3"/>
        <v>0.70379999999999998</v>
      </c>
      <c r="N33">
        <f t="shared" si="4"/>
        <v>2.3E-2</v>
      </c>
      <c r="O33">
        <f t="shared" si="5"/>
        <v>30.6</v>
      </c>
      <c r="P33">
        <f t="shared" si="6"/>
        <v>0.30320000000000003</v>
      </c>
    </row>
    <row r="34" spans="1:16" x14ac:dyDescent="0.25">
      <c r="A34">
        <v>3000</v>
      </c>
      <c r="B34">
        <v>160</v>
      </c>
      <c r="C34">
        <v>0.73950000000000005</v>
      </c>
      <c r="D34">
        <v>2.9000000000000001E-2</v>
      </c>
      <c r="E34">
        <v>25.5</v>
      </c>
      <c r="F34">
        <v>0.26829999999999998</v>
      </c>
      <c r="K34">
        <f t="shared" ref="K34:K63" si="7">A34*$H$2</f>
        <v>20684280</v>
      </c>
      <c r="L34">
        <f t="shared" si="2"/>
        <v>344.26111111111106</v>
      </c>
      <c r="M34">
        <f t="shared" si="3"/>
        <v>0.73950000000000005</v>
      </c>
      <c r="N34">
        <f t="shared" si="4"/>
        <v>2.9000000000000001E-2</v>
      </c>
      <c r="O34">
        <f t="shared" si="5"/>
        <v>25.5</v>
      </c>
      <c r="P34">
        <f t="shared" si="6"/>
        <v>0.26829999999999998</v>
      </c>
    </row>
    <row r="35" spans="1:16" x14ac:dyDescent="0.25">
      <c r="A35">
        <v>3500</v>
      </c>
      <c r="B35">
        <v>160</v>
      </c>
      <c r="C35">
        <v>0.76400000000000001</v>
      </c>
      <c r="D35">
        <v>3.5000000000000003E-2</v>
      </c>
      <c r="E35">
        <v>21.83</v>
      </c>
      <c r="F35">
        <v>0.24460000000000001</v>
      </c>
      <c r="K35">
        <f t="shared" si="7"/>
        <v>24131660</v>
      </c>
      <c r="L35">
        <f t="shared" si="2"/>
        <v>344.26111111111106</v>
      </c>
      <c r="M35">
        <f t="shared" si="3"/>
        <v>0.76400000000000001</v>
      </c>
      <c r="N35">
        <f t="shared" si="4"/>
        <v>3.5000000000000003E-2</v>
      </c>
      <c r="O35">
        <f t="shared" si="5"/>
        <v>21.83</v>
      </c>
      <c r="P35">
        <f t="shared" si="6"/>
        <v>0.24460000000000001</v>
      </c>
    </row>
    <row r="36" spans="1:16" x14ac:dyDescent="0.25">
      <c r="A36">
        <v>4000</v>
      </c>
      <c r="B36">
        <v>160</v>
      </c>
      <c r="C36">
        <v>0.78310000000000002</v>
      </c>
      <c r="D36">
        <v>4.1000000000000002E-2</v>
      </c>
      <c r="E36">
        <v>19.100000000000001</v>
      </c>
      <c r="F36">
        <v>0.22620000000000001</v>
      </c>
      <c r="K36">
        <f t="shared" si="7"/>
        <v>27579040</v>
      </c>
      <c r="L36">
        <f t="shared" si="2"/>
        <v>344.26111111111106</v>
      </c>
      <c r="M36">
        <f t="shared" si="3"/>
        <v>0.78310000000000002</v>
      </c>
      <c r="N36">
        <f t="shared" si="4"/>
        <v>4.1000000000000002E-2</v>
      </c>
      <c r="O36">
        <f t="shared" si="5"/>
        <v>19.100000000000001</v>
      </c>
      <c r="P36">
        <f t="shared" si="6"/>
        <v>0.22620000000000001</v>
      </c>
    </row>
    <row r="37" spans="1:16" x14ac:dyDescent="0.25">
      <c r="A37">
        <v>4500</v>
      </c>
      <c r="B37">
        <v>160</v>
      </c>
      <c r="C37">
        <v>0.79800000000000004</v>
      </c>
      <c r="D37">
        <v>4.7E-2</v>
      </c>
      <c r="E37">
        <v>16.98</v>
      </c>
      <c r="F37">
        <v>0.21199999999999999</v>
      </c>
      <c r="K37">
        <f t="shared" si="7"/>
        <v>31026420</v>
      </c>
      <c r="L37">
        <f t="shared" si="2"/>
        <v>344.26111111111106</v>
      </c>
      <c r="M37">
        <f t="shared" si="3"/>
        <v>0.79800000000000004</v>
      </c>
      <c r="N37">
        <f t="shared" si="4"/>
        <v>4.7E-2</v>
      </c>
      <c r="O37">
        <f t="shared" si="5"/>
        <v>16.98</v>
      </c>
      <c r="P37">
        <f t="shared" si="6"/>
        <v>0.21199999999999999</v>
      </c>
    </row>
    <row r="38" spans="1:16" x14ac:dyDescent="0.25">
      <c r="A38">
        <v>5000</v>
      </c>
      <c r="B38">
        <v>160</v>
      </c>
      <c r="C38">
        <v>0.80979999999999996</v>
      </c>
      <c r="D38">
        <v>5.2999999999999999E-2</v>
      </c>
      <c r="E38">
        <v>15.28</v>
      </c>
      <c r="F38">
        <v>0.20080000000000001</v>
      </c>
      <c r="K38">
        <f t="shared" si="7"/>
        <v>34473800</v>
      </c>
      <c r="L38">
        <f t="shared" si="2"/>
        <v>344.26111111111106</v>
      </c>
      <c r="M38">
        <f t="shared" si="3"/>
        <v>0.80979999999999996</v>
      </c>
      <c r="N38">
        <f t="shared" si="4"/>
        <v>5.2999999999999999E-2</v>
      </c>
      <c r="O38">
        <f t="shared" si="5"/>
        <v>15.28</v>
      </c>
      <c r="P38">
        <f t="shared" si="6"/>
        <v>0.20080000000000001</v>
      </c>
    </row>
    <row r="39" spans="1:16" x14ac:dyDescent="0.25">
      <c r="A39">
        <v>5500</v>
      </c>
      <c r="B39">
        <v>160</v>
      </c>
      <c r="C39">
        <v>0.81850000000000001</v>
      </c>
      <c r="D39">
        <v>5.8999999999999997E-2</v>
      </c>
      <c r="E39">
        <v>13.87</v>
      </c>
      <c r="F39">
        <v>0.19289999999999999</v>
      </c>
      <c r="K39">
        <f t="shared" si="7"/>
        <v>37921180</v>
      </c>
      <c r="L39">
        <f t="shared" si="2"/>
        <v>344.26111111111106</v>
      </c>
      <c r="M39">
        <f t="shared" si="3"/>
        <v>0.81850000000000001</v>
      </c>
      <c r="N39">
        <f t="shared" si="4"/>
        <v>5.8999999999999997E-2</v>
      </c>
      <c r="O39">
        <f t="shared" si="5"/>
        <v>13.87</v>
      </c>
      <c r="P39">
        <f t="shared" si="6"/>
        <v>0.19289999999999999</v>
      </c>
    </row>
    <row r="40" spans="1:16" x14ac:dyDescent="0.25">
      <c r="A40">
        <v>6000</v>
      </c>
      <c r="B40">
        <v>160</v>
      </c>
      <c r="C40">
        <v>0.8266</v>
      </c>
      <c r="D40">
        <v>6.5000000000000002E-2</v>
      </c>
      <c r="E40">
        <v>12.72</v>
      </c>
      <c r="F40">
        <v>0.1855</v>
      </c>
      <c r="K40">
        <f t="shared" si="7"/>
        <v>41368560</v>
      </c>
      <c r="L40">
        <f t="shared" si="2"/>
        <v>344.26111111111106</v>
      </c>
      <c r="M40">
        <f t="shared" si="3"/>
        <v>0.8266</v>
      </c>
      <c r="N40">
        <f t="shared" si="4"/>
        <v>6.5000000000000002E-2</v>
      </c>
      <c r="O40">
        <f t="shared" si="5"/>
        <v>12.72</v>
      </c>
      <c r="P40">
        <f t="shared" si="6"/>
        <v>0.1855</v>
      </c>
    </row>
    <row r="41" spans="1:16" x14ac:dyDescent="0.25">
      <c r="A41">
        <v>989.5</v>
      </c>
      <c r="B41">
        <v>220</v>
      </c>
      <c r="C41">
        <v>0</v>
      </c>
      <c r="D41">
        <v>0</v>
      </c>
      <c r="F41">
        <v>1</v>
      </c>
      <c r="K41">
        <f t="shared" si="7"/>
        <v>6822365.0200000005</v>
      </c>
      <c r="L41">
        <f t="shared" si="2"/>
        <v>377.59444444444443</v>
      </c>
      <c r="M41">
        <f t="shared" si="3"/>
        <v>0</v>
      </c>
      <c r="N41">
        <f t="shared" si="4"/>
        <v>0</v>
      </c>
      <c r="P41">
        <f t="shared" si="6"/>
        <v>1</v>
      </c>
    </row>
    <row r="42" spans="1:16" x14ac:dyDescent="0.25">
      <c r="A42">
        <v>1000</v>
      </c>
      <c r="B42">
        <v>220</v>
      </c>
      <c r="C42">
        <v>8.6E-3</v>
      </c>
      <c r="D42">
        <v>4.0000000000000002E-4</v>
      </c>
      <c r="E42">
        <v>21.5</v>
      </c>
      <c r="F42">
        <v>0.99180000000000001</v>
      </c>
      <c r="K42">
        <f t="shared" si="7"/>
        <v>6894760</v>
      </c>
      <c r="L42">
        <f t="shared" si="2"/>
        <v>377.59444444444443</v>
      </c>
      <c r="M42">
        <f t="shared" si="3"/>
        <v>8.6E-3</v>
      </c>
      <c r="N42">
        <f t="shared" si="4"/>
        <v>4.0000000000000002E-4</v>
      </c>
      <c r="O42">
        <f t="shared" si="5"/>
        <v>21.5</v>
      </c>
      <c r="P42">
        <f t="shared" si="6"/>
        <v>0.99180000000000001</v>
      </c>
    </row>
    <row r="43" spans="1:16" x14ac:dyDescent="0.25">
      <c r="A43">
        <v>1500</v>
      </c>
      <c r="B43">
        <v>220</v>
      </c>
      <c r="C43">
        <v>0.2162</v>
      </c>
      <c r="D43">
        <v>1.15E-2</v>
      </c>
      <c r="E43">
        <v>18.8</v>
      </c>
      <c r="F43">
        <v>0.79300000000000004</v>
      </c>
      <c r="K43">
        <f t="shared" si="7"/>
        <v>10342140</v>
      </c>
      <c r="L43">
        <f t="shared" si="2"/>
        <v>377.59444444444443</v>
      </c>
      <c r="M43">
        <f t="shared" si="3"/>
        <v>0.2162</v>
      </c>
      <c r="N43">
        <f t="shared" si="4"/>
        <v>1.15E-2</v>
      </c>
      <c r="O43">
        <f t="shared" si="5"/>
        <v>18.8</v>
      </c>
      <c r="P43">
        <f t="shared" si="6"/>
        <v>0.79300000000000004</v>
      </c>
    </row>
    <row r="44" spans="1:16" x14ac:dyDescent="0.25">
      <c r="A44">
        <v>2000</v>
      </c>
      <c r="B44">
        <v>220</v>
      </c>
      <c r="C44">
        <v>0.33</v>
      </c>
      <c r="D44">
        <v>2.2599999999999999E-2</v>
      </c>
      <c r="E44">
        <v>14.6</v>
      </c>
      <c r="F44">
        <v>0.6855</v>
      </c>
      <c r="K44">
        <f t="shared" si="7"/>
        <v>13789520</v>
      </c>
      <c r="L44">
        <f t="shared" si="2"/>
        <v>377.59444444444443</v>
      </c>
      <c r="M44">
        <f t="shared" si="3"/>
        <v>0.33</v>
      </c>
      <c r="N44">
        <f t="shared" si="4"/>
        <v>2.2599999999999999E-2</v>
      </c>
      <c r="O44">
        <f t="shared" si="5"/>
        <v>14.6</v>
      </c>
      <c r="P44">
        <f t="shared" si="6"/>
        <v>0.6855</v>
      </c>
    </row>
    <row r="45" spans="1:16" x14ac:dyDescent="0.25">
      <c r="A45">
        <v>2500</v>
      </c>
      <c r="B45">
        <v>220</v>
      </c>
      <c r="C45">
        <v>0.40560000000000002</v>
      </c>
      <c r="D45">
        <v>3.3599999999999998E-2</v>
      </c>
      <c r="E45">
        <v>12.07</v>
      </c>
      <c r="F45">
        <v>0.61509999999999998</v>
      </c>
      <c r="K45">
        <f t="shared" si="7"/>
        <v>17236900</v>
      </c>
      <c r="L45">
        <f t="shared" si="2"/>
        <v>377.59444444444443</v>
      </c>
      <c r="M45">
        <f t="shared" si="3"/>
        <v>0.40560000000000002</v>
      </c>
      <c r="N45">
        <f t="shared" si="4"/>
        <v>3.3599999999999998E-2</v>
      </c>
      <c r="O45">
        <f t="shared" si="5"/>
        <v>12.07</v>
      </c>
      <c r="P45">
        <f t="shared" si="6"/>
        <v>0.61509999999999998</v>
      </c>
    </row>
    <row r="46" spans="1:16" x14ac:dyDescent="0.25">
      <c r="A46">
        <v>3000</v>
      </c>
      <c r="B46">
        <v>220</v>
      </c>
      <c r="C46">
        <v>0.46200000000000002</v>
      </c>
      <c r="D46">
        <v>4.4999999999999998E-2</v>
      </c>
      <c r="E46">
        <v>10.27</v>
      </c>
      <c r="F46">
        <v>0.56340000000000001</v>
      </c>
      <c r="K46">
        <f t="shared" si="7"/>
        <v>20684280</v>
      </c>
      <c r="L46">
        <f t="shared" si="2"/>
        <v>377.59444444444443</v>
      </c>
      <c r="M46">
        <f t="shared" si="3"/>
        <v>0.46200000000000002</v>
      </c>
      <c r="N46">
        <f t="shared" si="4"/>
        <v>4.4999999999999998E-2</v>
      </c>
      <c r="O46">
        <f t="shared" si="5"/>
        <v>10.27</v>
      </c>
      <c r="P46">
        <f t="shared" si="6"/>
        <v>0.56340000000000001</v>
      </c>
    </row>
    <row r="47" spans="1:16" x14ac:dyDescent="0.25">
      <c r="A47">
        <v>3500</v>
      </c>
      <c r="B47">
        <v>220</v>
      </c>
      <c r="C47">
        <v>0.50239999999999996</v>
      </c>
      <c r="D47">
        <v>5.6000000000000001E-2</v>
      </c>
      <c r="E47">
        <v>8.9710000000000001</v>
      </c>
      <c r="F47">
        <v>0.52710000000000001</v>
      </c>
      <c r="K47">
        <f t="shared" si="7"/>
        <v>24131660</v>
      </c>
      <c r="L47">
        <f t="shared" si="2"/>
        <v>377.59444444444443</v>
      </c>
      <c r="M47">
        <f t="shared" si="3"/>
        <v>0.50239999999999996</v>
      </c>
      <c r="N47">
        <f t="shared" si="4"/>
        <v>5.6000000000000001E-2</v>
      </c>
      <c r="O47">
        <f t="shared" si="5"/>
        <v>8.9710000000000001</v>
      </c>
      <c r="P47">
        <f t="shared" si="6"/>
        <v>0.52710000000000001</v>
      </c>
    </row>
    <row r="48" spans="1:16" x14ac:dyDescent="0.25">
      <c r="A48">
        <v>4000</v>
      </c>
      <c r="B48">
        <v>220</v>
      </c>
      <c r="C48">
        <v>0.5343</v>
      </c>
      <c r="D48">
        <v>6.7000000000000004E-2</v>
      </c>
      <c r="E48">
        <v>7.9749999999999996</v>
      </c>
      <c r="F48">
        <v>0.49909999999999999</v>
      </c>
      <c r="K48">
        <f t="shared" si="7"/>
        <v>27579040</v>
      </c>
      <c r="L48">
        <f t="shared" si="2"/>
        <v>377.59444444444443</v>
      </c>
      <c r="M48">
        <f t="shared" si="3"/>
        <v>0.5343</v>
      </c>
      <c r="N48">
        <f t="shared" si="4"/>
        <v>6.7000000000000004E-2</v>
      </c>
      <c r="O48">
        <f t="shared" si="5"/>
        <v>7.9749999999999996</v>
      </c>
      <c r="P48">
        <f t="shared" si="6"/>
        <v>0.49909999999999999</v>
      </c>
    </row>
    <row r="49" spans="1:16" x14ac:dyDescent="0.25">
      <c r="A49">
        <v>4500</v>
      </c>
      <c r="B49">
        <v>220</v>
      </c>
      <c r="C49">
        <v>0.55800000000000005</v>
      </c>
      <c r="D49">
        <v>7.7499999999999999E-2</v>
      </c>
      <c r="E49">
        <v>7.2</v>
      </c>
      <c r="F49">
        <v>0.47910000000000003</v>
      </c>
      <c r="K49">
        <f t="shared" si="7"/>
        <v>31026420</v>
      </c>
      <c r="L49">
        <f t="shared" si="2"/>
        <v>377.59444444444443</v>
      </c>
      <c r="M49">
        <f t="shared" si="3"/>
        <v>0.55800000000000005</v>
      </c>
      <c r="N49">
        <f t="shared" si="4"/>
        <v>7.7499999999999999E-2</v>
      </c>
      <c r="O49">
        <f t="shared" si="5"/>
        <v>7.2</v>
      </c>
      <c r="P49">
        <f t="shared" si="6"/>
        <v>0.47910000000000003</v>
      </c>
    </row>
    <row r="50" spans="1:16" x14ac:dyDescent="0.25">
      <c r="A50">
        <v>5000</v>
      </c>
      <c r="B50">
        <v>220</v>
      </c>
      <c r="C50">
        <v>0.57879999999999998</v>
      </c>
      <c r="D50">
        <v>8.8499999999999995E-2</v>
      </c>
      <c r="E50">
        <v>6.54</v>
      </c>
      <c r="F50">
        <v>0.46210000000000001</v>
      </c>
      <c r="K50">
        <f t="shared" si="7"/>
        <v>34473800</v>
      </c>
      <c r="L50">
        <f t="shared" si="2"/>
        <v>377.59444444444443</v>
      </c>
      <c r="M50">
        <f t="shared" si="3"/>
        <v>0.57879999999999998</v>
      </c>
      <c r="N50">
        <f t="shared" si="4"/>
        <v>8.8499999999999995E-2</v>
      </c>
      <c r="O50">
        <f t="shared" si="5"/>
        <v>6.54</v>
      </c>
      <c r="P50">
        <f t="shared" si="6"/>
        <v>0.46210000000000001</v>
      </c>
    </row>
    <row r="51" spans="1:16" x14ac:dyDescent="0.25">
      <c r="A51">
        <v>5500</v>
      </c>
      <c r="B51">
        <v>220</v>
      </c>
      <c r="C51">
        <v>0.59519999999999995</v>
      </c>
      <c r="D51">
        <v>9.9500000000000005E-2</v>
      </c>
      <c r="E51">
        <v>5.9820000000000002</v>
      </c>
      <c r="F51">
        <v>0.44950000000000001</v>
      </c>
      <c r="K51">
        <f t="shared" si="7"/>
        <v>37921180</v>
      </c>
      <c r="L51">
        <f t="shared" si="2"/>
        <v>377.59444444444443</v>
      </c>
      <c r="M51">
        <f t="shared" si="3"/>
        <v>0.59519999999999995</v>
      </c>
      <c r="N51">
        <f t="shared" si="4"/>
        <v>9.9500000000000005E-2</v>
      </c>
      <c r="O51">
        <f t="shared" si="5"/>
        <v>5.9820000000000002</v>
      </c>
      <c r="P51">
        <f t="shared" si="6"/>
        <v>0.44950000000000001</v>
      </c>
    </row>
    <row r="52" spans="1:16" x14ac:dyDescent="0.25">
      <c r="A52">
        <v>6000</v>
      </c>
      <c r="B52">
        <v>220</v>
      </c>
      <c r="C52">
        <v>0.60960000000000003</v>
      </c>
      <c r="D52">
        <v>0.1105</v>
      </c>
      <c r="E52">
        <v>5.5170000000000003</v>
      </c>
      <c r="F52">
        <v>0.439</v>
      </c>
      <c r="K52">
        <f t="shared" si="7"/>
        <v>41368560</v>
      </c>
      <c r="L52">
        <f t="shared" si="2"/>
        <v>377.59444444444443</v>
      </c>
      <c r="M52">
        <f t="shared" si="3"/>
        <v>0.60960000000000003</v>
      </c>
      <c r="N52">
        <f t="shared" si="4"/>
        <v>0.1105</v>
      </c>
      <c r="O52">
        <f t="shared" si="5"/>
        <v>5.5170000000000003</v>
      </c>
      <c r="P52">
        <f t="shared" si="6"/>
        <v>0.439</v>
      </c>
    </row>
    <row r="53" spans="1:16" x14ac:dyDescent="0.25">
      <c r="A53">
        <v>1347</v>
      </c>
      <c r="B53">
        <v>250</v>
      </c>
      <c r="C53">
        <v>0</v>
      </c>
      <c r="D53">
        <v>0</v>
      </c>
      <c r="F53">
        <v>1</v>
      </c>
      <c r="K53">
        <f t="shared" si="7"/>
        <v>9287241.7200000007</v>
      </c>
      <c r="L53">
        <f t="shared" si="2"/>
        <v>394.26111111111106</v>
      </c>
      <c r="M53">
        <f t="shared" si="3"/>
        <v>0</v>
      </c>
      <c r="N53">
        <f t="shared" si="4"/>
        <v>0</v>
      </c>
      <c r="P53">
        <f t="shared" si="6"/>
        <v>1</v>
      </c>
    </row>
    <row r="54" spans="1:16" x14ac:dyDescent="0.25">
      <c r="A54">
        <v>1500</v>
      </c>
      <c r="B54">
        <v>250</v>
      </c>
      <c r="C54">
        <v>5.2999999999999999E-2</v>
      </c>
      <c r="D54">
        <v>1.0200000000000001E-2</v>
      </c>
      <c r="E54">
        <v>5.1959999999999997</v>
      </c>
      <c r="F54">
        <v>0.95679999999999998</v>
      </c>
      <c r="K54">
        <f t="shared" si="7"/>
        <v>10342140</v>
      </c>
      <c r="L54">
        <f t="shared" si="2"/>
        <v>394.26111111111106</v>
      </c>
      <c r="M54">
        <f t="shared" si="3"/>
        <v>5.2999999999999999E-2</v>
      </c>
      <c r="N54">
        <f t="shared" si="4"/>
        <v>1.0200000000000001E-2</v>
      </c>
      <c r="O54">
        <f t="shared" si="5"/>
        <v>5.1959999999999997</v>
      </c>
      <c r="P54">
        <f t="shared" si="6"/>
        <v>0.95679999999999998</v>
      </c>
    </row>
    <row r="55" spans="1:16" x14ac:dyDescent="0.25">
      <c r="A55">
        <v>2000</v>
      </c>
      <c r="B55">
        <v>250</v>
      </c>
      <c r="C55">
        <v>0.1593</v>
      </c>
      <c r="D55">
        <v>3.09E-2</v>
      </c>
      <c r="E55">
        <v>5.1550000000000002</v>
      </c>
      <c r="F55">
        <v>0.56840000000000002</v>
      </c>
      <c r="K55">
        <f t="shared" si="7"/>
        <v>13789520</v>
      </c>
      <c r="L55">
        <f t="shared" si="2"/>
        <v>394.26111111111106</v>
      </c>
      <c r="M55">
        <f t="shared" si="3"/>
        <v>0.1593</v>
      </c>
      <c r="N55">
        <f t="shared" si="4"/>
        <v>3.09E-2</v>
      </c>
      <c r="O55">
        <f t="shared" si="5"/>
        <v>5.1550000000000002</v>
      </c>
      <c r="P55">
        <f t="shared" si="6"/>
        <v>0.56840000000000002</v>
      </c>
    </row>
    <row r="56" spans="1:16" x14ac:dyDescent="0.25">
      <c r="A56">
        <v>2500</v>
      </c>
      <c r="B56">
        <v>250</v>
      </c>
      <c r="C56">
        <v>0.23319999999999999</v>
      </c>
      <c r="D56">
        <v>4.9000000000000002E-2</v>
      </c>
      <c r="E56">
        <v>4.7590000000000003</v>
      </c>
      <c r="F56">
        <v>0.80630000000000002</v>
      </c>
      <c r="K56">
        <f t="shared" si="7"/>
        <v>17236900</v>
      </c>
      <c r="L56">
        <f t="shared" si="2"/>
        <v>394.26111111111106</v>
      </c>
      <c r="M56">
        <f t="shared" si="3"/>
        <v>0.23319999999999999</v>
      </c>
      <c r="N56">
        <f t="shared" si="4"/>
        <v>4.9000000000000002E-2</v>
      </c>
      <c r="O56">
        <f t="shared" si="5"/>
        <v>4.7590000000000003</v>
      </c>
      <c r="P56">
        <f t="shared" si="6"/>
        <v>0.80630000000000002</v>
      </c>
    </row>
    <row r="57" spans="1:16" x14ac:dyDescent="0.25">
      <c r="A57">
        <v>3000</v>
      </c>
      <c r="B57">
        <v>250</v>
      </c>
      <c r="C57">
        <v>0.27950000000000003</v>
      </c>
      <c r="D57">
        <v>6.5000000000000002E-2</v>
      </c>
      <c r="E57">
        <v>4.3</v>
      </c>
      <c r="F57">
        <v>0.77059999999999995</v>
      </c>
      <c r="K57">
        <f t="shared" si="7"/>
        <v>20684280</v>
      </c>
      <c r="L57">
        <f t="shared" si="2"/>
        <v>394.26111111111106</v>
      </c>
      <c r="M57">
        <f t="shared" si="3"/>
        <v>0.27950000000000003</v>
      </c>
      <c r="N57">
        <f t="shared" si="4"/>
        <v>6.5000000000000002E-2</v>
      </c>
      <c r="O57">
        <f t="shared" si="5"/>
        <v>4.3</v>
      </c>
      <c r="P57">
        <f t="shared" si="6"/>
        <v>0.77059999999999995</v>
      </c>
    </row>
    <row r="58" spans="1:16" x14ac:dyDescent="0.25">
      <c r="A58">
        <v>3500</v>
      </c>
      <c r="B58">
        <v>250</v>
      </c>
      <c r="C58">
        <v>0.31280000000000002</v>
      </c>
      <c r="D58">
        <v>8.0500000000000002E-2</v>
      </c>
      <c r="E58">
        <v>3.8860000000000001</v>
      </c>
      <c r="F58">
        <v>0.74739999999999995</v>
      </c>
      <c r="K58">
        <f t="shared" si="7"/>
        <v>24131660</v>
      </c>
      <c r="L58">
        <f t="shared" si="2"/>
        <v>394.26111111111106</v>
      </c>
      <c r="M58">
        <f t="shared" si="3"/>
        <v>0.31280000000000002</v>
      </c>
      <c r="N58">
        <f t="shared" si="4"/>
        <v>8.0500000000000002E-2</v>
      </c>
      <c r="O58">
        <f t="shared" si="5"/>
        <v>3.8860000000000001</v>
      </c>
      <c r="P58">
        <f t="shared" si="6"/>
        <v>0.74739999999999995</v>
      </c>
    </row>
    <row r="59" spans="1:16" x14ac:dyDescent="0.25">
      <c r="A59">
        <v>4000</v>
      </c>
      <c r="B59">
        <v>250</v>
      </c>
      <c r="C59">
        <v>0.33600000000000002</v>
      </c>
      <c r="D59">
        <v>9.5299999999999996E-2</v>
      </c>
      <c r="E59">
        <v>3.5259999999999998</v>
      </c>
      <c r="F59">
        <v>0.7339</v>
      </c>
      <c r="K59">
        <f t="shared" si="7"/>
        <v>27579040</v>
      </c>
      <c r="L59">
        <f t="shared" si="2"/>
        <v>394.26111111111106</v>
      </c>
      <c r="M59">
        <f t="shared" si="3"/>
        <v>0.33600000000000002</v>
      </c>
      <c r="N59">
        <f t="shared" si="4"/>
        <v>9.5299999999999996E-2</v>
      </c>
      <c r="O59">
        <f t="shared" si="5"/>
        <v>3.5259999999999998</v>
      </c>
      <c r="P59">
        <f t="shared" si="6"/>
        <v>0.7339</v>
      </c>
    </row>
    <row r="60" spans="1:16" x14ac:dyDescent="0.25">
      <c r="A60">
        <v>4500</v>
      </c>
      <c r="B60">
        <v>250</v>
      </c>
      <c r="C60">
        <v>0.3528</v>
      </c>
      <c r="D60">
        <v>0.111</v>
      </c>
      <c r="E60">
        <v>3.1779999999999999</v>
      </c>
      <c r="F60">
        <v>0.73</v>
      </c>
      <c r="K60">
        <f t="shared" si="7"/>
        <v>31026420</v>
      </c>
      <c r="L60">
        <f t="shared" si="2"/>
        <v>394.26111111111106</v>
      </c>
      <c r="M60">
        <f t="shared" si="3"/>
        <v>0.3528</v>
      </c>
      <c r="N60">
        <f t="shared" si="4"/>
        <v>0.111</v>
      </c>
      <c r="O60">
        <f t="shared" si="5"/>
        <v>3.1779999999999999</v>
      </c>
      <c r="P60">
        <f t="shared" si="6"/>
        <v>0.73</v>
      </c>
    </row>
    <row r="61" spans="1:16" x14ac:dyDescent="0.25">
      <c r="A61">
        <v>5000</v>
      </c>
      <c r="B61">
        <v>250</v>
      </c>
      <c r="C61">
        <v>0.36149999999999999</v>
      </c>
      <c r="D61">
        <v>0.12470000000000001</v>
      </c>
      <c r="E61">
        <v>2.899</v>
      </c>
      <c r="F61">
        <v>0.72950000000000004</v>
      </c>
      <c r="K61">
        <f t="shared" si="7"/>
        <v>34473800</v>
      </c>
      <c r="L61">
        <f t="shared" si="2"/>
        <v>394.26111111111106</v>
      </c>
      <c r="M61">
        <f t="shared" si="3"/>
        <v>0.36149999999999999</v>
      </c>
      <c r="N61">
        <f t="shared" si="4"/>
        <v>0.12470000000000001</v>
      </c>
      <c r="O61">
        <f t="shared" si="5"/>
        <v>2.899</v>
      </c>
      <c r="P61">
        <f t="shared" si="6"/>
        <v>0.72950000000000004</v>
      </c>
    </row>
    <row r="62" spans="1:16" x14ac:dyDescent="0.25">
      <c r="A62">
        <v>5500</v>
      </c>
      <c r="B62">
        <v>250</v>
      </c>
      <c r="C62">
        <v>0.3679</v>
      </c>
      <c r="D62">
        <v>0.13669999999999999</v>
      </c>
      <c r="E62">
        <v>2.6909999999999998</v>
      </c>
      <c r="F62">
        <v>0.73219999999999996</v>
      </c>
      <c r="K62">
        <f t="shared" si="7"/>
        <v>37921180</v>
      </c>
      <c r="L62">
        <f t="shared" si="2"/>
        <v>394.26111111111106</v>
      </c>
      <c r="M62">
        <f t="shared" si="3"/>
        <v>0.3679</v>
      </c>
      <c r="N62">
        <f t="shared" si="4"/>
        <v>0.13669999999999999</v>
      </c>
      <c r="O62">
        <f t="shared" si="5"/>
        <v>2.6909999999999998</v>
      </c>
      <c r="P62">
        <f t="shared" si="6"/>
        <v>0.73219999999999996</v>
      </c>
    </row>
    <row r="63" spans="1:16" x14ac:dyDescent="0.25">
      <c r="A63">
        <v>6000</v>
      </c>
      <c r="B63">
        <v>250</v>
      </c>
      <c r="C63">
        <v>0.37009999999999998</v>
      </c>
      <c r="D63">
        <v>0.15</v>
      </c>
      <c r="E63">
        <v>2.4670000000000001</v>
      </c>
      <c r="F63">
        <v>0.74109999999999998</v>
      </c>
      <c r="K63">
        <f t="shared" si="7"/>
        <v>41368560</v>
      </c>
      <c r="L63">
        <f t="shared" si="2"/>
        <v>394.26111111111106</v>
      </c>
      <c r="M63">
        <f t="shared" si="3"/>
        <v>0.37009999999999998</v>
      </c>
      <c r="N63">
        <f t="shared" si="4"/>
        <v>0.15</v>
      </c>
      <c r="O63">
        <f t="shared" si="5"/>
        <v>2.4670000000000001</v>
      </c>
      <c r="P63">
        <f t="shared" si="6"/>
        <v>0.74109999999999998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3952-9F1F-41E9-AA9E-2041162C1860}">
  <dimension ref="A1:I6"/>
  <sheetViews>
    <sheetView workbookViewId="0">
      <selection activeCell="G2" sqref="G2:I6"/>
    </sheetView>
  </sheetViews>
  <sheetFormatPr defaultRowHeight="15" x14ac:dyDescent="0.25"/>
  <cols>
    <col min="9" max="9" width="11" bestFit="1" customWidth="1"/>
  </cols>
  <sheetData>
    <row r="1" spans="1:9" x14ac:dyDescent="0.25">
      <c r="A1" t="s">
        <v>49</v>
      </c>
      <c r="B1" t="s">
        <v>30</v>
      </c>
      <c r="C1" t="s">
        <v>50</v>
      </c>
      <c r="E1" t="s">
        <v>51</v>
      </c>
      <c r="G1" t="s">
        <v>7</v>
      </c>
      <c r="H1" t="s">
        <v>8</v>
      </c>
      <c r="I1" t="s">
        <v>9</v>
      </c>
    </row>
    <row r="2" spans="1:9" x14ac:dyDescent="0.25">
      <c r="A2">
        <v>300</v>
      </c>
      <c r="B2">
        <v>25</v>
      </c>
      <c r="C2">
        <v>0.87549999999999994</v>
      </c>
      <c r="E2">
        <v>6894.7572799999998</v>
      </c>
      <c r="G2">
        <f>$E$2*A2</f>
        <v>2068427.1839999999</v>
      </c>
      <c r="H2">
        <f>B2+273.15</f>
        <v>298.14999999999998</v>
      </c>
      <c r="I2">
        <f>C2*0.0001</f>
        <v>8.755E-5</v>
      </c>
    </row>
    <row r="3" spans="1:9" x14ac:dyDescent="0.25">
      <c r="A3">
        <v>300</v>
      </c>
      <c r="B3">
        <v>0</v>
      </c>
      <c r="C3">
        <v>0.55649999999999999</v>
      </c>
      <c r="G3">
        <f t="shared" ref="G3:G6" si="0">$E$2*A3</f>
        <v>2068427.1839999999</v>
      </c>
      <c r="H3">
        <f t="shared" ref="H3:H6" si="1">B3+273.15</f>
        <v>273.14999999999998</v>
      </c>
      <c r="I3">
        <f t="shared" ref="I3:I6" si="2">C3*0.0001</f>
        <v>5.5650000000000004E-5</v>
      </c>
    </row>
    <row r="4" spans="1:9" x14ac:dyDescent="0.25">
      <c r="A4">
        <v>300</v>
      </c>
      <c r="B4">
        <v>-20</v>
      </c>
      <c r="C4">
        <v>0.38080000000000003</v>
      </c>
      <c r="G4">
        <f t="shared" si="0"/>
        <v>2068427.1839999999</v>
      </c>
      <c r="H4">
        <f t="shared" si="1"/>
        <v>253.14999999999998</v>
      </c>
      <c r="I4">
        <f t="shared" si="2"/>
        <v>3.8080000000000001E-5</v>
      </c>
    </row>
    <row r="5" spans="1:9" x14ac:dyDescent="0.25">
      <c r="A5">
        <v>300</v>
      </c>
      <c r="B5">
        <v>-41.6</v>
      </c>
      <c r="C5">
        <v>0.2447</v>
      </c>
      <c r="G5">
        <f t="shared" si="0"/>
        <v>2068427.1839999999</v>
      </c>
      <c r="H5">
        <f t="shared" si="1"/>
        <v>231.54999999999998</v>
      </c>
      <c r="I5">
        <f t="shared" si="2"/>
        <v>2.4470000000000001E-5</v>
      </c>
    </row>
    <row r="6" spans="1:9" x14ac:dyDescent="0.25">
      <c r="A6">
        <v>300</v>
      </c>
      <c r="B6">
        <v>-64</v>
      </c>
      <c r="C6">
        <v>0.14149999999999999</v>
      </c>
      <c r="G6">
        <f t="shared" si="0"/>
        <v>2068427.1839999999</v>
      </c>
      <c r="H6">
        <f t="shared" si="1"/>
        <v>209.14999999999998</v>
      </c>
      <c r="I6">
        <f t="shared" si="2"/>
        <v>1.415E-5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1A37-9099-4393-B3B2-5426F1FA1429}">
  <dimension ref="A1:P7"/>
  <sheetViews>
    <sheetView workbookViewId="0">
      <selection activeCell="M2" sqref="M2:P7"/>
    </sheetView>
  </sheetViews>
  <sheetFormatPr defaultRowHeight="15" x14ac:dyDescent="0.25"/>
  <cols>
    <col min="3" max="3" width="29.42578125" bestFit="1" customWidth="1"/>
    <col min="5" max="5" width="20.7109375" bestFit="1" customWidth="1"/>
    <col min="6" max="6" width="14.28515625" bestFit="1" customWidth="1"/>
    <col min="7" max="7" width="15.7109375" bestFit="1" customWidth="1"/>
    <col min="11" max="11" width="12" bestFit="1" customWidth="1"/>
  </cols>
  <sheetData>
    <row r="1" spans="1:16" x14ac:dyDescent="0.25">
      <c r="A1" t="s">
        <v>39</v>
      </c>
      <c r="B1" t="s">
        <v>30</v>
      </c>
      <c r="C1" t="s">
        <v>53</v>
      </c>
      <c r="E1" t="s">
        <v>54</v>
      </c>
      <c r="F1" t="s">
        <v>13</v>
      </c>
      <c r="G1" t="s">
        <v>14</v>
      </c>
      <c r="I1" t="s">
        <v>41</v>
      </c>
      <c r="J1" t="s">
        <v>42</v>
      </c>
      <c r="K1" t="s">
        <v>9</v>
      </c>
      <c r="M1" t="s">
        <v>7</v>
      </c>
      <c r="N1" t="s">
        <v>8</v>
      </c>
      <c r="P1" t="s">
        <v>9</v>
      </c>
    </row>
    <row r="2" spans="1:16" ht="17.25" x14ac:dyDescent="0.3">
      <c r="A2">
        <v>100</v>
      </c>
      <c r="B2">
        <v>0</v>
      </c>
      <c r="C2">
        <v>6.7</v>
      </c>
      <c r="E2" s="2">
        <v>8.9931999999999998E-2</v>
      </c>
      <c r="F2">
        <f>2.01588*0.001</f>
        <v>2.0158800000000003E-3</v>
      </c>
      <c r="G2" s="2">
        <f>17.0305*0.001</f>
        <v>1.70305E-2</v>
      </c>
      <c r="I2">
        <f>$E$2*C2*0.000001/$F$2</f>
        <v>2.9889894239736487E-4</v>
      </c>
      <c r="J2">
        <f>1/($G$2*1000)</f>
        <v>5.8718182085082643E-2</v>
      </c>
      <c r="K2">
        <f>I2/(I2+J2)</f>
        <v>5.0646175173961775E-3</v>
      </c>
      <c r="M2">
        <f>A2*101325</f>
        <v>10132500</v>
      </c>
      <c r="N2">
        <f>B2+273.15</f>
        <v>273.14999999999998</v>
      </c>
      <c r="P2">
        <f>K2</f>
        <v>5.0646175173961775E-3</v>
      </c>
    </row>
    <row r="3" spans="1:16" x14ac:dyDescent="0.25">
      <c r="A3">
        <v>200</v>
      </c>
      <c r="B3">
        <v>0</v>
      </c>
      <c r="C3">
        <v>13.11</v>
      </c>
      <c r="I3">
        <f t="shared" ref="I3:I7" si="0">$E$2*C3*0.000001/$F$2</f>
        <v>5.848604678849931E-4</v>
      </c>
      <c r="J3">
        <f t="shared" ref="J3:J7" si="1">1/($G$2*1000)</f>
        <v>5.8718182085082643E-2</v>
      </c>
      <c r="K3">
        <f t="shared" ref="K3:K7" si="2">I3/(I3+J3)</f>
        <v>9.8622337523848608E-3</v>
      </c>
      <c r="M3">
        <f t="shared" ref="M3:M7" si="3">A3*101325</f>
        <v>20265000</v>
      </c>
      <c r="N3">
        <f t="shared" ref="N3:N7" si="4">B3+273.15</f>
        <v>273.14999999999998</v>
      </c>
      <c r="P3">
        <f t="shared" ref="P3:P7" si="5">K3</f>
        <v>9.8622337523848608E-3</v>
      </c>
    </row>
    <row r="4" spans="1:16" x14ac:dyDescent="0.25">
      <c r="A4">
        <v>400</v>
      </c>
      <c r="B4">
        <v>0</v>
      </c>
      <c r="C4">
        <v>24.33</v>
      </c>
      <c r="I4">
        <f t="shared" si="0"/>
        <v>1.0854046669444607E-3</v>
      </c>
      <c r="J4">
        <f t="shared" si="1"/>
        <v>5.8718182085082643E-2</v>
      </c>
      <c r="K4">
        <f t="shared" si="2"/>
        <v>1.814949112408663E-2</v>
      </c>
      <c r="M4">
        <f t="shared" si="3"/>
        <v>40530000</v>
      </c>
      <c r="N4">
        <f t="shared" si="4"/>
        <v>273.14999999999998</v>
      </c>
      <c r="P4">
        <f t="shared" si="5"/>
        <v>1.814949112408663E-2</v>
      </c>
    </row>
    <row r="5" spans="1:16" x14ac:dyDescent="0.25">
      <c r="A5">
        <v>600</v>
      </c>
      <c r="B5">
        <v>0</v>
      </c>
      <c r="C5">
        <v>33.99</v>
      </c>
      <c r="I5">
        <f t="shared" si="0"/>
        <v>1.5163544853860345E-3</v>
      </c>
      <c r="J5">
        <f t="shared" si="1"/>
        <v>5.8718182085082643E-2</v>
      </c>
      <c r="K5">
        <f t="shared" si="2"/>
        <v>2.51741703634101E-2</v>
      </c>
      <c r="M5">
        <f t="shared" si="3"/>
        <v>60795000</v>
      </c>
      <c r="N5">
        <f t="shared" si="4"/>
        <v>273.14999999999998</v>
      </c>
      <c r="P5">
        <f t="shared" si="5"/>
        <v>2.51741703634101E-2</v>
      </c>
    </row>
    <row r="6" spans="1:16" x14ac:dyDescent="0.25">
      <c r="A6">
        <v>800</v>
      </c>
      <c r="B6">
        <v>0</v>
      </c>
      <c r="C6">
        <v>42.33</v>
      </c>
      <c r="I6">
        <f t="shared" si="0"/>
        <v>1.8884167509970826E-3</v>
      </c>
      <c r="J6">
        <f t="shared" si="1"/>
        <v>5.8718182085082643E-2</v>
      </c>
      <c r="K6">
        <f t="shared" si="2"/>
        <v>3.1158599678305806E-2</v>
      </c>
      <c r="M6">
        <f t="shared" si="3"/>
        <v>81060000</v>
      </c>
      <c r="N6">
        <f t="shared" si="4"/>
        <v>273.14999999999998</v>
      </c>
      <c r="P6">
        <f t="shared" si="5"/>
        <v>3.1158599678305806E-2</v>
      </c>
    </row>
    <row r="7" spans="1:16" x14ac:dyDescent="0.25">
      <c r="A7">
        <v>1000</v>
      </c>
      <c r="B7">
        <v>0</v>
      </c>
      <c r="C7">
        <v>49.77</v>
      </c>
      <c r="I7">
        <f t="shared" si="0"/>
        <v>2.2203284124055001E-3</v>
      </c>
      <c r="J7">
        <f t="shared" si="1"/>
        <v>5.8718182085082643E-2</v>
      </c>
      <c r="K7">
        <f t="shared" si="2"/>
        <v>3.6435554369137736E-2</v>
      </c>
      <c r="M7">
        <f t="shared" si="3"/>
        <v>101325000</v>
      </c>
      <c r="N7">
        <f t="shared" si="4"/>
        <v>273.14999999999998</v>
      </c>
      <c r="P7">
        <f t="shared" si="5"/>
        <v>3.6435554369137736E-2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D250-772B-4060-A020-950E2D2E12CA}">
  <dimension ref="A1:Q6"/>
  <sheetViews>
    <sheetView workbookViewId="0">
      <selection activeCell="N4" sqref="N4"/>
    </sheetView>
  </sheetViews>
  <sheetFormatPr defaultRowHeight="15" x14ac:dyDescent="0.25"/>
  <cols>
    <col min="3" max="3" width="28.42578125" bestFit="1" customWidth="1"/>
    <col min="6" max="6" width="21.140625" bestFit="1" customWidth="1"/>
    <col min="7" max="7" width="14.28515625" bestFit="1" customWidth="1"/>
    <col min="8" max="8" width="15.7109375" bestFit="1" customWidth="1"/>
  </cols>
  <sheetData>
    <row r="1" spans="1:17" x14ac:dyDescent="0.25">
      <c r="A1" t="s">
        <v>29</v>
      </c>
      <c r="B1" t="s">
        <v>30</v>
      </c>
      <c r="C1" t="s">
        <v>28</v>
      </c>
      <c r="D1" t="s">
        <v>32</v>
      </c>
      <c r="F1" t="s">
        <v>31</v>
      </c>
      <c r="G1" t="s">
        <v>13</v>
      </c>
      <c r="H1" t="s">
        <v>14</v>
      </c>
      <c r="J1" t="s">
        <v>9</v>
      </c>
      <c r="K1" t="s">
        <v>10</v>
      </c>
      <c r="L1" t="s">
        <v>19</v>
      </c>
      <c r="N1" t="s">
        <v>7</v>
      </c>
      <c r="O1" t="s">
        <v>8</v>
      </c>
      <c r="P1" t="s">
        <v>19</v>
      </c>
      <c r="Q1" t="s">
        <v>9</v>
      </c>
    </row>
    <row r="2" spans="1:17" x14ac:dyDescent="0.25">
      <c r="A2">
        <v>202.15</v>
      </c>
      <c r="B2">
        <v>25</v>
      </c>
      <c r="C2">
        <v>20.78</v>
      </c>
      <c r="D2">
        <v>6.9599999999999995E-2</v>
      </c>
      <c r="F2">
        <v>8.3794999999999994E-2</v>
      </c>
      <c r="G2">
        <f>0.00201588</f>
        <v>2.0158799999999998E-3</v>
      </c>
      <c r="H2">
        <f>0.0170305</f>
        <v>1.70305E-2</v>
      </c>
      <c r="J2">
        <f>1/(1+1/(C2*0.000001/0.001*$H$2/$G$2*$F$2))</f>
        <v>1.4497203394127574E-2</v>
      </c>
      <c r="K2">
        <f>1-J2</f>
        <v>0.98550279660587248</v>
      </c>
      <c r="L2">
        <f>1-D2</f>
        <v>0.9304</v>
      </c>
      <c r="N2">
        <f>A2*100000</f>
        <v>20215000</v>
      </c>
      <c r="O2">
        <f>B2+273.15</f>
        <v>298.14999999999998</v>
      </c>
      <c r="P2">
        <f>L2</f>
        <v>0.9304</v>
      </c>
      <c r="Q2">
        <f>J2</f>
        <v>1.4497203394127574E-2</v>
      </c>
    </row>
    <row r="3" spans="1:17" x14ac:dyDescent="0.25">
      <c r="A3">
        <v>100.7</v>
      </c>
      <c r="B3">
        <v>25</v>
      </c>
      <c r="C3">
        <v>10.19</v>
      </c>
      <c r="J3">
        <f t="shared" ref="J3:J6" si="0">1/(1+1/(C3*0.000001/0.001*$H$2/$G$2*$F$2))</f>
        <v>7.1619850379650322E-3</v>
      </c>
      <c r="K3">
        <f t="shared" ref="K3:K6" si="1">1-J3</f>
        <v>0.99283801496203494</v>
      </c>
      <c r="N3">
        <f t="shared" ref="N3:N6" si="2">A3*100000</f>
        <v>10070000</v>
      </c>
      <c r="O3">
        <f t="shared" ref="O3:O6" si="3">B3+273.15</f>
        <v>298.14999999999998</v>
      </c>
      <c r="Q3">
        <f t="shared" ref="Q3:Q6" si="4">J3</f>
        <v>7.1619850379650322E-3</v>
      </c>
    </row>
    <row r="4" spans="1:17" x14ac:dyDescent="0.25">
      <c r="A4">
        <v>100.2</v>
      </c>
      <c r="B4">
        <v>25</v>
      </c>
      <c r="D4">
        <v>0.1249</v>
      </c>
      <c r="L4">
        <f t="shared" ref="L4:L6" si="5">1-D4</f>
        <v>0.87509999999999999</v>
      </c>
      <c r="N4">
        <f t="shared" si="2"/>
        <v>10020000</v>
      </c>
      <c r="O4">
        <f t="shared" si="3"/>
        <v>298.14999999999998</v>
      </c>
      <c r="P4">
        <f t="shared" ref="P4:P6" si="6">L4</f>
        <v>0.87509999999999999</v>
      </c>
    </row>
    <row r="5" spans="1:17" x14ac:dyDescent="0.25">
      <c r="A5">
        <v>53.45</v>
      </c>
      <c r="B5">
        <v>25</v>
      </c>
      <c r="C5">
        <v>4.8899999999999997</v>
      </c>
      <c r="J5">
        <f t="shared" si="0"/>
        <v>3.4497600218698107E-3</v>
      </c>
      <c r="K5">
        <f t="shared" si="1"/>
        <v>0.99655023997813019</v>
      </c>
      <c r="N5">
        <f t="shared" si="2"/>
        <v>5345000</v>
      </c>
      <c r="O5">
        <f t="shared" si="3"/>
        <v>298.14999999999998</v>
      </c>
      <c r="Q5">
        <f t="shared" si="4"/>
        <v>3.4497600218698107E-3</v>
      </c>
    </row>
    <row r="6" spans="1:17" x14ac:dyDescent="0.25">
      <c r="A6">
        <v>28.9</v>
      </c>
      <c r="B6">
        <v>25</v>
      </c>
      <c r="C6">
        <v>2.2000000000000002</v>
      </c>
      <c r="D6">
        <v>0.38550000000000001</v>
      </c>
      <c r="J6">
        <f t="shared" si="0"/>
        <v>1.5549902108292406E-3</v>
      </c>
      <c r="K6">
        <f t="shared" si="1"/>
        <v>0.99844500978917072</v>
      </c>
      <c r="L6">
        <f t="shared" si="5"/>
        <v>0.61450000000000005</v>
      </c>
      <c r="N6">
        <f t="shared" si="2"/>
        <v>2890000</v>
      </c>
      <c r="O6">
        <f t="shared" si="3"/>
        <v>298.14999999999998</v>
      </c>
      <c r="P6">
        <f t="shared" si="6"/>
        <v>0.61450000000000005</v>
      </c>
      <c r="Q6">
        <f t="shared" si="4"/>
        <v>1.5549902108292406E-3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7812-7BD5-4A6A-AC09-B1867414F334}">
  <dimension ref="A1:G2"/>
  <sheetViews>
    <sheetView topLeftCell="A22" workbookViewId="0">
      <selection activeCell="G4" sqref="G4"/>
    </sheetView>
  </sheetViews>
  <sheetFormatPr defaultRowHeight="15" x14ac:dyDescent="0.25"/>
  <sheetData>
    <row r="1" spans="1:7" x14ac:dyDescent="0.25">
      <c r="A1" t="s">
        <v>33</v>
      </c>
      <c r="B1" t="s">
        <v>30</v>
      </c>
      <c r="C1" t="s">
        <v>32</v>
      </c>
      <c r="E1" t="s">
        <v>7</v>
      </c>
      <c r="F1" t="s">
        <v>8</v>
      </c>
      <c r="G1" t="s">
        <v>19</v>
      </c>
    </row>
    <row r="2" spans="1:7" x14ac:dyDescent="0.25">
      <c r="A2">
        <f>2*10.03*100000</f>
        <v>2005999.9999999998</v>
      </c>
      <c r="B2">
        <v>25</v>
      </c>
      <c r="C2">
        <v>0.51649999999999996</v>
      </c>
      <c r="E2">
        <f>A2</f>
        <v>2005999.9999999998</v>
      </c>
      <c r="F2">
        <f>B2+273.15</f>
        <v>298.14999999999998</v>
      </c>
      <c r="G2">
        <f>1-C2</f>
        <v>0.48350000000000004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8F65-9F8D-4ECF-95FD-0098177D7A72}">
  <dimension ref="A1:S28"/>
  <sheetViews>
    <sheetView workbookViewId="0">
      <selection activeCell="F1" sqref="F1:G2"/>
    </sheetView>
  </sheetViews>
  <sheetFormatPr defaultRowHeight="15" x14ac:dyDescent="0.25"/>
  <cols>
    <col min="1" max="1" width="14.140625" bestFit="1" customWidth="1"/>
    <col min="2" max="2" width="14.7109375" bestFit="1" customWidth="1"/>
    <col min="3" max="3" width="40.42578125" bestFit="1" customWidth="1"/>
    <col min="5" max="5" width="19.140625" bestFit="1" customWidth="1"/>
    <col min="6" max="6" width="14.28515625" bestFit="1" customWidth="1"/>
    <col min="7" max="7" width="15.7109375" bestFit="1" customWidth="1"/>
    <col min="9" max="9" width="14" bestFit="1" customWidth="1"/>
  </cols>
  <sheetData>
    <row r="1" spans="1:19" x14ac:dyDescent="0.25">
      <c r="A1" t="s">
        <v>4</v>
      </c>
      <c r="B1" t="s">
        <v>5</v>
      </c>
      <c r="C1" t="s">
        <v>6</v>
      </c>
      <c r="E1" t="s">
        <v>12</v>
      </c>
      <c r="F1" t="s">
        <v>13</v>
      </c>
      <c r="G1" t="s">
        <v>14</v>
      </c>
      <c r="I1" t="s">
        <v>11</v>
      </c>
      <c r="K1" t="s">
        <v>7</v>
      </c>
      <c r="L1" t="s">
        <v>8</v>
      </c>
      <c r="M1" t="s">
        <v>9</v>
      </c>
      <c r="N1" t="s">
        <v>10</v>
      </c>
      <c r="P1" t="s">
        <v>19</v>
      </c>
      <c r="Q1" t="s">
        <v>9</v>
      </c>
      <c r="R1" t="s">
        <v>22</v>
      </c>
      <c r="S1" t="s">
        <v>23</v>
      </c>
    </row>
    <row r="2" spans="1:19" x14ac:dyDescent="0.25">
      <c r="A2">
        <v>50</v>
      </c>
      <c r="B2">
        <v>25</v>
      </c>
      <c r="C2">
        <v>4.4710000000000001</v>
      </c>
      <c r="E2">
        <v>8.9880000000000002E-2</v>
      </c>
      <c r="F2">
        <f>0.00201588</f>
        <v>2.0158799999999998E-3</v>
      </c>
      <c r="G2">
        <f>0.0170305</f>
        <v>1.70305E-2</v>
      </c>
      <c r="I2">
        <f t="shared" ref="I2:I28" si="0">C2*0.000001/0.001*$G$2/$F$2*$E$2</f>
        <v>3.394927124203822E-3</v>
      </c>
      <c r="K2">
        <f t="shared" ref="K2:K28" si="1">A2*101325</f>
        <v>5066250</v>
      </c>
      <c r="L2">
        <f t="shared" ref="L2:L28" si="2">B2+273.15</f>
        <v>298.14999999999998</v>
      </c>
      <c r="M2">
        <f>1/(1+1/I2)</f>
        <v>3.3834405899717947E-3</v>
      </c>
      <c r="N2">
        <f>1-M2</f>
        <v>0.99661655941002825</v>
      </c>
      <c r="Q2">
        <f>M2</f>
        <v>3.3834405899717947E-3</v>
      </c>
    </row>
    <row r="3" spans="1:19" x14ac:dyDescent="0.25">
      <c r="A3">
        <v>100</v>
      </c>
      <c r="B3">
        <v>25</v>
      </c>
      <c r="C3">
        <v>9.875</v>
      </c>
      <c r="I3">
        <f t="shared" si="0"/>
        <v>7.4983013535031857E-3</v>
      </c>
      <c r="K3">
        <f t="shared" si="1"/>
        <v>10132500</v>
      </c>
      <c r="L3">
        <f t="shared" si="2"/>
        <v>298.14999999999998</v>
      </c>
      <c r="M3">
        <f t="shared" ref="M3:M28" si="3">1/(1+1/I3)</f>
        <v>7.4424952810637447E-3</v>
      </c>
      <c r="N3">
        <f t="shared" ref="N3:N28" si="4">1-M3</f>
        <v>0.99255750471893622</v>
      </c>
      <c r="Q3">
        <f t="shared" ref="Q3:Q28" si="5">M3</f>
        <v>7.4424952810637447E-3</v>
      </c>
    </row>
    <row r="4" spans="1:19" x14ac:dyDescent="0.25">
      <c r="A4">
        <v>200</v>
      </c>
      <c r="B4">
        <v>25</v>
      </c>
      <c r="C4">
        <v>20.077000000000002</v>
      </c>
      <c r="I4">
        <f t="shared" si="0"/>
        <v>1.5244900888535034E-2</v>
      </c>
      <c r="K4">
        <f t="shared" si="1"/>
        <v>20265000</v>
      </c>
      <c r="L4">
        <f t="shared" si="2"/>
        <v>298.14999999999998</v>
      </c>
      <c r="M4">
        <f t="shared" si="3"/>
        <v>1.5015983705205323E-2</v>
      </c>
      <c r="N4">
        <f t="shared" si="4"/>
        <v>0.98498401629479471</v>
      </c>
      <c r="Q4">
        <f t="shared" si="5"/>
        <v>1.5015983705205323E-2</v>
      </c>
    </row>
    <row r="5" spans="1:19" x14ac:dyDescent="0.25">
      <c r="A5">
        <v>400</v>
      </c>
      <c r="B5">
        <v>25</v>
      </c>
      <c r="C5">
        <v>38.134</v>
      </c>
      <c r="I5">
        <f t="shared" si="0"/>
        <v>2.8955972031847133E-2</v>
      </c>
      <c r="K5">
        <f t="shared" si="1"/>
        <v>40530000</v>
      </c>
      <c r="L5">
        <f t="shared" si="2"/>
        <v>298.14999999999998</v>
      </c>
      <c r="M5">
        <f t="shared" si="3"/>
        <v>2.8141118589038051E-2</v>
      </c>
      <c r="N5">
        <f t="shared" si="4"/>
        <v>0.97185888141096199</v>
      </c>
      <c r="Q5">
        <f t="shared" si="5"/>
        <v>2.8141118589038051E-2</v>
      </c>
    </row>
    <row r="6" spans="1:19" x14ac:dyDescent="0.25">
      <c r="A6">
        <v>600</v>
      </c>
      <c r="B6">
        <v>25</v>
      </c>
      <c r="C6">
        <v>53.710999999999999</v>
      </c>
      <c r="I6">
        <f t="shared" si="0"/>
        <v>4.0783925468152869E-2</v>
      </c>
      <c r="K6">
        <f t="shared" si="1"/>
        <v>60795000</v>
      </c>
      <c r="L6">
        <f t="shared" si="2"/>
        <v>298.14999999999998</v>
      </c>
      <c r="M6">
        <f t="shared" si="3"/>
        <v>3.9185775712098872E-2</v>
      </c>
      <c r="N6">
        <f t="shared" si="4"/>
        <v>0.96081422428790109</v>
      </c>
      <c r="Q6">
        <f t="shared" si="5"/>
        <v>3.9185775712098872E-2</v>
      </c>
    </row>
    <row r="7" spans="1:19" x14ac:dyDescent="0.25">
      <c r="A7">
        <v>800</v>
      </c>
      <c r="B7">
        <v>25</v>
      </c>
      <c r="C7">
        <v>67.63</v>
      </c>
      <c r="I7">
        <f t="shared" si="0"/>
        <v>5.1352923598726105E-2</v>
      </c>
      <c r="K7">
        <f t="shared" si="1"/>
        <v>81060000</v>
      </c>
      <c r="L7">
        <f t="shared" si="2"/>
        <v>298.14999999999998</v>
      </c>
      <c r="M7">
        <f t="shared" si="3"/>
        <v>4.8844610069611764E-2</v>
      </c>
      <c r="N7">
        <f t="shared" si="4"/>
        <v>0.95115538993038828</v>
      </c>
      <c r="Q7">
        <f t="shared" si="5"/>
        <v>4.8844610069611764E-2</v>
      </c>
    </row>
    <row r="8" spans="1:19" x14ac:dyDescent="0.25">
      <c r="A8">
        <v>1000</v>
      </c>
      <c r="B8">
        <v>25</v>
      </c>
      <c r="C8">
        <v>79.25</v>
      </c>
      <c r="I8">
        <f t="shared" si="0"/>
        <v>6.0176241242038221E-2</v>
      </c>
      <c r="K8">
        <f t="shared" si="1"/>
        <v>101325000</v>
      </c>
      <c r="L8">
        <f t="shared" si="2"/>
        <v>298.14999999999998</v>
      </c>
      <c r="M8">
        <f t="shared" si="3"/>
        <v>5.676060158784485E-2</v>
      </c>
      <c r="N8">
        <f t="shared" si="4"/>
        <v>0.94323939841215521</v>
      </c>
      <c r="Q8">
        <f t="shared" si="5"/>
        <v>5.676060158784485E-2</v>
      </c>
    </row>
    <row r="9" spans="1:19" x14ac:dyDescent="0.25">
      <c r="A9">
        <v>50</v>
      </c>
      <c r="B9">
        <v>50</v>
      </c>
      <c r="C9">
        <v>5.0999999999999996</v>
      </c>
      <c r="I9">
        <f t="shared" si="0"/>
        <v>3.8725404458598723E-3</v>
      </c>
      <c r="K9">
        <f t="shared" si="1"/>
        <v>5066250</v>
      </c>
      <c r="L9">
        <f t="shared" si="2"/>
        <v>323.14999999999998</v>
      </c>
      <c r="M9">
        <f t="shared" si="3"/>
        <v>3.857601727147475E-3</v>
      </c>
      <c r="N9">
        <f t="shared" si="4"/>
        <v>0.99614239827285256</v>
      </c>
      <c r="Q9">
        <f t="shared" si="5"/>
        <v>3.857601727147475E-3</v>
      </c>
    </row>
    <row r="10" spans="1:19" x14ac:dyDescent="0.25">
      <c r="A10">
        <v>100</v>
      </c>
      <c r="B10">
        <v>50</v>
      </c>
      <c r="C10">
        <v>13.486000000000001</v>
      </c>
      <c r="I10">
        <f t="shared" si="0"/>
        <v>1.0240211853503184E-2</v>
      </c>
      <c r="K10">
        <f t="shared" si="1"/>
        <v>10132500</v>
      </c>
      <c r="L10">
        <f t="shared" si="2"/>
        <v>323.14999999999998</v>
      </c>
      <c r="M10">
        <f t="shared" si="3"/>
        <v>1.0136412838601337E-2</v>
      </c>
      <c r="N10">
        <f t="shared" si="4"/>
        <v>0.98986358716139866</v>
      </c>
      <c r="Q10">
        <f t="shared" si="5"/>
        <v>1.0136412838601337E-2</v>
      </c>
    </row>
    <row r="11" spans="1:19" x14ac:dyDescent="0.25">
      <c r="A11">
        <v>180</v>
      </c>
      <c r="B11">
        <v>50</v>
      </c>
      <c r="C11">
        <v>26.35</v>
      </c>
      <c r="I11">
        <f t="shared" si="0"/>
        <v>2.0008125636942677E-2</v>
      </c>
      <c r="K11">
        <f t="shared" si="1"/>
        <v>18238500</v>
      </c>
      <c r="L11">
        <f t="shared" si="2"/>
        <v>323.14999999999998</v>
      </c>
      <c r="M11">
        <f t="shared" si="3"/>
        <v>1.9615653183594622E-2</v>
      </c>
      <c r="N11">
        <f t="shared" si="4"/>
        <v>0.98038434681640541</v>
      </c>
      <c r="Q11">
        <f t="shared" si="5"/>
        <v>1.9615653183594622E-2</v>
      </c>
    </row>
    <row r="12" spans="1:19" x14ac:dyDescent="0.25">
      <c r="A12">
        <v>200</v>
      </c>
      <c r="B12">
        <v>50</v>
      </c>
      <c r="C12">
        <v>29.39</v>
      </c>
      <c r="I12">
        <f t="shared" si="0"/>
        <v>2.2316463471337582E-2</v>
      </c>
      <c r="K12">
        <f t="shared" si="1"/>
        <v>20265000</v>
      </c>
      <c r="L12">
        <f t="shared" si="2"/>
        <v>323.14999999999998</v>
      </c>
      <c r="M12">
        <f t="shared" si="3"/>
        <v>2.1829310461812065E-2</v>
      </c>
      <c r="N12">
        <f t="shared" si="4"/>
        <v>0.97817068953818798</v>
      </c>
      <c r="Q12">
        <f t="shared" si="5"/>
        <v>2.1829310461812065E-2</v>
      </c>
    </row>
    <row r="13" spans="1:19" x14ac:dyDescent="0.25">
      <c r="A13">
        <v>400</v>
      </c>
      <c r="B13">
        <v>50</v>
      </c>
      <c r="C13">
        <v>58.33</v>
      </c>
      <c r="I13">
        <f t="shared" si="0"/>
        <v>4.4291232197452235E-2</v>
      </c>
      <c r="K13">
        <f t="shared" si="1"/>
        <v>40530000</v>
      </c>
      <c r="L13">
        <f t="shared" si="2"/>
        <v>323.14999999999998</v>
      </c>
      <c r="M13">
        <f t="shared" si="3"/>
        <v>4.2412720543724483E-2</v>
      </c>
      <c r="N13">
        <f t="shared" si="4"/>
        <v>0.95758727945627553</v>
      </c>
      <c r="Q13">
        <f t="shared" si="5"/>
        <v>4.2412720543724483E-2</v>
      </c>
    </row>
    <row r="14" spans="1:19" x14ac:dyDescent="0.25">
      <c r="A14">
        <v>600</v>
      </c>
      <c r="B14">
        <v>50</v>
      </c>
      <c r="C14">
        <v>83.48</v>
      </c>
      <c r="I14">
        <f t="shared" si="0"/>
        <v>6.3388171847133773E-2</v>
      </c>
      <c r="K14">
        <f t="shared" si="1"/>
        <v>60795000</v>
      </c>
      <c r="L14">
        <f t="shared" si="2"/>
        <v>323.14999999999998</v>
      </c>
      <c r="M14">
        <f t="shared" si="3"/>
        <v>5.9609626592918387E-2</v>
      </c>
      <c r="N14">
        <f t="shared" si="4"/>
        <v>0.94039037340708165</v>
      </c>
      <c r="Q14">
        <f t="shared" si="5"/>
        <v>5.9609626592918387E-2</v>
      </c>
    </row>
    <row r="15" spans="1:19" x14ac:dyDescent="0.25">
      <c r="A15">
        <v>800</v>
      </c>
      <c r="B15">
        <v>50</v>
      </c>
      <c r="C15">
        <v>105.39</v>
      </c>
      <c r="I15">
        <f t="shared" si="0"/>
        <v>8.0024909331210189E-2</v>
      </c>
      <c r="K15">
        <f t="shared" si="1"/>
        <v>81060000</v>
      </c>
      <c r="L15">
        <f t="shared" si="2"/>
        <v>323.14999999999998</v>
      </c>
      <c r="M15">
        <f t="shared" si="3"/>
        <v>7.4095429318166803E-2</v>
      </c>
      <c r="N15">
        <f t="shared" si="4"/>
        <v>0.92590457068183318</v>
      </c>
      <c r="Q15">
        <f t="shared" si="5"/>
        <v>7.4095429318166803E-2</v>
      </c>
    </row>
    <row r="16" spans="1:19" x14ac:dyDescent="0.25">
      <c r="A16">
        <v>1000</v>
      </c>
      <c r="B16">
        <v>50</v>
      </c>
      <c r="C16">
        <v>124.91</v>
      </c>
      <c r="I16">
        <f t="shared" si="0"/>
        <v>9.4846868057324826E-2</v>
      </c>
      <c r="K16">
        <f t="shared" si="1"/>
        <v>101325000</v>
      </c>
      <c r="L16">
        <f t="shared" si="2"/>
        <v>323.14999999999998</v>
      </c>
      <c r="M16">
        <f t="shared" si="3"/>
        <v>8.6630259285135722E-2</v>
      </c>
      <c r="N16">
        <f t="shared" si="4"/>
        <v>0.91336974071486432</v>
      </c>
      <c r="Q16">
        <f t="shared" si="5"/>
        <v>8.6630259285135722E-2</v>
      </c>
    </row>
    <row r="17" spans="1:17" x14ac:dyDescent="0.25">
      <c r="A17">
        <v>100</v>
      </c>
      <c r="B17">
        <v>75</v>
      </c>
      <c r="C17">
        <v>16.350000000000001</v>
      </c>
      <c r="I17">
        <f t="shared" si="0"/>
        <v>1.2414909076433122E-2</v>
      </c>
      <c r="K17">
        <f t="shared" si="1"/>
        <v>10132500</v>
      </c>
      <c r="L17">
        <f t="shared" si="2"/>
        <v>348.15</v>
      </c>
      <c r="M17">
        <f t="shared" si="3"/>
        <v>1.2262669153853647E-2</v>
      </c>
      <c r="N17">
        <f t="shared" si="4"/>
        <v>0.98773733084614634</v>
      </c>
      <c r="Q17">
        <f t="shared" si="5"/>
        <v>1.2262669153853647E-2</v>
      </c>
    </row>
    <row r="18" spans="1:17" x14ac:dyDescent="0.25">
      <c r="A18">
        <v>200</v>
      </c>
      <c r="B18">
        <v>75</v>
      </c>
      <c r="C18">
        <v>41.41</v>
      </c>
      <c r="I18">
        <f t="shared" si="0"/>
        <v>3.1443509777070056E-2</v>
      </c>
      <c r="K18">
        <f t="shared" si="1"/>
        <v>20265000</v>
      </c>
      <c r="L18">
        <f t="shared" si="2"/>
        <v>348.15</v>
      </c>
      <c r="M18">
        <f t="shared" si="3"/>
        <v>3.0484955772193539E-2</v>
      </c>
      <c r="N18">
        <f t="shared" si="4"/>
        <v>0.96951504422780643</v>
      </c>
      <c r="Q18">
        <f t="shared" si="5"/>
        <v>3.0484955772193539E-2</v>
      </c>
    </row>
    <row r="19" spans="1:17" x14ac:dyDescent="0.25">
      <c r="A19">
        <v>400</v>
      </c>
      <c r="B19">
        <v>75</v>
      </c>
      <c r="C19">
        <v>88.34</v>
      </c>
      <c r="I19">
        <f t="shared" si="0"/>
        <v>6.7078475095541407E-2</v>
      </c>
      <c r="K19">
        <f t="shared" si="1"/>
        <v>40530000</v>
      </c>
      <c r="L19">
        <f t="shared" si="2"/>
        <v>348.15</v>
      </c>
      <c r="M19">
        <f t="shared" si="3"/>
        <v>6.2861801321159164E-2</v>
      </c>
      <c r="N19">
        <f t="shared" si="4"/>
        <v>0.93713819867884085</v>
      </c>
      <c r="Q19">
        <f t="shared" si="5"/>
        <v>6.2861801321159164E-2</v>
      </c>
    </row>
    <row r="20" spans="1:17" x14ac:dyDescent="0.25">
      <c r="A20">
        <v>600</v>
      </c>
      <c r="B20">
        <v>75</v>
      </c>
      <c r="C20">
        <v>131.03</v>
      </c>
      <c r="I20">
        <f t="shared" si="0"/>
        <v>9.9493916592356721E-2</v>
      </c>
      <c r="K20">
        <f t="shared" si="1"/>
        <v>60795000</v>
      </c>
      <c r="L20">
        <f t="shared" si="2"/>
        <v>348.15</v>
      </c>
      <c r="M20">
        <f t="shared" si="3"/>
        <v>9.0490647643341734E-2</v>
      </c>
      <c r="N20">
        <f t="shared" si="4"/>
        <v>0.90950935235665831</v>
      </c>
      <c r="Q20">
        <f t="shared" si="5"/>
        <v>9.0490647643341734E-2</v>
      </c>
    </row>
    <row r="21" spans="1:17" x14ac:dyDescent="0.25">
      <c r="A21">
        <v>800</v>
      </c>
      <c r="B21">
        <v>75</v>
      </c>
      <c r="C21">
        <v>169.22</v>
      </c>
      <c r="I21">
        <f t="shared" si="0"/>
        <v>0.12849241063694267</v>
      </c>
      <c r="K21">
        <f t="shared" si="1"/>
        <v>81060000</v>
      </c>
      <c r="L21">
        <f t="shared" si="2"/>
        <v>348.15</v>
      </c>
      <c r="M21">
        <f t="shared" si="3"/>
        <v>0.11386200689149437</v>
      </c>
      <c r="N21">
        <f t="shared" si="4"/>
        <v>0.88613799310850561</v>
      </c>
      <c r="Q21">
        <f t="shared" si="5"/>
        <v>0.11386200689149437</v>
      </c>
    </row>
    <row r="22" spans="1:17" x14ac:dyDescent="0.25">
      <c r="A22">
        <v>1000</v>
      </c>
      <c r="B22">
        <v>75</v>
      </c>
      <c r="C22">
        <v>203.29</v>
      </c>
      <c r="I22">
        <f t="shared" si="0"/>
        <v>0.15436249945859873</v>
      </c>
      <c r="K22">
        <f t="shared" si="1"/>
        <v>101325000</v>
      </c>
      <c r="L22">
        <f t="shared" si="2"/>
        <v>348.15</v>
      </c>
      <c r="M22">
        <f t="shared" si="3"/>
        <v>0.1337209927825925</v>
      </c>
      <c r="N22">
        <f t="shared" si="4"/>
        <v>0.86627900721740747</v>
      </c>
      <c r="Q22">
        <f t="shared" si="5"/>
        <v>0.1337209927825925</v>
      </c>
    </row>
    <row r="23" spans="1:17" x14ac:dyDescent="0.25">
      <c r="A23">
        <v>100</v>
      </c>
      <c r="B23">
        <v>100</v>
      </c>
      <c r="C23">
        <v>15.67</v>
      </c>
      <c r="I23">
        <f t="shared" si="0"/>
        <v>1.1898570350318473E-2</v>
      </c>
      <c r="K23">
        <f t="shared" si="1"/>
        <v>10132500</v>
      </c>
      <c r="L23">
        <f t="shared" si="2"/>
        <v>373.15</v>
      </c>
      <c r="M23">
        <f t="shared" si="3"/>
        <v>1.1758659117582504E-2</v>
      </c>
      <c r="N23">
        <f t="shared" si="4"/>
        <v>0.98824134088241755</v>
      </c>
      <c r="Q23">
        <f t="shared" si="5"/>
        <v>1.1758659117582504E-2</v>
      </c>
    </row>
    <row r="24" spans="1:17" x14ac:dyDescent="0.25">
      <c r="A24">
        <v>200</v>
      </c>
      <c r="B24">
        <v>100</v>
      </c>
      <c r="C24">
        <v>57.1</v>
      </c>
      <c r="I24">
        <f t="shared" si="0"/>
        <v>4.3357266560509554E-2</v>
      </c>
      <c r="K24">
        <f t="shared" si="1"/>
        <v>20265000</v>
      </c>
      <c r="L24">
        <f t="shared" si="2"/>
        <v>373.15</v>
      </c>
      <c r="M24">
        <f t="shared" si="3"/>
        <v>4.1555532270781424E-2</v>
      </c>
      <c r="N24">
        <f t="shared" si="4"/>
        <v>0.95844446772921854</v>
      </c>
      <c r="Q24">
        <f t="shared" si="5"/>
        <v>4.1555532270781424E-2</v>
      </c>
    </row>
    <row r="25" spans="1:17" x14ac:dyDescent="0.25">
      <c r="A25">
        <v>400</v>
      </c>
      <c r="B25">
        <v>100</v>
      </c>
      <c r="C25">
        <v>140.6</v>
      </c>
      <c r="I25">
        <f t="shared" si="0"/>
        <v>0.10676062484076435</v>
      </c>
      <c r="K25">
        <f t="shared" si="1"/>
        <v>40530000</v>
      </c>
      <c r="L25">
        <f t="shared" si="2"/>
        <v>373.15</v>
      </c>
      <c r="M25">
        <f t="shared" si="3"/>
        <v>9.6462254298326319E-2</v>
      </c>
      <c r="N25">
        <f t="shared" si="4"/>
        <v>0.90353774570167367</v>
      </c>
      <c r="Q25">
        <f t="shared" si="5"/>
        <v>9.6462254298326319E-2</v>
      </c>
    </row>
    <row r="26" spans="1:17" x14ac:dyDescent="0.25">
      <c r="A26">
        <v>600</v>
      </c>
      <c r="B26">
        <v>100</v>
      </c>
      <c r="C26">
        <v>224</v>
      </c>
      <c r="I26">
        <f t="shared" si="0"/>
        <v>0.17008805095541404</v>
      </c>
      <c r="K26">
        <f t="shared" si="1"/>
        <v>60795000</v>
      </c>
      <c r="L26">
        <f t="shared" si="2"/>
        <v>373.15</v>
      </c>
      <c r="M26">
        <f t="shared" si="3"/>
        <v>0.14536346287489368</v>
      </c>
      <c r="N26">
        <f t="shared" si="4"/>
        <v>0.85463653712510634</v>
      </c>
      <c r="Q26">
        <f t="shared" si="5"/>
        <v>0.14536346287489368</v>
      </c>
    </row>
    <row r="27" spans="1:17" x14ac:dyDescent="0.25">
      <c r="A27">
        <v>800</v>
      </c>
      <c r="B27">
        <v>100</v>
      </c>
      <c r="C27">
        <v>305.2</v>
      </c>
      <c r="I27">
        <f t="shared" si="0"/>
        <v>0.2317449694267516</v>
      </c>
      <c r="K27">
        <f t="shared" si="1"/>
        <v>81060000</v>
      </c>
      <c r="L27">
        <f t="shared" si="2"/>
        <v>373.15</v>
      </c>
      <c r="M27">
        <f t="shared" si="3"/>
        <v>0.18814362971143664</v>
      </c>
      <c r="N27">
        <f t="shared" si="4"/>
        <v>0.81185637028856339</v>
      </c>
      <c r="Q27">
        <f t="shared" si="5"/>
        <v>0.18814362971143664</v>
      </c>
    </row>
    <row r="28" spans="1:17" x14ac:dyDescent="0.25">
      <c r="A28">
        <v>1000</v>
      </c>
      <c r="B28">
        <v>100</v>
      </c>
      <c r="C28">
        <v>388.2</v>
      </c>
      <c r="I28">
        <f t="shared" si="0"/>
        <v>0.29476866687898085</v>
      </c>
      <c r="K28">
        <f t="shared" si="1"/>
        <v>101325000</v>
      </c>
      <c r="L28">
        <f t="shared" si="2"/>
        <v>373.15</v>
      </c>
      <c r="M28">
        <f t="shared" si="3"/>
        <v>0.22766126059376768</v>
      </c>
      <c r="N28">
        <f t="shared" si="4"/>
        <v>0.77233873940623232</v>
      </c>
      <c r="Q28">
        <f t="shared" si="5"/>
        <v>0.22766126059376768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832B-DF86-473E-A741-CD0C136C3340}">
  <dimension ref="A1:M4"/>
  <sheetViews>
    <sheetView workbookViewId="0">
      <selection activeCell="J2" sqref="J2:M4"/>
    </sheetView>
  </sheetViews>
  <sheetFormatPr defaultRowHeight="15" x14ac:dyDescent="0.25"/>
  <cols>
    <col min="1" max="1" width="12" bestFit="1" customWidth="1"/>
    <col min="7" max="7" width="14.28515625" bestFit="1" customWidth="1"/>
    <col min="8" max="8" width="15.7109375" bestFit="1" customWidth="1"/>
  </cols>
  <sheetData>
    <row r="1" spans="1:13" x14ac:dyDescent="0.25">
      <c r="A1" t="s">
        <v>35</v>
      </c>
      <c r="B1" t="s">
        <v>37</v>
      </c>
      <c r="C1" t="s">
        <v>34</v>
      </c>
      <c r="E1" t="s">
        <v>36</v>
      </c>
      <c r="G1" t="s">
        <v>13</v>
      </c>
      <c r="H1" t="s">
        <v>14</v>
      </c>
      <c r="J1" t="s">
        <v>7</v>
      </c>
      <c r="K1" t="s">
        <v>8</v>
      </c>
      <c r="M1" t="s">
        <v>9</v>
      </c>
    </row>
    <row r="2" spans="1:13" x14ac:dyDescent="0.25">
      <c r="A2">
        <v>64.125759274225004</v>
      </c>
      <c r="B2">
        <v>0.60549313358302204</v>
      </c>
      <c r="C2">
        <v>293</v>
      </c>
      <c r="E2">
        <f>A2/10000</f>
        <v>6.4125759274225001E-3</v>
      </c>
      <c r="G2">
        <f>0.00201588</f>
        <v>2.0158799999999998E-3</v>
      </c>
      <c r="H2">
        <f>0.0170305</f>
        <v>1.70305E-2</v>
      </c>
      <c r="J2">
        <f>B2*100000/M2</f>
        <v>1171053.1558736416</v>
      </c>
      <c r="K2">
        <f>C2</f>
        <v>293</v>
      </c>
      <c r="M2">
        <f>E2/($G$2/$H$2*(1-E2)+E2)</f>
        <v>5.1705008482839161E-2</v>
      </c>
    </row>
    <row r="3" spans="1:13" x14ac:dyDescent="0.25">
      <c r="A3">
        <v>81.330857696247804</v>
      </c>
      <c r="B3">
        <v>0.79775280898876499</v>
      </c>
      <c r="C3">
        <v>293</v>
      </c>
      <c r="E3">
        <f t="shared" ref="E3:E4" si="0">A3/10000</f>
        <v>8.1330857696247805E-3</v>
      </c>
      <c r="J3">
        <f t="shared" ref="J3:J4" si="1">B3*100000/M3</f>
        <v>1231380.6234444855</v>
      </c>
      <c r="K3">
        <f t="shared" ref="K3:K4" si="2">C3</f>
        <v>293</v>
      </c>
      <c r="M3">
        <f>E3/($G$2/$H$2*(1-E3)+E3)</f>
        <v>6.4785233241468995E-2</v>
      </c>
    </row>
    <row r="4" spans="1:13" x14ac:dyDescent="0.25">
      <c r="A4">
        <v>97.293889212343799</v>
      </c>
      <c r="B4">
        <v>0.99750312109862704</v>
      </c>
      <c r="C4">
        <v>293</v>
      </c>
      <c r="E4">
        <f t="shared" si="0"/>
        <v>9.7293889212343807E-3</v>
      </c>
      <c r="J4">
        <f t="shared" si="1"/>
        <v>1301516.1849184444</v>
      </c>
      <c r="K4">
        <f t="shared" si="2"/>
        <v>293</v>
      </c>
      <c r="M4">
        <f>E4/($G$2/$H$2*(1-E4)+E4)</f>
        <v>7.6641622490551856E-2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C099-5E05-46CE-96C0-0535C6391204}">
  <dimension ref="A1:R10"/>
  <sheetViews>
    <sheetView workbookViewId="0">
      <selection activeCell="O2" sqref="O2:R9"/>
    </sheetView>
  </sheetViews>
  <sheetFormatPr defaultRowHeight="15" x14ac:dyDescent="0.25"/>
  <cols>
    <col min="2" max="2" width="42.28515625" bestFit="1" customWidth="1"/>
    <col min="5" max="5" width="16.28515625" bestFit="1" customWidth="1"/>
    <col min="6" max="6" width="21.140625" bestFit="1" customWidth="1"/>
    <col min="7" max="7" width="14.28515625" bestFit="1" customWidth="1"/>
    <col min="8" max="8" width="15.7109375" bestFit="1" customWidth="1"/>
  </cols>
  <sheetData>
    <row r="1" spans="1:18" x14ac:dyDescent="0.25">
      <c r="A1" t="s">
        <v>39</v>
      </c>
      <c r="B1" t="s">
        <v>38</v>
      </c>
      <c r="C1" t="s">
        <v>30</v>
      </c>
      <c r="E1" t="s">
        <v>43</v>
      </c>
      <c r="F1" t="s">
        <v>31</v>
      </c>
      <c r="G1" t="s">
        <v>13</v>
      </c>
      <c r="H1" t="s">
        <v>14</v>
      </c>
      <c r="J1" t="s">
        <v>41</v>
      </c>
      <c r="K1" t="s">
        <v>42</v>
      </c>
      <c r="M1" t="s">
        <v>9</v>
      </c>
      <c r="O1" t="s">
        <v>7</v>
      </c>
      <c r="P1" t="s">
        <v>8</v>
      </c>
      <c r="Q1" t="s">
        <v>19</v>
      </c>
      <c r="R1" t="s">
        <v>9</v>
      </c>
    </row>
    <row r="2" spans="1:18" ht="15.75" x14ac:dyDescent="0.25">
      <c r="A2">
        <v>15</v>
      </c>
      <c r="B2">
        <v>97.3</v>
      </c>
      <c r="C2">
        <v>25</v>
      </c>
      <c r="E2" s="1">
        <v>603.67999999999995</v>
      </c>
      <c r="F2">
        <v>8.3794999999999994E-2</v>
      </c>
      <c r="G2">
        <f>0.00201588</f>
        <v>2.0158799999999998E-3</v>
      </c>
      <c r="H2">
        <f>0.0170305</f>
        <v>1.70305E-2</v>
      </c>
      <c r="J2">
        <f t="shared" ref="J2:J9" si="0">$F$2*B2*0.000001/$G$2</f>
        <v>4.0445133142845806E-3</v>
      </c>
      <c r="K2">
        <f>E2*100*0.000001/$H$2</f>
        <v>3.5446992161122686</v>
      </c>
      <c r="M2">
        <f>J2/(J2+K2)</f>
        <v>1.1397028420922746E-3</v>
      </c>
      <c r="O2">
        <f>A2*101325</f>
        <v>1519875</v>
      </c>
      <c r="P2">
        <f>C2+273.15</f>
        <v>298.14999999999998</v>
      </c>
      <c r="R2">
        <f>M2</f>
        <v>1.1397028420922746E-3</v>
      </c>
    </row>
    <row r="3" spans="1:18" ht="15.75" x14ac:dyDescent="0.25">
      <c r="A3">
        <v>25</v>
      </c>
      <c r="B3">
        <v>161.1</v>
      </c>
      <c r="C3">
        <v>25</v>
      </c>
      <c r="E3" s="1">
        <v>604.64</v>
      </c>
      <c r="J3">
        <f t="shared" si="0"/>
        <v>6.6965169057682005E-3</v>
      </c>
      <c r="K3">
        <f t="shared" ref="K3:K9" si="1">E3*100*0.000001/$H$2</f>
        <v>3.5503361615924369</v>
      </c>
      <c r="M3">
        <f t="shared" ref="M3:M9" si="2">J3/(J3+K3)</f>
        <v>1.8826132653342671E-3</v>
      </c>
      <c r="O3">
        <f t="shared" ref="O3:O9" si="3">A3*101325</f>
        <v>2533125</v>
      </c>
      <c r="P3">
        <f t="shared" ref="P3:P9" si="4">C3+273.15</f>
        <v>298.14999999999998</v>
      </c>
      <c r="R3">
        <f t="shared" ref="R3:R9" si="5">M3</f>
        <v>1.8826132653342671E-3</v>
      </c>
    </row>
    <row r="4" spans="1:18" ht="15.75" x14ac:dyDescent="0.25">
      <c r="A4">
        <v>50</v>
      </c>
      <c r="B4">
        <v>303</v>
      </c>
      <c r="C4">
        <v>25</v>
      </c>
      <c r="E4" s="1">
        <v>606.99</v>
      </c>
      <c r="J4">
        <f t="shared" si="0"/>
        <v>1.2594938686826597E-2</v>
      </c>
      <c r="K4">
        <f t="shared" si="1"/>
        <v>3.5641349343824311</v>
      </c>
      <c r="M4">
        <f t="shared" si="2"/>
        <v>3.5213558568286986E-3</v>
      </c>
      <c r="O4">
        <f t="shared" si="3"/>
        <v>5066250</v>
      </c>
      <c r="P4">
        <f t="shared" si="4"/>
        <v>298.14999999999998</v>
      </c>
      <c r="R4">
        <f t="shared" si="5"/>
        <v>3.5213558568286986E-3</v>
      </c>
    </row>
    <row r="5" spans="1:18" ht="15.75" x14ac:dyDescent="0.25">
      <c r="A5">
        <v>70</v>
      </c>
      <c r="B5">
        <v>434</v>
      </c>
      <c r="C5">
        <v>25</v>
      </c>
      <c r="E5" s="1">
        <v>608.79999999999995</v>
      </c>
      <c r="J5">
        <f t="shared" si="0"/>
        <v>1.8040275214794534E-2</v>
      </c>
      <c r="K5">
        <f t="shared" si="1"/>
        <v>3.5747629253398308</v>
      </c>
      <c r="M5">
        <f t="shared" si="2"/>
        <v>5.0212255466733149E-3</v>
      </c>
      <c r="O5">
        <f t="shared" si="3"/>
        <v>7092750</v>
      </c>
      <c r="P5">
        <f t="shared" si="4"/>
        <v>298.14999999999998</v>
      </c>
      <c r="R5">
        <f t="shared" si="5"/>
        <v>5.0212255466733149E-3</v>
      </c>
    </row>
    <row r="6" spans="1:18" ht="15.75" x14ac:dyDescent="0.25">
      <c r="A6">
        <v>100</v>
      </c>
      <c r="B6">
        <v>610.6</v>
      </c>
      <c r="C6">
        <v>25</v>
      </c>
      <c r="E6" s="1">
        <v>611.45000000000005</v>
      </c>
      <c r="J6">
        <f t="shared" si="0"/>
        <v>2.5381087663948251E-2</v>
      </c>
      <c r="K6">
        <f t="shared" si="1"/>
        <v>3.5903232435923784</v>
      </c>
      <c r="M6">
        <f t="shared" si="2"/>
        <v>7.0196800785226922E-3</v>
      </c>
      <c r="O6">
        <f t="shared" si="3"/>
        <v>10132500</v>
      </c>
      <c r="P6">
        <f t="shared" si="4"/>
        <v>298.14999999999998</v>
      </c>
      <c r="R6">
        <f t="shared" si="5"/>
        <v>7.0196800785226922E-3</v>
      </c>
    </row>
    <row r="7" spans="1:18" ht="15.75" x14ac:dyDescent="0.25">
      <c r="A7">
        <v>150</v>
      </c>
      <c r="B7">
        <v>921.8</v>
      </c>
      <c r="C7">
        <v>25</v>
      </c>
      <c r="E7" s="1">
        <v>615.66</v>
      </c>
      <c r="J7">
        <f t="shared" si="0"/>
        <v>3.8316879476952989E-2</v>
      </c>
      <c r="K7">
        <f t="shared" si="1"/>
        <v>3.6150435982501978</v>
      </c>
      <c r="M7">
        <f t="shared" si="2"/>
        <v>1.0488119010032895E-2</v>
      </c>
      <c r="O7">
        <f t="shared" si="3"/>
        <v>15198750</v>
      </c>
      <c r="P7">
        <f t="shared" si="4"/>
        <v>298.14999999999998</v>
      </c>
      <c r="R7">
        <f t="shared" si="5"/>
        <v>1.0488119010032895E-2</v>
      </c>
    </row>
    <row r="8" spans="1:18" ht="15.75" x14ac:dyDescent="0.25">
      <c r="A8">
        <v>200</v>
      </c>
      <c r="B8">
        <v>1218.5</v>
      </c>
      <c r="C8">
        <v>25</v>
      </c>
      <c r="E8" s="1">
        <v>619.65</v>
      </c>
      <c r="J8">
        <f t="shared" si="0"/>
        <v>5.0649943200984177E-2</v>
      </c>
      <c r="K8">
        <f t="shared" si="1"/>
        <v>3.6384721529021462</v>
      </c>
      <c r="M8">
        <f t="shared" si="2"/>
        <v>1.3729538324168343E-2</v>
      </c>
      <c r="O8">
        <f t="shared" si="3"/>
        <v>20265000</v>
      </c>
      <c r="P8">
        <f t="shared" si="4"/>
        <v>298.14999999999998</v>
      </c>
      <c r="R8">
        <f t="shared" si="5"/>
        <v>1.3729538324168343E-2</v>
      </c>
    </row>
    <row r="9" spans="1:18" ht="15.75" x14ac:dyDescent="0.25">
      <c r="A9">
        <v>250</v>
      </c>
      <c r="B9">
        <v>1575</v>
      </c>
      <c r="C9">
        <v>25</v>
      </c>
      <c r="E9" s="1">
        <v>623.44000000000005</v>
      </c>
      <c r="J9">
        <f t="shared" si="0"/>
        <v>6.5468740698851127E-2</v>
      </c>
      <c r="K9">
        <f t="shared" si="1"/>
        <v>3.6607263439123927</v>
      </c>
      <c r="M9">
        <f t="shared" si="2"/>
        <v>1.756986395297162E-2</v>
      </c>
      <c r="O9">
        <f t="shared" si="3"/>
        <v>25331250</v>
      </c>
      <c r="P9">
        <f t="shared" si="4"/>
        <v>298.14999999999998</v>
      </c>
      <c r="R9">
        <f t="shared" si="5"/>
        <v>1.756986395297162E-2</v>
      </c>
    </row>
    <row r="10" spans="1:18" x14ac:dyDescent="0.25">
      <c r="E10" t="s">
        <v>44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16C4-4477-4513-8964-4EF6B44BAF76}">
  <dimension ref="A1:G24"/>
  <sheetViews>
    <sheetView tabSelected="1" workbookViewId="0">
      <selection activeCell="C21" sqref="C21"/>
    </sheetView>
  </sheetViews>
  <sheetFormatPr defaultRowHeight="15" x14ac:dyDescent="0.25"/>
  <sheetData>
    <row r="1" spans="1:7" x14ac:dyDescent="0.25">
      <c r="A1" t="s">
        <v>39</v>
      </c>
      <c r="B1" t="s">
        <v>30</v>
      </c>
      <c r="C1" t="s">
        <v>32</v>
      </c>
      <c r="E1" t="s">
        <v>7</v>
      </c>
      <c r="F1" t="s">
        <v>8</v>
      </c>
      <c r="G1" t="s">
        <v>19</v>
      </c>
    </row>
    <row r="2" spans="1:7" x14ac:dyDescent="0.25">
      <c r="A2">
        <v>100</v>
      </c>
      <c r="B2">
        <v>0</v>
      </c>
      <c r="C2">
        <v>5.6000000000000001E-2</v>
      </c>
      <c r="E2">
        <f>A2*101325</f>
        <v>10132500</v>
      </c>
      <c r="F2">
        <f>B2+273.15</f>
        <v>273.14999999999998</v>
      </c>
      <c r="G2">
        <f>1-C2</f>
        <v>0.94399999999999995</v>
      </c>
    </row>
    <row r="3" spans="1:7" x14ac:dyDescent="0.25">
      <c r="A3">
        <v>150</v>
      </c>
      <c r="B3">
        <v>0</v>
      </c>
      <c r="C3">
        <v>0.04</v>
      </c>
      <c r="E3">
        <f t="shared" ref="E3:E21" si="0">A3*101325</f>
        <v>15198750</v>
      </c>
      <c r="F3">
        <f t="shared" ref="F3:F21" si="1">B3+273.15</f>
        <v>273.14999999999998</v>
      </c>
      <c r="G3">
        <f t="shared" ref="G3:G21" si="2">1-C3</f>
        <v>0.96</v>
      </c>
    </row>
    <row r="4" spans="1:7" x14ac:dyDescent="0.25">
      <c r="A4">
        <v>200</v>
      </c>
      <c r="B4">
        <v>0</v>
      </c>
      <c r="C4">
        <v>0.03</v>
      </c>
      <c r="E4">
        <f t="shared" si="0"/>
        <v>20265000</v>
      </c>
      <c r="F4">
        <f t="shared" si="1"/>
        <v>273.14999999999998</v>
      </c>
      <c r="G4">
        <f t="shared" si="2"/>
        <v>0.97</v>
      </c>
    </row>
    <row r="5" spans="1:7" x14ac:dyDescent="0.25">
      <c r="A5">
        <v>250</v>
      </c>
      <c r="B5">
        <v>0</v>
      </c>
      <c r="C5">
        <v>2.4E-2</v>
      </c>
      <c r="E5">
        <f t="shared" si="0"/>
        <v>25331250</v>
      </c>
      <c r="F5">
        <f t="shared" si="1"/>
        <v>273.14999999999998</v>
      </c>
      <c r="G5">
        <f t="shared" si="2"/>
        <v>0.97599999999999998</v>
      </c>
    </row>
    <row r="6" spans="1:7" x14ac:dyDescent="0.25">
      <c r="A6">
        <v>300</v>
      </c>
      <c r="B6">
        <v>0</v>
      </c>
      <c r="C6">
        <v>2.1999999999999999E-2</v>
      </c>
      <c r="E6">
        <f t="shared" si="0"/>
        <v>30397500</v>
      </c>
      <c r="F6">
        <f t="shared" si="1"/>
        <v>273.14999999999998</v>
      </c>
      <c r="G6">
        <f t="shared" si="2"/>
        <v>0.97799999999999998</v>
      </c>
    </row>
    <row r="7" spans="1:7" x14ac:dyDescent="0.25">
      <c r="A7">
        <v>100</v>
      </c>
      <c r="B7">
        <v>25</v>
      </c>
      <c r="C7">
        <v>0.104</v>
      </c>
      <c r="E7">
        <f t="shared" si="0"/>
        <v>10132500</v>
      </c>
      <c r="F7">
        <f t="shared" si="1"/>
        <v>298.14999999999998</v>
      </c>
      <c r="G7">
        <f t="shared" si="2"/>
        <v>0.89600000000000002</v>
      </c>
    </row>
    <row r="8" spans="1:7" x14ac:dyDescent="0.25">
      <c r="A8">
        <v>150</v>
      </c>
      <c r="B8">
        <v>25</v>
      </c>
      <c r="C8">
        <v>8.2000000000000003E-2</v>
      </c>
      <c r="E8">
        <f t="shared" si="0"/>
        <v>15198750</v>
      </c>
      <c r="F8">
        <f t="shared" si="1"/>
        <v>298.14999999999998</v>
      </c>
      <c r="G8">
        <f t="shared" si="2"/>
        <v>0.91800000000000004</v>
      </c>
    </row>
    <row r="9" spans="1:7" x14ac:dyDescent="0.25">
      <c r="A9">
        <v>200</v>
      </c>
      <c r="B9">
        <v>25</v>
      </c>
      <c r="C9">
        <v>6.3E-2</v>
      </c>
      <c r="E9">
        <f t="shared" si="0"/>
        <v>20265000</v>
      </c>
      <c r="F9">
        <f t="shared" si="1"/>
        <v>298.14999999999998</v>
      </c>
      <c r="G9">
        <f t="shared" si="2"/>
        <v>0.93700000000000006</v>
      </c>
    </row>
    <row r="10" spans="1:7" x14ac:dyDescent="0.25">
      <c r="A10">
        <v>250</v>
      </c>
      <c r="B10">
        <v>25</v>
      </c>
      <c r="C10">
        <v>5.5E-2</v>
      </c>
      <c r="E10">
        <f t="shared" si="0"/>
        <v>25331250</v>
      </c>
      <c r="F10">
        <f t="shared" si="1"/>
        <v>298.14999999999998</v>
      </c>
      <c r="G10">
        <f t="shared" si="2"/>
        <v>0.94499999999999995</v>
      </c>
    </row>
    <row r="11" spans="1:7" x14ac:dyDescent="0.25">
      <c r="A11">
        <v>300</v>
      </c>
      <c r="B11">
        <v>25</v>
      </c>
      <c r="C11">
        <v>4.4999999999999998E-2</v>
      </c>
      <c r="E11">
        <f t="shared" si="0"/>
        <v>30397500</v>
      </c>
      <c r="F11">
        <f t="shared" si="1"/>
        <v>298.14999999999998</v>
      </c>
      <c r="G11">
        <f t="shared" si="2"/>
        <v>0.95499999999999996</v>
      </c>
    </row>
    <row r="12" spans="1:7" x14ac:dyDescent="0.25">
      <c r="A12">
        <v>100</v>
      </c>
      <c r="B12">
        <v>50</v>
      </c>
      <c r="C12">
        <v>0.188</v>
      </c>
      <c r="E12">
        <f t="shared" si="0"/>
        <v>10132500</v>
      </c>
      <c r="F12">
        <f t="shared" si="1"/>
        <v>323.14999999999998</v>
      </c>
      <c r="G12">
        <f t="shared" si="2"/>
        <v>0.81200000000000006</v>
      </c>
    </row>
    <row r="13" spans="1:7" x14ac:dyDescent="0.25">
      <c r="A13">
        <v>150</v>
      </c>
      <c r="B13">
        <v>50</v>
      </c>
      <c r="C13">
        <v>0.14799999999999999</v>
      </c>
      <c r="E13">
        <f t="shared" si="0"/>
        <v>15198750</v>
      </c>
      <c r="F13">
        <f t="shared" si="1"/>
        <v>323.14999999999998</v>
      </c>
      <c r="G13">
        <f t="shared" si="2"/>
        <v>0.85199999999999998</v>
      </c>
    </row>
    <row r="14" spans="1:7" x14ac:dyDescent="0.25">
      <c r="A14">
        <v>200</v>
      </c>
      <c r="B14">
        <v>50</v>
      </c>
      <c r="C14">
        <v>0.123</v>
      </c>
      <c r="E14">
        <f t="shared" si="0"/>
        <v>20265000</v>
      </c>
      <c r="F14">
        <f t="shared" si="1"/>
        <v>323.14999999999998</v>
      </c>
      <c r="G14">
        <f t="shared" si="2"/>
        <v>0.877</v>
      </c>
    </row>
    <row r="15" spans="1:7" x14ac:dyDescent="0.25">
      <c r="A15">
        <v>250</v>
      </c>
      <c r="B15">
        <v>50</v>
      </c>
      <c r="C15">
        <v>0.111</v>
      </c>
      <c r="E15">
        <f t="shared" si="0"/>
        <v>25331250</v>
      </c>
      <c r="F15">
        <f t="shared" si="1"/>
        <v>323.14999999999998</v>
      </c>
      <c r="G15">
        <f t="shared" si="2"/>
        <v>0.88900000000000001</v>
      </c>
    </row>
    <row r="16" spans="1:7" x14ac:dyDescent="0.25">
      <c r="A16">
        <v>300</v>
      </c>
      <c r="B16">
        <v>50</v>
      </c>
      <c r="C16">
        <v>0.107</v>
      </c>
      <c r="E16">
        <f t="shared" si="0"/>
        <v>30397500</v>
      </c>
      <c r="F16">
        <f t="shared" si="1"/>
        <v>323.14999999999998</v>
      </c>
      <c r="G16">
        <f t="shared" si="2"/>
        <v>0.89300000000000002</v>
      </c>
    </row>
    <row r="17" spans="1:7" x14ac:dyDescent="0.25">
      <c r="A17">
        <v>100</v>
      </c>
      <c r="B17">
        <v>75</v>
      </c>
      <c r="C17">
        <v>0.307</v>
      </c>
      <c r="E17">
        <f t="shared" si="0"/>
        <v>10132500</v>
      </c>
      <c r="F17">
        <f t="shared" si="1"/>
        <v>348.15</v>
      </c>
      <c r="G17">
        <f t="shared" si="2"/>
        <v>0.69300000000000006</v>
      </c>
    </row>
    <row r="18" spans="1:7" x14ac:dyDescent="0.25">
      <c r="A18">
        <v>150</v>
      </c>
      <c r="B18">
        <v>75</v>
      </c>
      <c r="C18">
        <v>0.215</v>
      </c>
      <c r="E18">
        <f t="shared" si="0"/>
        <v>15198750</v>
      </c>
      <c r="F18">
        <f t="shared" si="1"/>
        <v>348.15</v>
      </c>
      <c r="G18">
        <f t="shared" si="2"/>
        <v>0.78500000000000003</v>
      </c>
    </row>
    <row r="19" spans="1:7" x14ac:dyDescent="0.25">
      <c r="A19">
        <v>200</v>
      </c>
      <c r="B19">
        <v>75</v>
      </c>
      <c r="C19">
        <v>0.16800000000000001</v>
      </c>
      <c r="E19">
        <f t="shared" si="0"/>
        <v>20265000</v>
      </c>
      <c r="F19">
        <f t="shared" si="1"/>
        <v>348.15</v>
      </c>
      <c r="G19">
        <f t="shared" si="2"/>
        <v>0.83199999999999996</v>
      </c>
    </row>
    <row r="20" spans="1:7" x14ac:dyDescent="0.25">
      <c r="A20">
        <v>250</v>
      </c>
      <c r="B20">
        <v>75</v>
      </c>
      <c r="C20">
        <v>0.13800000000000001</v>
      </c>
      <c r="E20">
        <f t="shared" si="0"/>
        <v>25331250</v>
      </c>
      <c r="F20">
        <f t="shared" si="1"/>
        <v>348.15</v>
      </c>
      <c r="G20">
        <f t="shared" si="2"/>
        <v>0.86199999999999999</v>
      </c>
    </row>
    <row r="21" spans="1:7" x14ac:dyDescent="0.25">
      <c r="A21">
        <v>300</v>
      </c>
      <c r="B21">
        <v>75</v>
      </c>
      <c r="C21">
        <v>0.122</v>
      </c>
      <c r="E21">
        <f t="shared" si="0"/>
        <v>30397500</v>
      </c>
      <c r="F21">
        <f t="shared" si="1"/>
        <v>348.15</v>
      </c>
      <c r="G21">
        <f t="shared" si="2"/>
        <v>0.878</v>
      </c>
    </row>
    <row r="23" spans="1:7" x14ac:dyDescent="0.25">
      <c r="A23" t="s">
        <v>45</v>
      </c>
    </row>
    <row r="24" spans="1:7" x14ac:dyDescent="0.25">
      <c r="A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</vt:lpstr>
      <vt:lpstr>sources</vt:lpstr>
      <vt:lpstr>0307-table1</vt:lpstr>
      <vt:lpstr>0307-table2</vt:lpstr>
      <vt:lpstr>0308-table5</vt:lpstr>
      <vt:lpstr>0319-table1</vt:lpstr>
      <vt:lpstr>0501-table2</vt:lpstr>
      <vt:lpstr>0501-table3</vt:lpstr>
      <vt:lpstr>0502-table1</vt:lpstr>
      <vt:lpstr>0504-figure1</vt:lpstr>
      <vt:lpstr>0505-table1</vt:lpstr>
      <vt:lpstr>0506-table1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Nunes</dc:creator>
  <cp:lastModifiedBy>Duarte Nunes, Catarina</cp:lastModifiedBy>
  <dcterms:created xsi:type="dcterms:W3CDTF">2015-06-05T18:17:20Z</dcterms:created>
  <dcterms:modified xsi:type="dcterms:W3CDTF">2025-08-12T12:34:49Z</dcterms:modified>
</cp:coreProperties>
</file>