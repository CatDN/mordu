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cd318_ic_ac_uk/Documents/UNI/PhD/Code/GitHub repos/EOS/dataframes/experimental_data_density/"/>
    </mc:Choice>
  </mc:AlternateContent>
  <xr:revisionPtr revIDLastSave="19" documentId="8_{6686655E-C77F-4C8D-A3FC-F4AC64AFF56B}" xr6:coauthVersionLast="47" xr6:coauthVersionMax="47" xr10:uidLastSave="{26CCB8F3-2EC5-4EE1-B373-5C2DF6E60474}"/>
  <bookViews>
    <workbookView xWindow="-120" yWindow="-120" windowWidth="29040" windowHeight="15840" xr2:uid="{BA9F114C-C4C5-4935-983D-92C06C1519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2" i="1"/>
  <c r="H2" i="1" s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2" i="1"/>
</calcChain>
</file>

<file path=xl/sharedStrings.xml><?xml version="1.0" encoding="utf-8"?>
<sst xmlns="http://schemas.openxmlformats.org/spreadsheetml/2006/main" count="9" uniqueCount="9">
  <si>
    <t>P_raw</t>
  </si>
  <si>
    <t>T_raw</t>
  </si>
  <si>
    <t>Z_raw</t>
  </si>
  <si>
    <t>P_SI</t>
  </si>
  <si>
    <t>T_SI</t>
  </si>
  <si>
    <t>rho_SI</t>
  </si>
  <si>
    <t>delta_P</t>
  </si>
  <si>
    <t>delta_T</t>
  </si>
  <si>
    <t>delta_rho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</si>
</sst>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EABDB-75D5-42FB-B2F1-05ECAAD8B0E9}">
  <dimension ref="A1:I60"/>
  <sheetViews>
    <sheetView tabSelected="1" workbookViewId="0">
      <selection activeCell="G2" sqref="G2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>
        <v>2</v>
      </c>
      <c r="B2">
        <v>25</v>
      </c>
      <c r="C2">
        <v>0.97799999999999998</v>
      </c>
      <c r="D2">
        <f>A2*101325</f>
        <v>202650</v>
      </c>
      <c r="E2">
        <f>B2+273.15</f>
        <v>298.14999999999998</v>
      </c>
      <c r="F2">
        <f>D2/(B2*488.209556616782*E2)</f>
        <v>5.5688498619172286E-2</v>
      </c>
      <c r="H2">
        <f>0.01/E2*100</f>
        <v>3.3540164346805303E-3</v>
      </c>
    </row>
    <row r="3" spans="1:9" x14ac:dyDescent="0.25">
      <c r="A3">
        <v>4</v>
      </c>
      <c r="B3">
        <v>25</v>
      </c>
      <c r="C3">
        <v>0.9546</v>
      </c>
      <c r="D3">
        <f t="shared" ref="D3:D60" si="0">A3*101325</f>
        <v>405300</v>
      </c>
      <c r="E3">
        <f t="shared" ref="E3:E60" si="1">B3+273.15</f>
        <v>298.14999999999998</v>
      </c>
      <c r="F3">
        <f t="shared" ref="F3:F60" si="2">D3/(B3*488.209556616782*E3)</f>
        <v>0.11137699723834457</v>
      </c>
    </row>
    <row r="4" spans="1:9" x14ac:dyDescent="0.25">
      <c r="A4">
        <v>6</v>
      </c>
      <c r="B4">
        <v>25</v>
      </c>
      <c r="C4">
        <v>0.93079999999999996</v>
      </c>
      <c r="D4">
        <f t="shared" si="0"/>
        <v>607950</v>
      </c>
      <c r="E4">
        <f t="shared" si="1"/>
        <v>298.14999999999998</v>
      </c>
      <c r="F4">
        <f t="shared" si="2"/>
        <v>0.16706549585751684</v>
      </c>
    </row>
    <row r="5" spans="1:9" x14ac:dyDescent="0.25">
      <c r="A5">
        <v>7</v>
      </c>
      <c r="B5">
        <v>25</v>
      </c>
      <c r="C5">
        <v>0.91710000000000003</v>
      </c>
      <c r="D5">
        <f t="shared" si="0"/>
        <v>709275</v>
      </c>
      <c r="E5">
        <f t="shared" si="1"/>
        <v>298.14999999999998</v>
      </c>
      <c r="F5">
        <f t="shared" si="2"/>
        <v>0.19490974516710299</v>
      </c>
    </row>
    <row r="6" spans="1:9" x14ac:dyDescent="0.25">
      <c r="A6">
        <v>8</v>
      </c>
      <c r="B6">
        <v>25</v>
      </c>
      <c r="C6">
        <v>0.90269999999999995</v>
      </c>
      <c r="D6">
        <f t="shared" si="0"/>
        <v>810600</v>
      </c>
      <c r="E6">
        <f t="shared" si="1"/>
        <v>298.14999999999998</v>
      </c>
      <c r="F6">
        <f t="shared" si="2"/>
        <v>0.22275399447668914</v>
      </c>
    </row>
    <row r="7" spans="1:9" x14ac:dyDescent="0.25">
      <c r="A7">
        <v>9</v>
      </c>
      <c r="B7">
        <v>25</v>
      </c>
      <c r="C7">
        <v>0.88619999999999999</v>
      </c>
      <c r="D7">
        <f t="shared" si="0"/>
        <v>911925</v>
      </c>
      <c r="E7">
        <f t="shared" si="1"/>
        <v>298.14999999999998</v>
      </c>
      <c r="F7">
        <f t="shared" si="2"/>
        <v>0.25059824378627527</v>
      </c>
    </row>
    <row r="8" spans="1:9" x14ac:dyDescent="0.25">
      <c r="A8">
        <v>9.3000000000000007</v>
      </c>
      <c r="B8">
        <v>25</v>
      </c>
      <c r="C8">
        <v>0.88</v>
      </c>
      <c r="D8">
        <f t="shared" si="0"/>
        <v>942322.50000000012</v>
      </c>
      <c r="E8">
        <f t="shared" si="1"/>
        <v>298.14999999999998</v>
      </c>
      <c r="F8">
        <f t="shared" si="2"/>
        <v>0.25895151857915116</v>
      </c>
    </row>
    <row r="9" spans="1:9" x14ac:dyDescent="0.25">
      <c r="A9">
        <v>9.5</v>
      </c>
      <c r="B9">
        <v>25</v>
      </c>
      <c r="C9">
        <v>0.87429999999999997</v>
      </c>
      <c r="D9">
        <f t="shared" si="0"/>
        <v>962587.5</v>
      </c>
      <c r="E9">
        <f t="shared" si="1"/>
        <v>298.14999999999998</v>
      </c>
      <c r="F9">
        <f t="shared" si="2"/>
        <v>0.26452036844106835</v>
      </c>
    </row>
    <row r="10" spans="1:9" x14ac:dyDescent="0.25">
      <c r="A10">
        <v>9.6999999999999993</v>
      </c>
      <c r="B10">
        <v>25</v>
      </c>
      <c r="C10">
        <v>0.86560000000000004</v>
      </c>
      <c r="D10">
        <f t="shared" si="0"/>
        <v>982852.49999999988</v>
      </c>
      <c r="E10">
        <f t="shared" si="1"/>
        <v>298.14999999999998</v>
      </c>
      <c r="F10">
        <f t="shared" si="2"/>
        <v>0.27008921830298555</v>
      </c>
    </row>
    <row r="11" spans="1:9" x14ac:dyDescent="0.25">
      <c r="A11">
        <v>2</v>
      </c>
      <c r="B11">
        <v>50</v>
      </c>
      <c r="C11">
        <v>0.98560000000000003</v>
      </c>
      <c r="D11">
        <f t="shared" si="0"/>
        <v>202650</v>
      </c>
      <c r="E11">
        <f t="shared" si="1"/>
        <v>323.14999999999998</v>
      </c>
      <c r="F11">
        <f t="shared" si="2"/>
        <v>2.5690122022754475E-2</v>
      </c>
    </row>
    <row r="12" spans="1:9" x14ac:dyDescent="0.25">
      <c r="A12">
        <v>4</v>
      </c>
      <c r="B12">
        <v>50</v>
      </c>
      <c r="C12">
        <v>0.97040000000000004</v>
      </c>
      <c r="D12">
        <f t="shared" si="0"/>
        <v>405300</v>
      </c>
      <c r="E12">
        <f t="shared" si="1"/>
        <v>323.14999999999998</v>
      </c>
      <c r="F12">
        <f t="shared" si="2"/>
        <v>5.1380244045508949E-2</v>
      </c>
    </row>
    <row r="13" spans="1:9" x14ac:dyDescent="0.25">
      <c r="A13">
        <v>6</v>
      </c>
      <c r="B13">
        <v>50</v>
      </c>
      <c r="C13">
        <v>0.95440000000000003</v>
      </c>
      <c r="D13">
        <f t="shared" si="0"/>
        <v>607950</v>
      </c>
      <c r="E13">
        <f t="shared" si="1"/>
        <v>323.14999999999998</v>
      </c>
      <c r="F13">
        <f t="shared" si="2"/>
        <v>7.7070366068263424E-2</v>
      </c>
    </row>
    <row r="14" spans="1:9" x14ac:dyDescent="0.25">
      <c r="A14">
        <v>8</v>
      </c>
      <c r="B14">
        <v>50</v>
      </c>
      <c r="C14">
        <v>0.93720000000000003</v>
      </c>
      <c r="D14">
        <f t="shared" si="0"/>
        <v>810600</v>
      </c>
      <c r="E14">
        <f t="shared" si="1"/>
        <v>323.14999999999998</v>
      </c>
      <c r="F14">
        <f t="shared" si="2"/>
        <v>0.1027604880910179</v>
      </c>
    </row>
    <row r="15" spans="1:9" x14ac:dyDescent="0.25">
      <c r="A15">
        <v>10</v>
      </c>
      <c r="B15">
        <v>50</v>
      </c>
      <c r="C15">
        <v>0.91879999999999995</v>
      </c>
      <c r="D15">
        <f t="shared" si="0"/>
        <v>1013250</v>
      </c>
      <c r="E15">
        <f t="shared" si="1"/>
        <v>323.14999999999998</v>
      </c>
      <c r="F15">
        <f t="shared" si="2"/>
        <v>0.12845061011377237</v>
      </c>
    </row>
    <row r="16" spans="1:9" x14ac:dyDescent="0.25">
      <c r="A16">
        <v>12</v>
      </c>
      <c r="B16">
        <v>50</v>
      </c>
      <c r="C16">
        <v>0.89929999999999999</v>
      </c>
      <c r="D16">
        <f t="shared" si="0"/>
        <v>1215900</v>
      </c>
      <c r="E16">
        <f t="shared" si="1"/>
        <v>323.14999999999998</v>
      </c>
      <c r="F16">
        <f t="shared" si="2"/>
        <v>0.15414073213652685</v>
      </c>
    </row>
    <row r="17" spans="1:6" x14ac:dyDescent="0.25">
      <c r="A17">
        <v>14</v>
      </c>
      <c r="B17">
        <v>50</v>
      </c>
      <c r="C17">
        <v>0.87929999999999997</v>
      </c>
      <c r="D17">
        <f t="shared" si="0"/>
        <v>1418550</v>
      </c>
      <c r="E17">
        <f t="shared" si="1"/>
        <v>323.14999999999998</v>
      </c>
      <c r="F17">
        <f t="shared" si="2"/>
        <v>0.17983085415928132</v>
      </c>
    </row>
    <row r="18" spans="1:6" x14ac:dyDescent="0.25">
      <c r="A18">
        <v>16</v>
      </c>
      <c r="B18">
        <v>50</v>
      </c>
      <c r="C18">
        <v>0.85919999999999996</v>
      </c>
      <c r="D18">
        <f t="shared" si="0"/>
        <v>1621200</v>
      </c>
      <c r="E18">
        <f t="shared" si="1"/>
        <v>323.14999999999998</v>
      </c>
      <c r="F18">
        <f t="shared" si="2"/>
        <v>0.2055209761820358</v>
      </c>
    </row>
    <row r="19" spans="1:6" x14ac:dyDescent="0.25">
      <c r="A19">
        <v>18</v>
      </c>
      <c r="B19">
        <v>50</v>
      </c>
      <c r="C19">
        <v>0.83850000000000002</v>
      </c>
      <c r="D19">
        <f t="shared" si="0"/>
        <v>1823850</v>
      </c>
      <c r="E19">
        <f t="shared" si="1"/>
        <v>323.14999999999998</v>
      </c>
      <c r="F19">
        <f t="shared" si="2"/>
        <v>0.23121109820479027</v>
      </c>
    </row>
    <row r="20" spans="1:6" x14ac:dyDescent="0.25">
      <c r="A20">
        <v>19</v>
      </c>
      <c r="B20">
        <v>50</v>
      </c>
      <c r="C20">
        <v>0.82550000000000001</v>
      </c>
      <c r="D20">
        <f t="shared" si="0"/>
        <v>1925175</v>
      </c>
      <c r="E20">
        <f t="shared" si="1"/>
        <v>323.14999999999998</v>
      </c>
      <c r="F20">
        <f t="shared" si="2"/>
        <v>0.24405615921616752</v>
      </c>
    </row>
    <row r="21" spans="1:6" x14ac:dyDescent="0.25">
      <c r="A21">
        <v>19.5</v>
      </c>
      <c r="B21">
        <v>50</v>
      </c>
      <c r="C21">
        <v>0.81499999999999995</v>
      </c>
      <c r="D21">
        <f t="shared" si="0"/>
        <v>1975837.5</v>
      </c>
      <c r="E21">
        <f t="shared" si="1"/>
        <v>323.14999999999998</v>
      </c>
      <c r="F21">
        <f t="shared" si="2"/>
        <v>0.25047868972185616</v>
      </c>
    </row>
    <row r="22" spans="1:6" x14ac:dyDescent="0.25">
      <c r="A22">
        <v>19.8</v>
      </c>
      <c r="B22">
        <v>50</v>
      </c>
      <c r="C22">
        <v>0.80269999999999997</v>
      </c>
      <c r="D22">
        <f t="shared" si="0"/>
        <v>2006235</v>
      </c>
      <c r="E22">
        <f t="shared" si="1"/>
        <v>323.14999999999998</v>
      </c>
      <c r="F22">
        <f t="shared" si="2"/>
        <v>0.25433220802526929</v>
      </c>
    </row>
    <row r="23" spans="1:6" x14ac:dyDescent="0.25">
      <c r="A23">
        <v>5</v>
      </c>
      <c r="B23">
        <v>75</v>
      </c>
      <c r="C23">
        <v>0.97240000000000004</v>
      </c>
      <c r="D23">
        <f t="shared" si="0"/>
        <v>506625</v>
      </c>
      <c r="E23">
        <f t="shared" si="1"/>
        <v>348.15</v>
      </c>
      <c r="F23">
        <f t="shared" si="2"/>
        <v>3.9742270724558895E-2</v>
      </c>
    </row>
    <row r="24" spans="1:6" x14ac:dyDescent="0.25">
      <c r="A24">
        <v>10</v>
      </c>
      <c r="B24">
        <v>75</v>
      </c>
      <c r="C24">
        <v>0.94199999999999995</v>
      </c>
      <c r="D24">
        <f t="shared" si="0"/>
        <v>1013250</v>
      </c>
      <c r="E24">
        <f t="shared" si="1"/>
        <v>348.15</v>
      </c>
      <c r="F24">
        <f t="shared" si="2"/>
        <v>7.948454144911779E-2</v>
      </c>
    </row>
    <row r="25" spans="1:6" x14ac:dyDescent="0.25">
      <c r="A25">
        <v>15</v>
      </c>
      <c r="B25">
        <v>75</v>
      </c>
      <c r="C25">
        <v>0.90890000000000004</v>
      </c>
      <c r="D25">
        <f t="shared" si="0"/>
        <v>1519875</v>
      </c>
      <c r="E25">
        <f t="shared" si="1"/>
        <v>348.15</v>
      </c>
      <c r="F25">
        <f t="shared" si="2"/>
        <v>0.1192268121736767</v>
      </c>
    </row>
    <row r="26" spans="1:6" x14ac:dyDescent="0.25">
      <c r="A26">
        <v>20</v>
      </c>
      <c r="B26">
        <v>75</v>
      </c>
      <c r="C26">
        <v>0.87290000000000001</v>
      </c>
      <c r="D26">
        <f t="shared" si="0"/>
        <v>2026500</v>
      </c>
      <c r="E26">
        <f t="shared" si="1"/>
        <v>348.15</v>
      </c>
      <c r="F26">
        <f t="shared" si="2"/>
        <v>0.15896908289823558</v>
      </c>
    </row>
    <row r="27" spans="1:6" x14ac:dyDescent="0.25">
      <c r="A27">
        <v>25</v>
      </c>
      <c r="B27">
        <v>75</v>
      </c>
      <c r="C27">
        <v>0.83399999999999996</v>
      </c>
      <c r="D27">
        <f t="shared" si="0"/>
        <v>2533125</v>
      </c>
      <c r="E27">
        <f t="shared" si="1"/>
        <v>348.15</v>
      </c>
      <c r="F27">
        <f t="shared" si="2"/>
        <v>0.19871135362279449</v>
      </c>
    </row>
    <row r="28" spans="1:6" x14ac:dyDescent="0.25">
      <c r="A28">
        <v>30</v>
      </c>
      <c r="B28">
        <v>75</v>
      </c>
      <c r="C28">
        <v>0.79249999999999998</v>
      </c>
      <c r="D28">
        <f t="shared" si="0"/>
        <v>3039750</v>
      </c>
      <c r="E28">
        <f t="shared" si="1"/>
        <v>348.15</v>
      </c>
      <c r="F28">
        <f t="shared" si="2"/>
        <v>0.2384536243473534</v>
      </c>
    </row>
    <row r="29" spans="1:6" x14ac:dyDescent="0.25">
      <c r="A29">
        <v>35</v>
      </c>
      <c r="B29">
        <v>75</v>
      </c>
      <c r="C29">
        <v>0.74350000000000005</v>
      </c>
      <c r="D29">
        <f t="shared" si="0"/>
        <v>3546375</v>
      </c>
      <c r="E29">
        <f t="shared" si="1"/>
        <v>348.15</v>
      </c>
      <c r="F29">
        <f t="shared" si="2"/>
        <v>0.27819589507191228</v>
      </c>
    </row>
    <row r="30" spans="1:6" x14ac:dyDescent="0.25">
      <c r="A30">
        <v>5</v>
      </c>
      <c r="B30">
        <v>100</v>
      </c>
      <c r="C30">
        <v>0.97870000000000001</v>
      </c>
      <c r="D30">
        <f t="shared" si="0"/>
        <v>506625</v>
      </c>
      <c r="E30">
        <f t="shared" si="1"/>
        <v>373.15</v>
      </c>
      <c r="F30">
        <f t="shared" si="2"/>
        <v>2.7809737812049807E-2</v>
      </c>
    </row>
    <row r="31" spans="1:6" x14ac:dyDescent="0.25">
      <c r="A31">
        <v>10</v>
      </c>
      <c r="B31">
        <v>100</v>
      </c>
      <c r="C31">
        <v>0.95599999999999996</v>
      </c>
      <c r="D31">
        <f t="shared" si="0"/>
        <v>1013250</v>
      </c>
      <c r="E31">
        <f t="shared" si="1"/>
        <v>373.15</v>
      </c>
      <c r="F31">
        <f t="shared" si="2"/>
        <v>5.5619475624099614E-2</v>
      </c>
    </row>
    <row r="32" spans="1:6" x14ac:dyDescent="0.25">
      <c r="A32">
        <v>15</v>
      </c>
      <c r="B32">
        <v>100</v>
      </c>
      <c r="C32">
        <v>0.93179999999999996</v>
      </c>
      <c r="D32">
        <f t="shared" si="0"/>
        <v>1519875</v>
      </c>
      <c r="E32">
        <f t="shared" si="1"/>
        <v>373.15</v>
      </c>
      <c r="F32">
        <f t="shared" si="2"/>
        <v>8.3429213436149424E-2</v>
      </c>
    </row>
    <row r="33" spans="1:6" x14ac:dyDescent="0.25">
      <c r="A33">
        <v>20</v>
      </c>
      <c r="B33">
        <v>100</v>
      </c>
      <c r="C33">
        <v>0.90610000000000002</v>
      </c>
      <c r="D33">
        <f t="shared" si="0"/>
        <v>2026500</v>
      </c>
      <c r="E33">
        <f t="shared" si="1"/>
        <v>373.15</v>
      </c>
      <c r="F33">
        <f t="shared" si="2"/>
        <v>0.11123895124819923</v>
      </c>
    </row>
    <row r="34" spans="1:6" x14ac:dyDescent="0.25">
      <c r="A34">
        <v>25</v>
      </c>
      <c r="B34">
        <v>100</v>
      </c>
      <c r="C34">
        <v>0.87880000000000003</v>
      </c>
      <c r="D34">
        <f t="shared" si="0"/>
        <v>2533125</v>
      </c>
      <c r="E34">
        <f t="shared" si="1"/>
        <v>373.15</v>
      </c>
      <c r="F34">
        <f t="shared" si="2"/>
        <v>0.13904868906024903</v>
      </c>
    </row>
    <row r="35" spans="1:6" x14ac:dyDescent="0.25">
      <c r="A35">
        <v>30</v>
      </c>
      <c r="B35">
        <v>100</v>
      </c>
      <c r="C35">
        <v>0.85019999999999996</v>
      </c>
      <c r="D35">
        <f t="shared" si="0"/>
        <v>3039750</v>
      </c>
      <c r="E35">
        <f t="shared" si="1"/>
        <v>373.15</v>
      </c>
      <c r="F35">
        <f t="shared" si="2"/>
        <v>0.16685842687229885</v>
      </c>
    </row>
    <row r="36" spans="1:6" x14ac:dyDescent="0.25">
      <c r="A36">
        <v>35</v>
      </c>
      <c r="B36">
        <v>100</v>
      </c>
      <c r="C36">
        <v>0.81989999999999996</v>
      </c>
      <c r="D36">
        <f t="shared" si="0"/>
        <v>3546375</v>
      </c>
      <c r="E36">
        <f t="shared" si="1"/>
        <v>373.15</v>
      </c>
      <c r="F36">
        <f t="shared" si="2"/>
        <v>0.19466816468434867</v>
      </c>
    </row>
    <row r="37" spans="1:6" x14ac:dyDescent="0.25">
      <c r="A37">
        <v>40</v>
      </c>
      <c r="B37">
        <v>100</v>
      </c>
      <c r="C37">
        <v>0.78820000000000001</v>
      </c>
      <c r="D37">
        <f t="shared" si="0"/>
        <v>4053000</v>
      </c>
      <c r="E37">
        <f t="shared" si="1"/>
        <v>373.15</v>
      </c>
      <c r="F37">
        <f t="shared" si="2"/>
        <v>0.22247790249639846</v>
      </c>
    </row>
    <row r="38" spans="1:6" x14ac:dyDescent="0.25">
      <c r="A38">
        <v>45</v>
      </c>
      <c r="B38">
        <v>100</v>
      </c>
      <c r="C38">
        <v>0.754</v>
      </c>
      <c r="D38">
        <f t="shared" si="0"/>
        <v>4559625</v>
      </c>
      <c r="E38">
        <f t="shared" si="1"/>
        <v>373.15</v>
      </c>
      <c r="F38">
        <f t="shared" si="2"/>
        <v>0.25028764030844824</v>
      </c>
    </row>
    <row r="39" spans="1:6" x14ac:dyDescent="0.25">
      <c r="A39">
        <v>50</v>
      </c>
      <c r="B39">
        <v>100</v>
      </c>
      <c r="C39">
        <v>0.71740000000000004</v>
      </c>
      <c r="D39">
        <f t="shared" si="0"/>
        <v>5066250</v>
      </c>
      <c r="E39">
        <f t="shared" si="1"/>
        <v>373.15</v>
      </c>
      <c r="F39">
        <f t="shared" si="2"/>
        <v>0.27809737812049806</v>
      </c>
    </row>
    <row r="40" spans="1:6" x14ac:dyDescent="0.25">
      <c r="A40">
        <v>55</v>
      </c>
      <c r="B40">
        <v>100</v>
      </c>
      <c r="C40">
        <v>0.6764</v>
      </c>
      <c r="D40">
        <f t="shared" si="0"/>
        <v>5572875</v>
      </c>
      <c r="E40">
        <f t="shared" si="1"/>
        <v>373.15</v>
      </c>
      <c r="F40">
        <f t="shared" si="2"/>
        <v>0.30590711593254788</v>
      </c>
    </row>
    <row r="41" spans="1:6" x14ac:dyDescent="0.25">
      <c r="A41">
        <v>60</v>
      </c>
      <c r="B41">
        <v>100</v>
      </c>
      <c r="C41">
        <v>0.629</v>
      </c>
      <c r="D41">
        <f t="shared" si="0"/>
        <v>6079500</v>
      </c>
      <c r="E41">
        <f t="shared" si="1"/>
        <v>373.15</v>
      </c>
      <c r="F41">
        <f t="shared" si="2"/>
        <v>0.3337168537445977</v>
      </c>
    </row>
    <row r="42" spans="1:6" x14ac:dyDescent="0.25">
      <c r="A42">
        <v>5</v>
      </c>
      <c r="B42">
        <v>125</v>
      </c>
      <c r="C42">
        <v>0.98340000000000005</v>
      </c>
      <c r="D42">
        <f t="shared" si="0"/>
        <v>506625</v>
      </c>
      <c r="E42">
        <f t="shared" si="1"/>
        <v>398.15</v>
      </c>
      <c r="F42">
        <f t="shared" si="2"/>
        <v>2.0850842475582342E-2</v>
      </c>
    </row>
    <row r="43" spans="1:6" x14ac:dyDescent="0.25">
      <c r="A43">
        <v>10</v>
      </c>
      <c r="B43">
        <v>125</v>
      </c>
      <c r="C43">
        <v>0.96599999999999997</v>
      </c>
      <c r="D43">
        <f t="shared" si="0"/>
        <v>1013250</v>
      </c>
      <c r="E43">
        <f t="shared" si="1"/>
        <v>398.15</v>
      </c>
      <c r="F43">
        <f t="shared" si="2"/>
        <v>4.1701684951164684E-2</v>
      </c>
    </row>
    <row r="44" spans="1:6" x14ac:dyDescent="0.25">
      <c r="A44">
        <v>15</v>
      </c>
      <c r="B44">
        <v>125</v>
      </c>
      <c r="C44">
        <v>0.94769999999999999</v>
      </c>
      <c r="D44">
        <f t="shared" si="0"/>
        <v>1519875</v>
      </c>
      <c r="E44">
        <f t="shared" si="1"/>
        <v>398.15</v>
      </c>
      <c r="F44">
        <f t="shared" si="2"/>
        <v>6.2552527426747023E-2</v>
      </c>
    </row>
    <row r="45" spans="1:6" x14ac:dyDescent="0.25">
      <c r="A45">
        <v>20</v>
      </c>
      <c r="B45">
        <v>125</v>
      </c>
      <c r="C45">
        <v>0.92859999999999998</v>
      </c>
      <c r="D45">
        <f t="shared" si="0"/>
        <v>2026500</v>
      </c>
      <c r="E45">
        <f t="shared" si="1"/>
        <v>398.15</v>
      </c>
      <c r="F45">
        <f t="shared" si="2"/>
        <v>8.3403369902329369E-2</v>
      </c>
    </row>
    <row r="46" spans="1:6" x14ac:dyDescent="0.25">
      <c r="A46">
        <v>25</v>
      </c>
      <c r="B46">
        <v>125</v>
      </c>
      <c r="C46">
        <v>0.90859999999999996</v>
      </c>
      <c r="D46">
        <f t="shared" si="0"/>
        <v>2533125</v>
      </c>
      <c r="E46">
        <f t="shared" si="1"/>
        <v>398.15</v>
      </c>
      <c r="F46">
        <f t="shared" si="2"/>
        <v>0.1042542123779117</v>
      </c>
    </row>
    <row r="47" spans="1:6" x14ac:dyDescent="0.25">
      <c r="A47">
        <v>30</v>
      </c>
      <c r="B47">
        <v>125</v>
      </c>
      <c r="C47">
        <v>0.88780000000000003</v>
      </c>
      <c r="D47">
        <f t="shared" si="0"/>
        <v>3039750</v>
      </c>
      <c r="E47">
        <f t="shared" si="1"/>
        <v>398.15</v>
      </c>
      <c r="F47">
        <f t="shared" si="2"/>
        <v>0.12510505485349405</v>
      </c>
    </row>
    <row r="48" spans="1:6" x14ac:dyDescent="0.25">
      <c r="A48">
        <v>35</v>
      </c>
      <c r="B48">
        <v>125</v>
      </c>
      <c r="C48">
        <v>0.86619999999999997</v>
      </c>
      <c r="D48">
        <f t="shared" si="0"/>
        <v>3546375</v>
      </c>
      <c r="E48">
        <f t="shared" si="1"/>
        <v>398.15</v>
      </c>
      <c r="F48">
        <f t="shared" si="2"/>
        <v>0.14595589732907638</v>
      </c>
    </row>
    <row r="49" spans="1:6" x14ac:dyDescent="0.25">
      <c r="A49">
        <v>40</v>
      </c>
      <c r="B49">
        <v>125</v>
      </c>
      <c r="C49">
        <v>0.84370000000000001</v>
      </c>
      <c r="D49">
        <f t="shared" si="0"/>
        <v>4053000</v>
      </c>
      <c r="E49">
        <f t="shared" si="1"/>
        <v>398.15</v>
      </c>
      <c r="F49">
        <f t="shared" si="2"/>
        <v>0.16680673980465874</v>
      </c>
    </row>
    <row r="50" spans="1:6" x14ac:dyDescent="0.25">
      <c r="A50">
        <v>45</v>
      </c>
      <c r="B50">
        <v>125</v>
      </c>
      <c r="C50">
        <v>0.82040000000000002</v>
      </c>
      <c r="D50">
        <f t="shared" si="0"/>
        <v>4559625</v>
      </c>
      <c r="E50">
        <f t="shared" si="1"/>
        <v>398.15</v>
      </c>
      <c r="F50">
        <f t="shared" si="2"/>
        <v>0.18765758228024107</v>
      </c>
    </row>
    <row r="51" spans="1:6" x14ac:dyDescent="0.25">
      <c r="A51">
        <v>50</v>
      </c>
      <c r="B51">
        <v>125</v>
      </c>
      <c r="C51">
        <v>0.79620000000000002</v>
      </c>
      <c r="D51">
        <f t="shared" si="0"/>
        <v>5066250</v>
      </c>
      <c r="E51">
        <f t="shared" si="1"/>
        <v>398.15</v>
      </c>
      <c r="F51">
        <f t="shared" si="2"/>
        <v>0.2085084247558234</v>
      </c>
    </row>
    <row r="52" spans="1:6" x14ac:dyDescent="0.25">
      <c r="A52">
        <v>55</v>
      </c>
      <c r="B52">
        <v>125</v>
      </c>
      <c r="C52">
        <v>0.7712</v>
      </c>
      <c r="D52">
        <f t="shared" si="0"/>
        <v>5572875</v>
      </c>
      <c r="E52">
        <f t="shared" si="1"/>
        <v>398.15</v>
      </c>
      <c r="F52">
        <f t="shared" si="2"/>
        <v>0.22935926723140573</v>
      </c>
    </row>
    <row r="53" spans="1:6" x14ac:dyDescent="0.25">
      <c r="A53">
        <v>60</v>
      </c>
      <c r="B53">
        <v>125</v>
      </c>
      <c r="C53">
        <v>0.74460000000000004</v>
      </c>
      <c r="D53">
        <f t="shared" si="0"/>
        <v>6079500</v>
      </c>
      <c r="E53">
        <f t="shared" si="1"/>
        <v>398.15</v>
      </c>
      <c r="F53">
        <f t="shared" si="2"/>
        <v>0.25021010970698809</v>
      </c>
    </row>
    <row r="54" spans="1:6" x14ac:dyDescent="0.25">
      <c r="A54">
        <v>65</v>
      </c>
      <c r="B54">
        <v>125</v>
      </c>
      <c r="C54">
        <v>0.71699999999999997</v>
      </c>
      <c r="D54">
        <f t="shared" si="0"/>
        <v>6586125</v>
      </c>
      <c r="E54">
        <f t="shared" si="1"/>
        <v>398.15</v>
      </c>
      <c r="F54">
        <f t="shared" si="2"/>
        <v>0.27106095218257042</v>
      </c>
    </row>
    <row r="55" spans="1:6" x14ac:dyDescent="0.25">
      <c r="A55">
        <v>70</v>
      </c>
      <c r="B55">
        <v>125</v>
      </c>
      <c r="C55">
        <v>0.68730000000000002</v>
      </c>
      <c r="D55">
        <f t="shared" si="0"/>
        <v>7092750</v>
      </c>
      <c r="E55">
        <f t="shared" si="1"/>
        <v>398.15</v>
      </c>
      <c r="F55">
        <f t="shared" si="2"/>
        <v>0.29191179465815276</v>
      </c>
    </row>
    <row r="56" spans="1:6" x14ac:dyDescent="0.25">
      <c r="A56">
        <v>75</v>
      </c>
      <c r="B56">
        <v>125</v>
      </c>
      <c r="C56">
        <v>0.65559999999999996</v>
      </c>
      <c r="D56">
        <f t="shared" si="0"/>
        <v>7599375</v>
      </c>
      <c r="E56">
        <f t="shared" si="1"/>
        <v>398.15</v>
      </c>
      <c r="F56">
        <f t="shared" si="2"/>
        <v>0.31276263713373509</v>
      </c>
    </row>
    <row r="57" spans="1:6" x14ac:dyDescent="0.25">
      <c r="A57">
        <v>80</v>
      </c>
      <c r="B57">
        <v>125</v>
      </c>
      <c r="C57">
        <v>0.62050000000000005</v>
      </c>
      <c r="D57">
        <f t="shared" si="0"/>
        <v>8106000</v>
      </c>
      <c r="E57">
        <f t="shared" si="1"/>
        <v>398.15</v>
      </c>
      <c r="F57">
        <f t="shared" si="2"/>
        <v>0.33361347960931748</v>
      </c>
    </row>
    <row r="58" spans="1:6" x14ac:dyDescent="0.25">
      <c r="A58">
        <v>85</v>
      </c>
      <c r="B58">
        <v>125</v>
      </c>
      <c r="C58">
        <v>0.58130000000000004</v>
      </c>
      <c r="D58">
        <f t="shared" si="0"/>
        <v>8612625</v>
      </c>
      <c r="E58">
        <f t="shared" si="1"/>
        <v>398.15</v>
      </c>
      <c r="F58">
        <f t="shared" si="2"/>
        <v>0.35446432208489981</v>
      </c>
    </row>
    <row r="59" spans="1:6" x14ac:dyDescent="0.25">
      <c r="A59">
        <v>90</v>
      </c>
      <c r="B59">
        <v>125</v>
      </c>
      <c r="C59">
        <v>0.53500000000000003</v>
      </c>
      <c r="D59">
        <f t="shared" si="0"/>
        <v>9119250</v>
      </c>
      <c r="E59">
        <f t="shared" si="1"/>
        <v>398.15</v>
      </c>
      <c r="F59">
        <f t="shared" si="2"/>
        <v>0.37531516456048214</v>
      </c>
    </row>
    <row r="60" spans="1:6" x14ac:dyDescent="0.25">
      <c r="A60">
        <v>95</v>
      </c>
      <c r="B60">
        <v>125</v>
      </c>
      <c r="C60">
        <v>0.47199999999999998</v>
      </c>
      <c r="D60">
        <f t="shared" si="0"/>
        <v>9625875</v>
      </c>
      <c r="E60">
        <f t="shared" si="1"/>
        <v>398.15</v>
      </c>
      <c r="F60">
        <f t="shared" si="2"/>
        <v>0.39616600703606447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Duarte Nunes, Catarina</dc:creator>
  <cp:lastModifiedBy>Duarte Nunes, Catarina</cp:lastModifiedBy>
  <dcterms:created xsi:type="dcterms:W3CDTF">2025-10-22T16:40:31Z</dcterms:created>
  <dcterms:modified xsi:type="dcterms:W3CDTF">2025-10-22T17:02:22Z</dcterms:modified>
</cp:coreProperties>
</file>