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cd318_ic_ac_uk/Documents/UNI/PhD/Code/GitHub repos/EOS/dataframes/experimental_data_density/"/>
    </mc:Choice>
  </mc:AlternateContent>
  <xr:revisionPtr revIDLastSave="58" documentId="8_{6686655E-C77F-4C8D-A3FC-F4AC64AFF56B}" xr6:coauthVersionLast="47" xr6:coauthVersionMax="47" xr10:uidLastSave="{1C000D20-D9C1-4D4B-A3AA-8993924783EA}"/>
  <bookViews>
    <workbookView xWindow="28680" yWindow="-120" windowWidth="29040" windowHeight="15840" xr2:uid="{BA9F114C-C4C5-4935-983D-92C06C1519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3" i="1" l="1"/>
  <c r="G113" i="1" s="1"/>
  <c r="F113" i="1"/>
  <c r="H113" i="1"/>
  <c r="J113" i="1" s="1"/>
  <c r="I113" i="1"/>
  <c r="E114" i="1"/>
  <c r="F114" i="1"/>
  <c r="G114" i="1" s="1"/>
  <c r="H114" i="1"/>
  <c r="J114" i="1" s="1"/>
  <c r="I114" i="1"/>
  <c r="E115" i="1"/>
  <c r="G115" i="1" s="1"/>
  <c r="F115" i="1"/>
  <c r="H115" i="1"/>
  <c r="J115" i="1" s="1"/>
  <c r="I115" i="1"/>
  <c r="E116" i="1"/>
  <c r="F116" i="1"/>
  <c r="G116" i="1" s="1"/>
  <c r="H116" i="1"/>
  <c r="I116" i="1"/>
  <c r="J116" i="1"/>
  <c r="E117" i="1"/>
  <c r="G117" i="1" s="1"/>
  <c r="F117" i="1"/>
  <c r="H117" i="1"/>
  <c r="J117" i="1" s="1"/>
  <c r="I117" i="1"/>
  <c r="E118" i="1"/>
  <c r="F118" i="1"/>
  <c r="G118" i="1" s="1"/>
  <c r="H118" i="1"/>
  <c r="I118" i="1"/>
  <c r="J118" i="1"/>
  <c r="E119" i="1"/>
  <c r="G119" i="1" s="1"/>
  <c r="F119" i="1"/>
  <c r="H119" i="1"/>
  <c r="J119" i="1" s="1"/>
  <c r="I119" i="1"/>
  <c r="E120" i="1"/>
  <c r="F120" i="1"/>
  <c r="G120" i="1" s="1"/>
  <c r="H120" i="1"/>
  <c r="I120" i="1"/>
  <c r="J120" i="1"/>
  <c r="E121" i="1"/>
  <c r="G121" i="1" s="1"/>
  <c r="F121" i="1"/>
  <c r="H121" i="1"/>
  <c r="J121" i="1" s="1"/>
  <c r="I121" i="1"/>
  <c r="E122" i="1"/>
  <c r="F122" i="1"/>
  <c r="G122" i="1" s="1"/>
  <c r="H122" i="1"/>
  <c r="I122" i="1"/>
  <c r="J122" i="1"/>
  <c r="E123" i="1"/>
  <c r="G123" i="1" s="1"/>
  <c r="F123" i="1"/>
  <c r="H123" i="1"/>
  <c r="J123" i="1" s="1"/>
  <c r="I123" i="1"/>
  <c r="E124" i="1"/>
  <c r="F124" i="1"/>
  <c r="G124" i="1" s="1"/>
  <c r="H124" i="1"/>
  <c r="I124" i="1"/>
  <c r="J124" i="1"/>
  <c r="E125" i="1"/>
  <c r="G125" i="1" s="1"/>
  <c r="F125" i="1"/>
  <c r="H125" i="1"/>
  <c r="J125" i="1" s="1"/>
  <c r="I125" i="1"/>
  <c r="E126" i="1"/>
  <c r="F126" i="1"/>
  <c r="G126" i="1" s="1"/>
  <c r="H126" i="1"/>
  <c r="I126" i="1"/>
  <c r="J126" i="1"/>
  <c r="E127" i="1"/>
  <c r="G127" i="1" s="1"/>
  <c r="F127" i="1"/>
  <c r="H127" i="1"/>
  <c r="J127" i="1" s="1"/>
  <c r="I127" i="1"/>
  <c r="E128" i="1"/>
  <c r="F128" i="1"/>
  <c r="G128" i="1" s="1"/>
  <c r="H128" i="1"/>
  <c r="I128" i="1"/>
  <c r="J128" i="1"/>
  <c r="E129" i="1"/>
  <c r="G129" i="1" s="1"/>
  <c r="F129" i="1"/>
  <c r="H129" i="1"/>
  <c r="J129" i="1" s="1"/>
  <c r="I129" i="1"/>
  <c r="E130" i="1"/>
  <c r="F130" i="1"/>
  <c r="G130" i="1" s="1"/>
  <c r="H130" i="1"/>
  <c r="I130" i="1"/>
  <c r="J130" i="1"/>
  <c r="E131" i="1"/>
  <c r="G131" i="1" s="1"/>
  <c r="F131" i="1"/>
  <c r="H131" i="1"/>
  <c r="J131" i="1" s="1"/>
  <c r="I131" i="1"/>
  <c r="E132" i="1"/>
  <c r="F132" i="1"/>
  <c r="G132" i="1" s="1"/>
  <c r="H132" i="1"/>
  <c r="I132" i="1"/>
  <c r="J132" i="1"/>
  <c r="E133" i="1"/>
  <c r="G133" i="1" s="1"/>
  <c r="F133" i="1"/>
  <c r="H133" i="1"/>
  <c r="J133" i="1" s="1"/>
  <c r="I133" i="1"/>
  <c r="E134" i="1"/>
  <c r="F134" i="1"/>
  <c r="G134" i="1" s="1"/>
  <c r="H134" i="1"/>
  <c r="I134" i="1"/>
  <c r="J134" i="1"/>
  <c r="E135" i="1"/>
  <c r="G135" i="1" s="1"/>
  <c r="F135" i="1"/>
  <c r="H135" i="1"/>
  <c r="J135" i="1" s="1"/>
  <c r="I135" i="1"/>
  <c r="E136" i="1"/>
  <c r="F136" i="1"/>
  <c r="G136" i="1" s="1"/>
  <c r="H136" i="1"/>
  <c r="I136" i="1"/>
  <c r="J136" i="1"/>
  <c r="E137" i="1"/>
  <c r="G137" i="1" s="1"/>
  <c r="F137" i="1"/>
  <c r="H137" i="1"/>
  <c r="I137" i="1"/>
  <c r="J137" i="1"/>
  <c r="E138" i="1"/>
  <c r="F138" i="1"/>
  <c r="G138" i="1" s="1"/>
  <c r="H138" i="1"/>
  <c r="I138" i="1"/>
  <c r="J138" i="1"/>
  <c r="E139" i="1"/>
  <c r="G139" i="1" s="1"/>
  <c r="F139" i="1"/>
  <c r="H139" i="1"/>
  <c r="J139" i="1" s="1"/>
  <c r="I139" i="1"/>
  <c r="E140" i="1"/>
  <c r="F140" i="1"/>
  <c r="G140" i="1" s="1"/>
  <c r="H140" i="1"/>
  <c r="I140" i="1"/>
  <c r="J140" i="1"/>
  <c r="E141" i="1"/>
  <c r="G141" i="1" s="1"/>
  <c r="F141" i="1"/>
  <c r="H141" i="1"/>
  <c r="I141" i="1"/>
  <c r="J141" i="1"/>
  <c r="E142" i="1"/>
  <c r="F142" i="1"/>
  <c r="G142" i="1" s="1"/>
  <c r="H142" i="1"/>
  <c r="I142" i="1"/>
  <c r="J142" i="1"/>
  <c r="E143" i="1"/>
  <c r="G143" i="1" s="1"/>
  <c r="F143" i="1"/>
  <c r="H143" i="1"/>
  <c r="J143" i="1" s="1"/>
  <c r="I143" i="1"/>
  <c r="E144" i="1"/>
  <c r="F144" i="1"/>
  <c r="G144" i="1" s="1"/>
  <c r="H144" i="1"/>
  <c r="I144" i="1"/>
  <c r="J144" i="1"/>
  <c r="E145" i="1"/>
  <c r="G145" i="1" s="1"/>
  <c r="F145" i="1"/>
  <c r="H145" i="1"/>
  <c r="I145" i="1"/>
  <c r="J145" i="1"/>
  <c r="E146" i="1"/>
  <c r="F146" i="1"/>
  <c r="G146" i="1" s="1"/>
  <c r="H146" i="1"/>
  <c r="J146" i="1" s="1"/>
  <c r="I146" i="1"/>
  <c r="E147" i="1"/>
  <c r="G147" i="1" s="1"/>
  <c r="F147" i="1"/>
  <c r="H147" i="1"/>
  <c r="J147" i="1" s="1"/>
  <c r="I147" i="1"/>
  <c r="E148" i="1"/>
  <c r="F148" i="1"/>
  <c r="G148" i="1" s="1"/>
  <c r="H148" i="1"/>
  <c r="I148" i="1"/>
  <c r="J148" i="1"/>
  <c r="E149" i="1"/>
  <c r="G149" i="1" s="1"/>
  <c r="F149" i="1"/>
  <c r="H149" i="1"/>
  <c r="I149" i="1"/>
  <c r="J149" i="1"/>
  <c r="E150" i="1"/>
  <c r="F150" i="1"/>
  <c r="G150" i="1" s="1"/>
  <c r="H150" i="1"/>
  <c r="J150" i="1" s="1"/>
  <c r="I150" i="1"/>
  <c r="E151" i="1"/>
  <c r="G151" i="1" s="1"/>
  <c r="F151" i="1"/>
  <c r="H151" i="1"/>
  <c r="J151" i="1" s="1"/>
  <c r="I151" i="1"/>
  <c r="E152" i="1"/>
  <c r="F152" i="1"/>
  <c r="G152" i="1" s="1"/>
  <c r="H152" i="1"/>
  <c r="I152" i="1"/>
  <c r="J152" i="1"/>
  <c r="E153" i="1"/>
  <c r="G153" i="1" s="1"/>
  <c r="F153" i="1"/>
  <c r="H153" i="1"/>
  <c r="I153" i="1"/>
  <c r="J153" i="1"/>
  <c r="I112" i="1"/>
  <c r="H112" i="1"/>
  <c r="J112" i="1" s="1"/>
  <c r="F112" i="1"/>
  <c r="E112" i="1"/>
  <c r="G112" i="1" s="1"/>
  <c r="H62" i="1"/>
  <c r="H63" i="1"/>
  <c r="H64" i="1"/>
  <c r="H65" i="1"/>
  <c r="H66" i="1"/>
  <c r="H67" i="1"/>
  <c r="H68" i="1"/>
  <c r="H69" i="1"/>
  <c r="J69" i="1" s="1"/>
  <c r="H70" i="1"/>
  <c r="H71" i="1"/>
  <c r="H72" i="1"/>
  <c r="H73" i="1"/>
  <c r="H74" i="1"/>
  <c r="H75" i="1"/>
  <c r="H76" i="1"/>
  <c r="H77" i="1"/>
  <c r="J77" i="1" s="1"/>
  <c r="H78" i="1"/>
  <c r="H79" i="1"/>
  <c r="H80" i="1"/>
  <c r="H81" i="1"/>
  <c r="H82" i="1"/>
  <c r="H83" i="1"/>
  <c r="H84" i="1"/>
  <c r="H85" i="1"/>
  <c r="J85" i="1" s="1"/>
  <c r="H86" i="1"/>
  <c r="H87" i="1"/>
  <c r="H88" i="1"/>
  <c r="H89" i="1"/>
  <c r="H90" i="1"/>
  <c r="H91" i="1"/>
  <c r="H92" i="1"/>
  <c r="H93" i="1"/>
  <c r="J93" i="1" s="1"/>
  <c r="H94" i="1"/>
  <c r="H95" i="1"/>
  <c r="H96" i="1"/>
  <c r="H97" i="1"/>
  <c r="H98" i="1"/>
  <c r="H99" i="1"/>
  <c r="H100" i="1"/>
  <c r="H101" i="1"/>
  <c r="J101" i="1" s="1"/>
  <c r="H102" i="1"/>
  <c r="H103" i="1"/>
  <c r="H104" i="1"/>
  <c r="H105" i="1"/>
  <c r="H106" i="1"/>
  <c r="H107" i="1"/>
  <c r="H108" i="1"/>
  <c r="H109" i="1"/>
  <c r="J109" i="1" s="1"/>
  <c r="H110" i="1"/>
  <c r="H111" i="1"/>
  <c r="H61" i="1"/>
  <c r="J61" i="1" s="1"/>
  <c r="J62" i="1"/>
  <c r="J63" i="1"/>
  <c r="J64" i="1"/>
  <c r="J65" i="1"/>
  <c r="J66" i="1"/>
  <c r="J67" i="1"/>
  <c r="J68" i="1"/>
  <c r="J70" i="1"/>
  <c r="J71" i="1"/>
  <c r="J72" i="1"/>
  <c r="J73" i="1"/>
  <c r="J74" i="1"/>
  <c r="J75" i="1"/>
  <c r="J76" i="1"/>
  <c r="J78" i="1"/>
  <c r="J79" i="1"/>
  <c r="J80" i="1"/>
  <c r="J81" i="1"/>
  <c r="J82" i="1"/>
  <c r="J83" i="1"/>
  <c r="J84" i="1"/>
  <c r="J86" i="1"/>
  <c r="J87" i="1"/>
  <c r="J88" i="1"/>
  <c r="J89" i="1"/>
  <c r="J90" i="1"/>
  <c r="J91" i="1"/>
  <c r="J92" i="1"/>
  <c r="J94" i="1"/>
  <c r="J95" i="1"/>
  <c r="J96" i="1"/>
  <c r="J97" i="1"/>
  <c r="J98" i="1"/>
  <c r="J99" i="1"/>
  <c r="J100" i="1"/>
  <c r="J102" i="1"/>
  <c r="J103" i="1"/>
  <c r="J104" i="1"/>
  <c r="J105" i="1"/>
  <c r="J106" i="1"/>
  <c r="J107" i="1"/>
  <c r="J108" i="1"/>
  <c r="J110" i="1"/>
  <c r="J111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61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J4" i="1" l="1"/>
  <c r="J9" i="1"/>
  <c r="J10" i="1"/>
  <c r="J17" i="1"/>
  <c r="J18" i="1"/>
  <c r="J25" i="1"/>
  <c r="J26" i="1"/>
  <c r="J34" i="1"/>
  <c r="J41" i="1"/>
  <c r="J42" i="1"/>
  <c r="J50" i="1"/>
  <c r="J58" i="1"/>
  <c r="H3" i="1"/>
  <c r="J3" i="1" s="1"/>
  <c r="H4" i="1"/>
  <c r="H5" i="1"/>
  <c r="J5" i="1" s="1"/>
  <c r="H6" i="1"/>
  <c r="J6" i="1" s="1"/>
  <c r="H7" i="1"/>
  <c r="J7" i="1" s="1"/>
  <c r="H8" i="1"/>
  <c r="J8" i="1" s="1"/>
  <c r="H9" i="1"/>
  <c r="H10" i="1"/>
  <c r="H11" i="1"/>
  <c r="J11" i="1" s="1"/>
  <c r="H12" i="1"/>
  <c r="H13" i="1"/>
  <c r="J13" i="1" s="1"/>
  <c r="H14" i="1"/>
  <c r="J14" i="1" s="1"/>
  <c r="H15" i="1"/>
  <c r="J15" i="1" s="1"/>
  <c r="H16" i="1"/>
  <c r="J16" i="1" s="1"/>
  <c r="H17" i="1"/>
  <c r="H18" i="1"/>
  <c r="H19" i="1"/>
  <c r="J19" i="1" s="1"/>
  <c r="H20" i="1"/>
  <c r="H21" i="1"/>
  <c r="J21" i="1" s="1"/>
  <c r="H22" i="1"/>
  <c r="J22" i="1" s="1"/>
  <c r="H23" i="1"/>
  <c r="J23" i="1" s="1"/>
  <c r="H24" i="1"/>
  <c r="J24" i="1" s="1"/>
  <c r="H25" i="1"/>
  <c r="H26" i="1"/>
  <c r="H27" i="1"/>
  <c r="J27" i="1" s="1"/>
  <c r="H28" i="1"/>
  <c r="H29" i="1"/>
  <c r="J29" i="1" s="1"/>
  <c r="H30" i="1"/>
  <c r="J30" i="1" s="1"/>
  <c r="H31" i="1"/>
  <c r="J31" i="1" s="1"/>
  <c r="H32" i="1"/>
  <c r="J32" i="1" s="1"/>
  <c r="H33" i="1"/>
  <c r="J33" i="1" s="1"/>
  <c r="H34" i="1"/>
  <c r="H35" i="1"/>
  <c r="J35" i="1" s="1"/>
  <c r="H36" i="1"/>
  <c r="H37" i="1"/>
  <c r="J37" i="1" s="1"/>
  <c r="H38" i="1"/>
  <c r="J38" i="1" s="1"/>
  <c r="H39" i="1"/>
  <c r="J39" i="1" s="1"/>
  <c r="H40" i="1"/>
  <c r="J40" i="1" s="1"/>
  <c r="H41" i="1"/>
  <c r="H42" i="1"/>
  <c r="H43" i="1"/>
  <c r="J43" i="1" s="1"/>
  <c r="H44" i="1"/>
  <c r="H45" i="1"/>
  <c r="J45" i="1" s="1"/>
  <c r="H46" i="1"/>
  <c r="J46" i="1" s="1"/>
  <c r="H47" i="1"/>
  <c r="J47" i="1" s="1"/>
  <c r="H48" i="1"/>
  <c r="J48" i="1" s="1"/>
  <c r="H49" i="1"/>
  <c r="J49" i="1" s="1"/>
  <c r="H50" i="1"/>
  <c r="H51" i="1"/>
  <c r="J51" i="1" s="1"/>
  <c r="H52" i="1"/>
  <c r="H53" i="1"/>
  <c r="J53" i="1" s="1"/>
  <c r="H54" i="1"/>
  <c r="J54" i="1" s="1"/>
  <c r="H55" i="1"/>
  <c r="J55" i="1" s="1"/>
  <c r="H56" i="1"/>
  <c r="J56" i="1" s="1"/>
  <c r="H57" i="1"/>
  <c r="J57" i="1" s="1"/>
  <c r="H58" i="1"/>
  <c r="H59" i="1"/>
  <c r="J59" i="1" s="1"/>
  <c r="H60" i="1"/>
  <c r="H2" i="1"/>
  <c r="J2" i="1" s="1"/>
  <c r="I3" i="1"/>
  <c r="I4" i="1"/>
  <c r="I5" i="1"/>
  <c r="I6" i="1"/>
  <c r="I7" i="1"/>
  <c r="I8" i="1"/>
  <c r="I9" i="1"/>
  <c r="I10" i="1"/>
  <c r="I11" i="1"/>
  <c r="I12" i="1"/>
  <c r="J12" i="1" s="1"/>
  <c r="I13" i="1"/>
  <c r="I14" i="1"/>
  <c r="I15" i="1"/>
  <c r="I16" i="1"/>
  <c r="I17" i="1"/>
  <c r="I18" i="1"/>
  <c r="I19" i="1"/>
  <c r="I20" i="1"/>
  <c r="J20" i="1" s="1"/>
  <c r="I21" i="1"/>
  <c r="I22" i="1"/>
  <c r="I23" i="1"/>
  <c r="I24" i="1"/>
  <c r="I25" i="1"/>
  <c r="I26" i="1"/>
  <c r="I27" i="1"/>
  <c r="I28" i="1"/>
  <c r="J28" i="1" s="1"/>
  <c r="I29" i="1"/>
  <c r="I30" i="1"/>
  <c r="I31" i="1"/>
  <c r="I32" i="1"/>
  <c r="I33" i="1"/>
  <c r="I34" i="1"/>
  <c r="I35" i="1"/>
  <c r="I36" i="1"/>
  <c r="J36" i="1" s="1"/>
  <c r="I37" i="1"/>
  <c r="I38" i="1"/>
  <c r="I39" i="1"/>
  <c r="I40" i="1"/>
  <c r="I41" i="1"/>
  <c r="I42" i="1"/>
  <c r="I43" i="1"/>
  <c r="I44" i="1"/>
  <c r="J44" i="1" s="1"/>
  <c r="I45" i="1"/>
  <c r="I46" i="1"/>
  <c r="I47" i="1"/>
  <c r="I48" i="1"/>
  <c r="I49" i="1"/>
  <c r="I50" i="1"/>
  <c r="I51" i="1"/>
  <c r="I52" i="1"/>
  <c r="J52" i="1" s="1"/>
  <c r="I53" i="1"/>
  <c r="I54" i="1"/>
  <c r="I55" i="1"/>
  <c r="I56" i="1"/>
  <c r="I57" i="1"/>
  <c r="I58" i="1"/>
  <c r="I59" i="1"/>
  <c r="I60" i="1"/>
  <c r="J60" i="1" s="1"/>
  <c r="I2" i="1"/>
  <c r="G8" i="1"/>
  <c r="G9" i="1"/>
  <c r="G16" i="1"/>
  <c r="G17" i="1"/>
  <c r="G24" i="1"/>
  <c r="G25" i="1"/>
  <c r="G32" i="1"/>
  <c r="G33" i="1"/>
  <c r="G40" i="1"/>
  <c r="G41" i="1"/>
  <c r="G48" i="1"/>
  <c r="G49" i="1"/>
  <c r="G56" i="1"/>
  <c r="G57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2" i="1"/>
  <c r="E3" i="1"/>
  <c r="G3" i="1" s="1"/>
  <c r="E4" i="1"/>
  <c r="G4" i="1" s="1"/>
  <c r="E5" i="1"/>
  <c r="G5" i="1" s="1"/>
  <c r="E6" i="1"/>
  <c r="G6" i="1" s="1"/>
  <c r="E7" i="1"/>
  <c r="G7" i="1" s="1"/>
  <c r="E8" i="1"/>
  <c r="E9" i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E17" i="1"/>
  <c r="E18" i="1"/>
  <c r="G18" i="1" s="1"/>
  <c r="E19" i="1"/>
  <c r="G19" i="1" s="1"/>
  <c r="E20" i="1"/>
  <c r="G20" i="1" s="1"/>
  <c r="E21" i="1"/>
  <c r="G21" i="1" s="1"/>
  <c r="E22" i="1"/>
  <c r="G22" i="1" s="1"/>
  <c r="E23" i="1"/>
  <c r="G23" i="1" s="1"/>
  <c r="E24" i="1"/>
  <c r="E25" i="1"/>
  <c r="E26" i="1"/>
  <c r="G26" i="1" s="1"/>
  <c r="E27" i="1"/>
  <c r="G27" i="1" s="1"/>
  <c r="E28" i="1"/>
  <c r="G28" i="1" s="1"/>
  <c r="E29" i="1"/>
  <c r="G29" i="1" s="1"/>
  <c r="E30" i="1"/>
  <c r="G30" i="1" s="1"/>
  <c r="E31" i="1"/>
  <c r="G31" i="1" s="1"/>
  <c r="E32" i="1"/>
  <c r="E33" i="1"/>
  <c r="E34" i="1"/>
  <c r="G34" i="1" s="1"/>
  <c r="E35" i="1"/>
  <c r="G35" i="1" s="1"/>
  <c r="E36" i="1"/>
  <c r="G36" i="1" s="1"/>
  <c r="E37" i="1"/>
  <c r="G37" i="1" s="1"/>
  <c r="E38" i="1"/>
  <c r="G38" i="1" s="1"/>
  <c r="E39" i="1"/>
  <c r="G39" i="1" s="1"/>
  <c r="E40" i="1"/>
  <c r="E41" i="1"/>
  <c r="E42" i="1"/>
  <c r="G42" i="1" s="1"/>
  <c r="E43" i="1"/>
  <c r="G43" i="1" s="1"/>
  <c r="E44" i="1"/>
  <c r="G44" i="1" s="1"/>
  <c r="E45" i="1"/>
  <c r="G45" i="1" s="1"/>
  <c r="E46" i="1"/>
  <c r="G46" i="1" s="1"/>
  <c r="E47" i="1"/>
  <c r="G47" i="1" s="1"/>
  <c r="E48" i="1"/>
  <c r="E49" i="1"/>
  <c r="E50" i="1"/>
  <c r="G50" i="1" s="1"/>
  <c r="E51" i="1"/>
  <c r="G51" i="1" s="1"/>
  <c r="E52" i="1"/>
  <c r="G52" i="1" s="1"/>
  <c r="E53" i="1"/>
  <c r="G53" i="1" s="1"/>
  <c r="E54" i="1"/>
  <c r="G54" i="1" s="1"/>
  <c r="E55" i="1"/>
  <c r="G55" i="1" s="1"/>
  <c r="E56" i="1"/>
  <c r="E57" i="1"/>
  <c r="E58" i="1"/>
  <c r="G58" i="1" s="1"/>
  <c r="E59" i="1"/>
  <c r="G59" i="1" s="1"/>
  <c r="E60" i="1"/>
  <c r="G60" i="1" s="1"/>
  <c r="E2" i="1"/>
  <c r="G2" i="1" s="1"/>
</calcChain>
</file>

<file path=xl/sharedStrings.xml><?xml version="1.0" encoding="utf-8"?>
<sst xmlns="http://schemas.openxmlformats.org/spreadsheetml/2006/main" count="162" uniqueCount="11">
  <si>
    <t>P_raw</t>
  </si>
  <si>
    <t>T_raw</t>
  </si>
  <si>
    <t>Z_raw</t>
  </si>
  <si>
    <t>P_SI</t>
  </si>
  <si>
    <t>T_SI</t>
  </si>
  <si>
    <t>rho_SI</t>
  </si>
  <si>
    <t>delta_P</t>
  </si>
  <si>
    <t>delta_T</t>
  </si>
  <si>
    <t>delta_rho</t>
  </si>
  <si>
    <t>rho_raw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</si>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</sst>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EABDB-75D5-42FB-B2F1-05ECAAD8B0E9}">
  <dimension ref="A1:J153"/>
  <sheetViews>
    <sheetView tabSelected="1" workbookViewId="0">
      <pane ySplit="1" topLeftCell="A122" activePane="bottomLeft" state="frozen"/>
      <selection pane="bottomLeft" activeCell="G153" sqref="G15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9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2</v>
      </c>
      <c r="B2">
        <v>25</v>
      </c>
      <c r="C2" t="s">
        <v>10</v>
      </c>
      <c r="D2">
        <v>0.97799999999999998</v>
      </c>
      <c r="E2">
        <f>A2*101325</f>
        <v>202650</v>
      </c>
      <c r="F2">
        <f>B2+273.15</f>
        <v>298.14999999999998</v>
      </c>
      <c r="G2">
        <f>E2/(B2*488.209556616782*F2)</f>
        <v>5.5688498619172286E-2</v>
      </c>
      <c r="H2">
        <f>0.02+0.1/760/A2*100 + 0.05/760/A2*100</f>
        <v>2.9868421052631579E-2</v>
      </c>
      <c r="I2">
        <f>0.01/B2*100</f>
        <v>0.04</v>
      </c>
      <c r="J2">
        <f>0.2+H2+I2</f>
        <v>0.26986842105263159</v>
      </c>
    </row>
    <row r="3" spans="1:10" x14ac:dyDescent="0.25">
      <c r="A3">
        <v>4</v>
      </c>
      <c r="B3">
        <v>25</v>
      </c>
      <c r="C3" t="s">
        <v>10</v>
      </c>
      <c r="D3">
        <v>0.9546</v>
      </c>
      <c r="E3">
        <f t="shared" ref="E3:E60" si="0">A3*101325</f>
        <v>405300</v>
      </c>
      <c r="F3">
        <f t="shared" ref="F3:F66" si="1">B3+273.15</f>
        <v>298.14999999999998</v>
      </c>
      <c r="G3">
        <f t="shared" ref="G3:G60" si="2">E3/(B3*488.209556616782*F3)</f>
        <v>0.11137699723834457</v>
      </c>
      <c r="H3">
        <f t="shared" ref="H3:H66" si="3">0.02+0.1/760/A3*100 + 0.05/760/A3*100</f>
        <v>2.4934210526315788E-2</v>
      </c>
      <c r="I3">
        <f t="shared" ref="I3:I66" si="4">0.01/B3*100</f>
        <v>0.04</v>
      </c>
      <c r="J3">
        <f t="shared" ref="J3:J66" si="5">0.2+H3+I3</f>
        <v>0.26493421052631577</v>
      </c>
    </row>
    <row r="4" spans="1:10" x14ac:dyDescent="0.25">
      <c r="A4">
        <v>6</v>
      </c>
      <c r="B4">
        <v>25</v>
      </c>
      <c r="C4" t="s">
        <v>10</v>
      </c>
      <c r="D4">
        <v>0.93079999999999996</v>
      </c>
      <c r="E4">
        <f t="shared" si="0"/>
        <v>607950</v>
      </c>
      <c r="F4">
        <f t="shared" si="1"/>
        <v>298.14999999999998</v>
      </c>
      <c r="G4">
        <f t="shared" si="2"/>
        <v>0.16706549585751684</v>
      </c>
      <c r="H4">
        <f t="shared" si="3"/>
        <v>2.3289473684210527E-2</v>
      </c>
      <c r="I4">
        <f t="shared" si="4"/>
        <v>0.04</v>
      </c>
      <c r="J4">
        <f t="shared" si="5"/>
        <v>0.26328947368421052</v>
      </c>
    </row>
    <row r="5" spans="1:10" x14ac:dyDescent="0.25">
      <c r="A5">
        <v>7</v>
      </c>
      <c r="B5">
        <v>25</v>
      </c>
      <c r="C5" t="s">
        <v>10</v>
      </c>
      <c r="D5">
        <v>0.91710000000000003</v>
      </c>
      <c r="E5">
        <f t="shared" si="0"/>
        <v>709275</v>
      </c>
      <c r="F5">
        <f t="shared" si="1"/>
        <v>298.14999999999998</v>
      </c>
      <c r="G5">
        <f t="shared" si="2"/>
        <v>0.19490974516710299</v>
      </c>
      <c r="H5">
        <f t="shared" si="3"/>
        <v>2.2819548872180451E-2</v>
      </c>
      <c r="I5">
        <f t="shared" si="4"/>
        <v>0.04</v>
      </c>
      <c r="J5">
        <f t="shared" si="5"/>
        <v>0.26281954887218045</v>
      </c>
    </row>
    <row r="6" spans="1:10" x14ac:dyDescent="0.25">
      <c r="A6">
        <v>8</v>
      </c>
      <c r="B6">
        <v>25</v>
      </c>
      <c r="C6" t="s">
        <v>10</v>
      </c>
      <c r="D6">
        <v>0.90269999999999995</v>
      </c>
      <c r="E6">
        <f t="shared" si="0"/>
        <v>810600</v>
      </c>
      <c r="F6">
        <f t="shared" si="1"/>
        <v>298.14999999999998</v>
      </c>
      <c r="G6">
        <f t="shared" si="2"/>
        <v>0.22275399447668914</v>
      </c>
      <c r="H6">
        <f t="shared" si="3"/>
        <v>2.2467105263157896E-2</v>
      </c>
      <c r="I6">
        <f t="shared" si="4"/>
        <v>0.04</v>
      </c>
      <c r="J6">
        <f t="shared" si="5"/>
        <v>0.26246710526315792</v>
      </c>
    </row>
    <row r="7" spans="1:10" x14ac:dyDescent="0.25">
      <c r="A7">
        <v>9</v>
      </c>
      <c r="B7">
        <v>25</v>
      </c>
      <c r="C7" t="s">
        <v>10</v>
      </c>
      <c r="D7">
        <v>0.88619999999999999</v>
      </c>
      <c r="E7">
        <f t="shared" si="0"/>
        <v>911925</v>
      </c>
      <c r="F7">
        <f t="shared" si="1"/>
        <v>298.14999999999998</v>
      </c>
      <c r="G7">
        <f t="shared" si="2"/>
        <v>0.25059824378627527</v>
      </c>
      <c r="H7">
        <f t="shared" si="3"/>
        <v>2.2192982456140351E-2</v>
      </c>
      <c r="I7">
        <f t="shared" si="4"/>
        <v>0.04</v>
      </c>
      <c r="J7">
        <f t="shared" si="5"/>
        <v>0.26219298245614037</v>
      </c>
    </row>
    <row r="8" spans="1:10" x14ac:dyDescent="0.25">
      <c r="A8">
        <v>9.3000000000000007</v>
      </c>
      <c r="B8">
        <v>25</v>
      </c>
      <c r="C8" t="s">
        <v>10</v>
      </c>
      <c r="D8">
        <v>0.88</v>
      </c>
      <c r="E8">
        <f t="shared" si="0"/>
        <v>942322.50000000012</v>
      </c>
      <c r="F8">
        <f t="shared" si="1"/>
        <v>298.14999999999998</v>
      </c>
      <c r="G8">
        <f t="shared" si="2"/>
        <v>0.25895151857915116</v>
      </c>
      <c r="H8">
        <f t="shared" si="3"/>
        <v>2.2122241086587436E-2</v>
      </c>
      <c r="I8">
        <f t="shared" si="4"/>
        <v>0.04</v>
      </c>
      <c r="J8">
        <f t="shared" si="5"/>
        <v>0.26212224108658744</v>
      </c>
    </row>
    <row r="9" spans="1:10" x14ac:dyDescent="0.25">
      <c r="A9">
        <v>9.5</v>
      </c>
      <c r="B9">
        <v>25</v>
      </c>
      <c r="C9" t="s">
        <v>10</v>
      </c>
      <c r="D9">
        <v>0.87429999999999997</v>
      </c>
      <c r="E9">
        <f t="shared" si="0"/>
        <v>962587.5</v>
      </c>
      <c r="F9">
        <f t="shared" si="1"/>
        <v>298.14999999999998</v>
      </c>
      <c r="G9">
        <f t="shared" si="2"/>
        <v>0.26452036844106835</v>
      </c>
      <c r="H9">
        <f t="shared" si="3"/>
        <v>2.2077562326869807E-2</v>
      </c>
      <c r="I9">
        <f t="shared" si="4"/>
        <v>0.04</v>
      </c>
      <c r="J9">
        <f t="shared" si="5"/>
        <v>0.2620775623268698</v>
      </c>
    </row>
    <row r="10" spans="1:10" x14ac:dyDescent="0.25">
      <c r="A10">
        <v>9.6999999999999993</v>
      </c>
      <c r="B10">
        <v>25</v>
      </c>
      <c r="C10" t="s">
        <v>10</v>
      </c>
      <c r="D10">
        <v>0.86560000000000004</v>
      </c>
      <c r="E10">
        <f t="shared" si="0"/>
        <v>982852.49999999988</v>
      </c>
      <c r="F10">
        <f t="shared" si="1"/>
        <v>298.14999999999998</v>
      </c>
      <c r="G10">
        <f t="shared" si="2"/>
        <v>0.27008921830298555</v>
      </c>
      <c r="H10">
        <f t="shared" si="3"/>
        <v>2.2034725990233317E-2</v>
      </c>
      <c r="I10">
        <f t="shared" si="4"/>
        <v>0.04</v>
      </c>
      <c r="J10">
        <f t="shared" si="5"/>
        <v>0.26203472599023331</v>
      </c>
    </row>
    <row r="11" spans="1:10" x14ac:dyDescent="0.25">
      <c r="A11">
        <v>2</v>
      </c>
      <c r="B11">
        <v>50</v>
      </c>
      <c r="C11" t="s">
        <v>10</v>
      </c>
      <c r="D11">
        <v>0.98560000000000003</v>
      </c>
      <c r="E11">
        <f t="shared" si="0"/>
        <v>202650</v>
      </c>
      <c r="F11">
        <f t="shared" si="1"/>
        <v>323.14999999999998</v>
      </c>
      <c r="G11">
        <f t="shared" si="2"/>
        <v>2.5690122022754475E-2</v>
      </c>
      <c r="H11">
        <f t="shared" si="3"/>
        <v>2.9868421052631579E-2</v>
      </c>
      <c r="I11">
        <f t="shared" si="4"/>
        <v>0.02</v>
      </c>
      <c r="J11">
        <f t="shared" si="5"/>
        <v>0.24986842105263157</v>
      </c>
    </row>
    <row r="12" spans="1:10" x14ac:dyDescent="0.25">
      <c r="A12">
        <v>4</v>
      </c>
      <c r="B12">
        <v>50</v>
      </c>
      <c r="C12" t="s">
        <v>10</v>
      </c>
      <c r="D12">
        <v>0.97040000000000004</v>
      </c>
      <c r="E12">
        <f t="shared" si="0"/>
        <v>405300</v>
      </c>
      <c r="F12">
        <f t="shared" si="1"/>
        <v>323.14999999999998</v>
      </c>
      <c r="G12">
        <f t="shared" si="2"/>
        <v>5.1380244045508949E-2</v>
      </c>
      <c r="H12">
        <f t="shared" si="3"/>
        <v>2.4934210526315788E-2</v>
      </c>
      <c r="I12">
        <f t="shared" si="4"/>
        <v>0.02</v>
      </c>
      <c r="J12">
        <f t="shared" si="5"/>
        <v>0.24493421052631578</v>
      </c>
    </row>
    <row r="13" spans="1:10" x14ac:dyDescent="0.25">
      <c r="A13">
        <v>6</v>
      </c>
      <c r="B13">
        <v>50</v>
      </c>
      <c r="C13" t="s">
        <v>10</v>
      </c>
      <c r="D13">
        <v>0.95440000000000003</v>
      </c>
      <c r="E13">
        <f t="shared" si="0"/>
        <v>607950</v>
      </c>
      <c r="F13">
        <f t="shared" si="1"/>
        <v>323.14999999999998</v>
      </c>
      <c r="G13">
        <f t="shared" si="2"/>
        <v>7.7070366068263424E-2</v>
      </c>
      <c r="H13">
        <f t="shared" si="3"/>
        <v>2.3289473684210527E-2</v>
      </c>
      <c r="I13">
        <f t="shared" si="4"/>
        <v>0.02</v>
      </c>
      <c r="J13">
        <f t="shared" si="5"/>
        <v>0.24328947368421053</v>
      </c>
    </row>
    <row r="14" spans="1:10" x14ac:dyDescent="0.25">
      <c r="A14">
        <v>8</v>
      </c>
      <c r="B14">
        <v>50</v>
      </c>
      <c r="C14" t="s">
        <v>10</v>
      </c>
      <c r="D14">
        <v>0.93720000000000003</v>
      </c>
      <c r="E14">
        <f t="shared" si="0"/>
        <v>810600</v>
      </c>
      <c r="F14">
        <f t="shared" si="1"/>
        <v>323.14999999999998</v>
      </c>
      <c r="G14">
        <f t="shared" si="2"/>
        <v>0.1027604880910179</v>
      </c>
      <c r="H14">
        <f t="shared" si="3"/>
        <v>2.2467105263157896E-2</v>
      </c>
      <c r="I14">
        <f t="shared" si="4"/>
        <v>0.02</v>
      </c>
      <c r="J14">
        <f t="shared" si="5"/>
        <v>0.2424671052631579</v>
      </c>
    </row>
    <row r="15" spans="1:10" x14ac:dyDescent="0.25">
      <c r="A15">
        <v>10</v>
      </c>
      <c r="B15">
        <v>50</v>
      </c>
      <c r="C15" t="s">
        <v>10</v>
      </c>
      <c r="D15">
        <v>0.91879999999999995</v>
      </c>
      <c r="E15">
        <f t="shared" si="0"/>
        <v>1013250</v>
      </c>
      <c r="F15">
        <f t="shared" si="1"/>
        <v>323.14999999999998</v>
      </c>
      <c r="G15">
        <f t="shared" si="2"/>
        <v>0.12845061011377237</v>
      </c>
      <c r="H15">
        <f t="shared" si="3"/>
        <v>2.1973684210526315E-2</v>
      </c>
      <c r="I15">
        <f t="shared" si="4"/>
        <v>0.02</v>
      </c>
      <c r="J15">
        <f t="shared" si="5"/>
        <v>0.24197368421052631</v>
      </c>
    </row>
    <row r="16" spans="1:10" x14ac:dyDescent="0.25">
      <c r="A16">
        <v>12</v>
      </c>
      <c r="B16">
        <v>50</v>
      </c>
      <c r="C16" t="s">
        <v>10</v>
      </c>
      <c r="D16">
        <v>0.89929999999999999</v>
      </c>
      <c r="E16">
        <f t="shared" si="0"/>
        <v>1215900</v>
      </c>
      <c r="F16">
        <f t="shared" si="1"/>
        <v>323.14999999999998</v>
      </c>
      <c r="G16">
        <f t="shared" si="2"/>
        <v>0.15414073213652685</v>
      </c>
      <c r="H16">
        <f t="shared" si="3"/>
        <v>2.1644736842105265E-2</v>
      </c>
      <c r="I16">
        <f t="shared" si="4"/>
        <v>0.02</v>
      </c>
      <c r="J16">
        <f t="shared" si="5"/>
        <v>0.24164473684210527</v>
      </c>
    </row>
    <row r="17" spans="1:10" x14ac:dyDescent="0.25">
      <c r="A17">
        <v>14</v>
      </c>
      <c r="B17">
        <v>50</v>
      </c>
      <c r="C17" t="s">
        <v>10</v>
      </c>
      <c r="D17">
        <v>0.87929999999999997</v>
      </c>
      <c r="E17">
        <f t="shared" si="0"/>
        <v>1418550</v>
      </c>
      <c r="F17">
        <f t="shared" si="1"/>
        <v>323.14999999999998</v>
      </c>
      <c r="G17">
        <f t="shared" si="2"/>
        <v>0.17983085415928132</v>
      </c>
      <c r="H17">
        <f t="shared" si="3"/>
        <v>2.1409774436090226E-2</v>
      </c>
      <c r="I17">
        <f t="shared" si="4"/>
        <v>0.02</v>
      </c>
      <c r="J17">
        <f t="shared" si="5"/>
        <v>0.24140977443609021</v>
      </c>
    </row>
    <row r="18" spans="1:10" x14ac:dyDescent="0.25">
      <c r="A18">
        <v>16</v>
      </c>
      <c r="B18">
        <v>50</v>
      </c>
      <c r="C18" t="s">
        <v>10</v>
      </c>
      <c r="D18">
        <v>0.85919999999999996</v>
      </c>
      <c r="E18">
        <f t="shared" si="0"/>
        <v>1621200</v>
      </c>
      <c r="F18">
        <f t="shared" si="1"/>
        <v>323.14999999999998</v>
      </c>
      <c r="G18">
        <f t="shared" si="2"/>
        <v>0.2055209761820358</v>
      </c>
      <c r="H18">
        <f t="shared" si="3"/>
        <v>2.1233552631578948E-2</v>
      </c>
      <c r="I18">
        <f t="shared" si="4"/>
        <v>0.02</v>
      </c>
      <c r="J18">
        <f t="shared" si="5"/>
        <v>0.24123355263157895</v>
      </c>
    </row>
    <row r="19" spans="1:10" x14ac:dyDescent="0.25">
      <c r="A19">
        <v>18</v>
      </c>
      <c r="B19">
        <v>50</v>
      </c>
      <c r="C19" t="s">
        <v>10</v>
      </c>
      <c r="D19">
        <v>0.83850000000000002</v>
      </c>
      <c r="E19">
        <f t="shared" si="0"/>
        <v>1823850</v>
      </c>
      <c r="F19">
        <f t="shared" si="1"/>
        <v>323.14999999999998</v>
      </c>
      <c r="G19">
        <f t="shared" si="2"/>
        <v>0.23121109820479027</v>
      </c>
      <c r="H19">
        <f t="shared" si="3"/>
        <v>2.1096491228070176E-2</v>
      </c>
      <c r="I19">
        <f t="shared" si="4"/>
        <v>0.02</v>
      </c>
      <c r="J19">
        <f t="shared" si="5"/>
        <v>0.24109649122807017</v>
      </c>
    </row>
    <row r="20" spans="1:10" x14ac:dyDescent="0.25">
      <c r="A20">
        <v>19</v>
      </c>
      <c r="B20">
        <v>50</v>
      </c>
      <c r="C20" t="s">
        <v>10</v>
      </c>
      <c r="D20">
        <v>0.82550000000000001</v>
      </c>
      <c r="E20">
        <f t="shared" si="0"/>
        <v>1925175</v>
      </c>
      <c r="F20">
        <f t="shared" si="1"/>
        <v>323.14999999999998</v>
      </c>
      <c r="G20">
        <f t="shared" si="2"/>
        <v>0.24405615921616752</v>
      </c>
      <c r="H20">
        <f t="shared" si="3"/>
        <v>2.1038781163434904E-2</v>
      </c>
      <c r="I20">
        <f t="shared" si="4"/>
        <v>0.02</v>
      </c>
      <c r="J20">
        <f t="shared" si="5"/>
        <v>0.24103878116343491</v>
      </c>
    </row>
    <row r="21" spans="1:10" x14ac:dyDescent="0.25">
      <c r="A21">
        <v>19.5</v>
      </c>
      <c r="B21">
        <v>50</v>
      </c>
      <c r="C21" t="s">
        <v>10</v>
      </c>
      <c r="D21">
        <v>0.81499999999999995</v>
      </c>
      <c r="E21">
        <f t="shared" si="0"/>
        <v>1975837.5</v>
      </c>
      <c r="F21">
        <f t="shared" si="1"/>
        <v>323.14999999999998</v>
      </c>
      <c r="G21">
        <f t="shared" si="2"/>
        <v>0.25047868972185616</v>
      </c>
      <c r="H21">
        <f t="shared" si="3"/>
        <v>2.1012145748987854E-2</v>
      </c>
      <c r="I21">
        <f t="shared" si="4"/>
        <v>0.02</v>
      </c>
      <c r="J21">
        <f t="shared" si="5"/>
        <v>0.24101214574898785</v>
      </c>
    </row>
    <row r="22" spans="1:10" x14ac:dyDescent="0.25">
      <c r="A22">
        <v>19.8</v>
      </c>
      <c r="B22">
        <v>50</v>
      </c>
      <c r="C22" t="s">
        <v>10</v>
      </c>
      <c r="D22">
        <v>0.80269999999999997</v>
      </c>
      <c r="E22">
        <f t="shared" si="0"/>
        <v>2006235</v>
      </c>
      <c r="F22">
        <f t="shared" si="1"/>
        <v>323.14999999999998</v>
      </c>
      <c r="G22">
        <f t="shared" si="2"/>
        <v>0.25433220802526929</v>
      </c>
      <c r="H22">
        <f t="shared" si="3"/>
        <v>2.0996810207336524E-2</v>
      </c>
      <c r="I22">
        <f t="shared" si="4"/>
        <v>0.02</v>
      </c>
      <c r="J22">
        <f t="shared" si="5"/>
        <v>0.24099681020733651</v>
      </c>
    </row>
    <row r="23" spans="1:10" x14ac:dyDescent="0.25">
      <c r="A23">
        <v>5</v>
      </c>
      <c r="B23">
        <v>75</v>
      </c>
      <c r="C23" t="s">
        <v>10</v>
      </c>
      <c r="D23">
        <v>0.97240000000000004</v>
      </c>
      <c r="E23">
        <f t="shared" si="0"/>
        <v>506625</v>
      </c>
      <c r="F23">
        <f t="shared" si="1"/>
        <v>348.15</v>
      </c>
      <c r="G23">
        <f t="shared" si="2"/>
        <v>3.9742270724558895E-2</v>
      </c>
      <c r="H23">
        <f t="shared" si="3"/>
        <v>2.3947368421052634E-2</v>
      </c>
      <c r="I23">
        <f t="shared" si="4"/>
        <v>1.3333333333333334E-2</v>
      </c>
      <c r="J23">
        <f t="shared" si="5"/>
        <v>0.23728070175438598</v>
      </c>
    </row>
    <row r="24" spans="1:10" x14ac:dyDescent="0.25">
      <c r="A24">
        <v>10</v>
      </c>
      <c r="B24">
        <v>75</v>
      </c>
      <c r="C24" t="s">
        <v>10</v>
      </c>
      <c r="D24">
        <v>0.94199999999999995</v>
      </c>
      <c r="E24">
        <f t="shared" si="0"/>
        <v>1013250</v>
      </c>
      <c r="F24">
        <f t="shared" si="1"/>
        <v>348.15</v>
      </c>
      <c r="G24">
        <f t="shared" si="2"/>
        <v>7.948454144911779E-2</v>
      </c>
      <c r="H24">
        <f t="shared" si="3"/>
        <v>2.1973684210526315E-2</v>
      </c>
      <c r="I24">
        <f t="shared" si="4"/>
        <v>1.3333333333333334E-2</v>
      </c>
      <c r="J24">
        <f t="shared" si="5"/>
        <v>0.23530701754385966</v>
      </c>
    </row>
    <row r="25" spans="1:10" x14ac:dyDescent="0.25">
      <c r="A25">
        <v>15</v>
      </c>
      <c r="B25">
        <v>75</v>
      </c>
      <c r="C25" t="s">
        <v>10</v>
      </c>
      <c r="D25">
        <v>0.90890000000000004</v>
      </c>
      <c r="E25">
        <f t="shared" si="0"/>
        <v>1519875</v>
      </c>
      <c r="F25">
        <f t="shared" si="1"/>
        <v>348.15</v>
      </c>
      <c r="G25">
        <f t="shared" si="2"/>
        <v>0.1192268121736767</v>
      </c>
      <c r="H25">
        <f t="shared" si="3"/>
        <v>2.1315789473684212E-2</v>
      </c>
      <c r="I25">
        <f t="shared" si="4"/>
        <v>1.3333333333333334E-2</v>
      </c>
      <c r="J25">
        <f t="shared" si="5"/>
        <v>0.23464912280701755</v>
      </c>
    </row>
    <row r="26" spans="1:10" x14ac:dyDescent="0.25">
      <c r="A26">
        <v>20</v>
      </c>
      <c r="B26">
        <v>75</v>
      </c>
      <c r="C26" t="s">
        <v>10</v>
      </c>
      <c r="D26">
        <v>0.87290000000000001</v>
      </c>
      <c r="E26">
        <f t="shared" si="0"/>
        <v>2026500</v>
      </c>
      <c r="F26">
        <f t="shared" si="1"/>
        <v>348.15</v>
      </c>
      <c r="G26">
        <f t="shared" si="2"/>
        <v>0.15896908289823558</v>
      </c>
      <c r="H26">
        <f t="shared" si="3"/>
        <v>2.0986842105263158E-2</v>
      </c>
      <c r="I26">
        <f t="shared" si="4"/>
        <v>1.3333333333333334E-2</v>
      </c>
      <c r="J26">
        <f t="shared" si="5"/>
        <v>0.23432017543859651</v>
      </c>
    </row>
    <row r="27" spans="1:10" x14ac:dyDescent="0.25">
      <c r="A27">
        <v>25</v>
      </c>
      <c r="B27">
        <v>75</v>
      </c>
      <c r="C27" t="s">
        <v>10</v>
      </c>
      <c r="D27">
        <v>0.83399999999999996</v>
      </c>
      <c r="E27">
        <f t="shared" si="0"/>
        <v>2533125</v>
      </c>
      <c r="F27">
        <f t="shared" si="1"/>
        <v>348.15</v>
      </c>
      <c r="G27">
        <f t="shared" si="2"/>
        <v>0.19871135362279449</v>
      </c>
      <c r="H27">
        <f t="shared" si="3"/>
        <v>2.0789473684210528E-2</v>
      </c>
      <c r="I27">
        <f t="shared" si="4"/>
        <v>1.3333333333333334E-2</v>
      </c>
      <c r="J27">
        <f t="shared" si="5"/>
        <v>0.23412280701754387</v>
      </c>
    </row>
    <row r="28" spans="1:10" x14ac:dyDescent="0.25">
      <c r="A28">
        <v>30</v>
      </c>
      <c r="B28">
        <v>75</v>
      </c>
      <c r="C28" t="s">
        <v>10</v>
      </c>
      <c r="D28">
        <v>0.79249999999999998</v>
      </c>
      <c r="E28">
        <f t="shared" si="0"/>
        <v>3039750</v>
      </c>
      <c r="F28">
        <f t="shared" si="1"/>
        <v>348.15</v>
      </c>
      <c r="G28">
        <f t="shared" si="2"/>
        <v>0.2384536243473534</v>
      </c>
      <c r="H28">
        <f t="shared" si="3"/>
        <v>2.0657894736842108E-2</v>
      </c>
      <c r="I28">
        <f t="shared" si="4"/>
        <v>1.3333333333333334E-2</v>
      </c>
      <c r="J28">
        <f t="shared" si="5"/>
        <v>0.23399122807017544</v>
      </c>
    </row>
    <row r="29" spans="1:10" x14ac:dyDescent="0.25">
      <c r="A29">
        <v>35</v>
      </c>
      <c r="B29">
        <v>75</v>
      </c>
      <c r="C29" t="s">
        <v>10</v>
      </c>
      <c r="D29">
        <v>0.74350000000000005</v>
      </c>
      <c r="E29">
        <f t="shared" si="0"/>
        <v>3546375</v>
      </c>
      <c r="F29">
        <f t="shared" si="1"/>
        <v>348.15</v>
      </c>
      <c r="G29">
        <f t="shared" si="2"/>
        <v>0.27819589507191228</v>
      </c>
      <c r="H29">
        <f t="shared" si="3"/>
        <v>2.056390977443609E-2</v>
      </c>
      <c r="I29">
        <f t="shared" si="4"/>
        <v>1.3333333333333334E-2</v>
      </c>
      <c r="J29">
        <f t="shared" si="5"/>
        <v>0.23389724310776944</v>
      </c>
    </row>
    <row r="30" spans="1:10" x14ac:dyDescent="0.25">
      <c r="A30">
        <v>5</v>
      </c>
      <c r="B30">
        <v>100</v>
      </c>
      <c r="C30" t="s">
        <v>10</v>
      </c>
      <c r="D30">
        <v>0.97870000000000001</v>
      </c>
      <c r="E30">
        <f t="shared" si="0"/>
        <v>506625</v>
      </c>
      <c r="F30">
        <f t="shared" si="1"/>
        <v>373.15</v>
      </c>
      <c r="G30">
        <f t="shared" si="2"/>
        <v>2.7809737812049807E-2</v>
      </c>
      <c r="H30">
        <f t="shared" si="3"/>
        <v>2.3947368421052634E-2</v>
      </c>
      <c r="I30">
        <f t="shared" si="4"/>
        <v>0.01</v>
      </c>
      <c r="J30">
        <f t="shared" si="5"/>
        <v>0.23394736842105265</v>
      </c>
    </row>
    <row r="31" spans="1:10" x14ac:dyDescent="0.25">
      <c r="A31">
        <v>10</v>
      </c>
      <c r="B31">
        <v>100</v>
      </c>
      <c r="C31" t="s">
        <v>10</v>
      </c>
      <c r="D31">
        <v>0.95599999999999996</v>
      </c>
      <c r="E31">
        <f t="shared" si="0"/>
        <v>1013250</v>
      </c>
      <c r="F31">
        <f t="shared" si="1"/>
        <v>373.15</v>
      </c>
      <c r="G31">
        <f t="shared" si="2"/>
        <v>5.5619475624099614E-2</v>
      </c>
      <c r="H31">
        <f t="shared" si="3"/>
        <v>2.1973684210526315E-2</v>
      </c>
      <c r="I31">
        <f t="shared" si="4"/>
        <v>0.01</v>
      </c>
      <c r="J31">
        <f t="shared" si="5"/>
        <v>0.23197368421052633</v>
      </c>
    </row>
    <row r="32" spans="1:10" x14ac:dyDescent="0.25">
      <c r="A32">
        <v>15</v>
      </c>
      <c r="B32">
        <v>100</v>
      </c>
      <c r="C32" t="s">
        <v>10</v>
      </c>
      <c r="D32">
        <v>0.93179999999999996</v>
      </c>
      <c r="E32">
        <f t="shared" si="0"/>
        <v>1519875</v>
      </c>
      <c r="F32">
        <f t="shared" si="1"/>
        <v>373.15</v>
      </c>
      <c r="G32">
        <f t="shared" si="2"/>
        <v>8.3429213436149424E-2</v>
      </c>
      <c r="H32">
        <f t="shared" si="3"/>
        <v>2.1315789473684212E-2</v>
      </c>
      <c r="I32">
        <f t="shared" si="4"/>
        <v>0.01</v>
      </c>
      <c r="J32">
        <f t="shared" si="5"/>
        <v>0.23131578947368422</v>
      </c>
    </row>
    <row r="33" spans="1:10" x14ac:dyDescent="0.25">
      <c r="A33">
        <v>20</v>
      </c>
      <c r="B33">
        <v>100</v>
      </c>
      <c r="C33" t="s">
        <v>10</v>
      </c>
      <c r="D33">
        <v>0.90610000000000002</v>
      </c>
      <c r="E33">
        <f t="shared" si="0"/>
        <v>2026500</v>
      </c>
      <c r="F33">
        <f t="shared" si="1"/>
        <v>373.15</v>
      </c>
      <c r="G33">
        <f t="shared" si="2"/>
        <v>0.11123895124819923</v>
      </c>
      <c r="H33">
        <f t="shared" si="3"/>
        <v>2.0986842105263158E-2</v>
      </c>
      <c r="I33">
        <f t="shared" si="4"/>
        <v>0.01</v>
      </c>
      <c r="J33">
        <f t="shared" si="5"/>
        <v>0.23098684210526318</v>
      </c>
    </row>
    <row r="34" spans="1:10" x14ac:dyDescent="0.25">
      <c r="A34">
        <v>25</v>
      </c>
      <c r="B34">
        <v>100</v>
      </c>
      <c r="C34" t="s">
        <v>10</v>
      </c>
      <c r="D34">
        <v>0.87880000000000003</v>
      </c>
      <c r="E34">
        <f t="shared" si="0"/>
        <v>2533125</v>
      </c>
      <c r="F34">
        <f t="shared" si="1"/>
        <v>373.15</v>
      </c>
      <c r="G34">
        <f t="shared" si="2"/>
        <v>0.13904868906024903</v>
      </c>
      <c r="H34">
        <f t="shared" si="3"/>
        <v>2.0789473684210528E-2</v>
      </c>
      <c r="I34">
        <f t="shared" si="4"/>
        <v>0.01</v>
      </c>
      <c r="J34">
        <f t="shared" si="5"/>
        <v>0.23078947368421054</v>
      </c>
    </row>
    <row r="35" spans="1:10" x14ac:dyDescent="0.25">
      <c r="A35">
        <v>30</v>
      </c>
      <c r="B35">
        <v>100</v>
      </c>
      <c r="C35" t="s">
        <v>10</v>
      </c>
      <c r="D35">
        <v>0.85019999999999996</v>
      </c>
      <c r="E35">
        <f t="shared" si="0"/>
        <v>3039750</v>
      </c>
      <c r="F35">
        <f t="shared" si="1"/>
        <v>373.15</v>
      </c>
      <c r="G35">
        <f t="shared" si="2"/>
        <v>0.16685842687229885</v>
      </c>
      <c r="H35">
        <f t="shared" si="3"/>
        <v>2.0657894736842108E-2</v>
      </c>
      <c r="I35">
        <f t="shared" si="4"/>
        <v>0.01</v>
      </c>
      <c r="J35">
        <f t="shared" si="5"/>
        <v>0.23065789473684212</v>
      </c>
    </row>
    <row r="36" spans="1:10" x14ac:dyDescent="0.25">
      <c r="A36">
        <v>35</v>
      </c>
      <c r="B36">
        <v>100</v>
      </c>
      <c r="C36" t="s">
        <v>10</v>
      </c>
      <c r="D36">
        <v>0.81989999999999996</v>
      </c>
      <c r="E36">
        <f t="shared" si="0"/>
        <v>3546375</v>
      </c>
      <c r="F36">
        <f t="shared" si="1"/>
        <v>373.15</v>
      </c>
      <c r="G36">
        <f t="shared" si="2"/>
        <v>0.19466816468434867</v>
      </c>
      <c r="H36">
        <f t="shared" si="3"/>
        <v>2.056390977443609E-2</v>
      </c>
      <c r="I36">
        <f t="shared" si="4"/>
        <v>0.01</v>
      </c>
      <c r="J36">
        <f t="shared" si="5"/>
        <v>0.23056390977443611</v>
      </c>
    </row>
    <row r="37" spans="1:10" x14ac:dyDescent="0.25">
      <c r="A37">
        <v>40</v>
      </c>
      <c r="B37">
        <v>100</v>
      </c>
      <c r="C37" t="s">
        <v>10</v>
      </c>
      <c r="D37">
        <v>0.78820000000000001</v>
      </c>
      <c r="E37">
        <f t="shared" si="0"/>
        <v>4053000</v>
      </c>
      <c r="F37">
        <f t="shared" si="1"/>
        <v>373.15</v>
      </c>
      <c r="G37">
        <f t="shared" si="2"/>
        <v>0.22247790249639846</v>
      </c>
      <c r="H37">
        <f t="shared" si="3"/>
        <v>2.0493421052631581E-2</v>
      </c>
      <c r="I37">
        <f t="shared" si="4"/>
        <v>0.01</v>
      </c>
      <c r="J37">
        <f t="shared" si="5"/>
        <v>0.2304934210526316</v>
      </c>
    </row>
    <row r="38" spans="1:10" x14ac:dyDescent="0.25">
      <c r="A38">
        <v>45</v>
      </c>
      <c r="B38">
        <v>100</v>
      </c>
      <c r="C38" t="s">
        <v>10</v>
      </c>
      <c r="D38">
        <v>0.754</v>
      </c>
      <c r="E38">
        <f t="shared" si="0"/>
        <v>4559625</v>
      </c>
      <c r="F38">
        <f t="shared" si="1"/>
        <v>373.15</v>
      </c>
      <c r="G38">
        <f t="shared" si="2"/>
        <v>0.25028764030844824</v>
      </c>
      <c r="H38">
        <f t="shared" si="3"/>
        <v>2.0438596491228068E-2</v>
      </c>
      <c r="I38">
        <f t="shared" si="4"/>
        <v>0.01</v>
      </c>
      <c r="J38">
        <f t="shared" si="5"/>
        <v>0.23043859649122808</v>
      </c>
    </row>
    <row r="39" spans="1:10" x14ac:dyDescent="0.25">
      <c r="A39">
        <v>50</v>
      </c>
      <c r="B39">
        <v>100</v>
      </c>
      <c r="C39" t="s">
        <v>10</v>
      </c>
      <c r="D39">
        <v>0.71740000000000004</v>
      </c>
      <c r="E39">
        <f t="shared" si="0"/>
        <v>5066250</v>
      </c>
      <c r="F39">
        <f t="shared" si="1"/>
        <v>373.15</v>
      </c>
      <c r="G39">
        <f t="shared" si="2"/>
        <v>0.27809737812049806</v>
      </c>
      <c r="H39">
        <f t="shared" si="3"/>
        <v>2.0394736842105264E-2</v>
      </c>
      <c r="I39">
        <f t="shared" si="4"/>
        <v>0.01</v>
      </c>
      <c r="J39">
        <f t="shared" si="5"/>
        <v>0.23039473684210529</v>
      </c>
    </row>
    <row r="40" spans="1:10" x14ac:dyDescent="0.25">
      <c r="A40">
        <v>55</v>
      </c>
      <c r="B40">
        <v>100</v>
      </c>
      <c r="C40" t="s">
        <v>10</v>
      </c>
      <c r="D40">
        <v>0.6764</v>
      </c>
      <c r="E40">
        <f t="shared" si="0"/>
        <v>5572875</v>
      </c>
      <c r="F40">
        <f t="shared" si="1"/>
        <v>373.15</v>
      </c>
      <c r="G40">
        <f t="shared" si="2"/>
        <v>0.30590711593254788</v>
      </c>
      <c r="H40">
        <f t="shared" si="3"/>
        <v>2.0358851674641149E-2</v>
      </c>
      <c r="I40">
        <f t="shared" si="4"/>
        <v>0.01</v>
      </c>
      <c r="J40">
        <f t="shared" si="5"/>
        <v>0.23035885167464118</v>
      </c>
    </row>
    <row r="41" spans="1:10" x14ac:dyDescent="0.25">
      <c r="A41">
        <v>60</v>
      </c>
      <c r="B41">
        <v>100</v>
      </c>
      <c r="C41" t="s">
        <v>10</v>
      </c>
      <c r="D41">
        <v>0.629</v>
      </c>
      <c r="E41">
        <f t="shared" si="0"/>
        <v>6079500</v>
      </c>
      <c r="F41">
        <f t="shared" si="1"/>
        <v>373.15</v>
      </c>
      <c r="G41">
        <f t="shared" si="2"/>
        <v>0.3337168537445977</v>
      </c>
      <c r="H41">
        <f t="shared" si="3"/>
        <v>2.0328947368421054E-2</v>
      </c>
      <c r="I41">
        <f t="shared" si="4"/>
        <v>0.01</v>
      </c>
      <c r="J41">
        <f t="shared" si="5"/>
        <v>0.23032894736842108</v>
      </c>
    </row>
    <row r="42" spans="1:10" x14ac:dyDescent="0.25">
      <c r="A42">
        <v>5</v>
      </c>
      <c r="B42">
        <v>125</v>
      </c>
      <c r="C42" t="s">
        <v>10</v>
      </c>
      <c r="D42">
        <v>0.98340000000000005</v>
      </c>
      <c r="E42">
        <f t="shared" si="0"/>
        <v>506625</v>
      </c>
      <c r="F42">
        <f t="shared" si="1"/>
        <v>398.15</v>
      </c>
      <c r="G42">
        <f t="shared" si="2"/>
        <v>2.0850842475582342E-2</v>
      </c>
      <c r="H42">
        <f t="shared" si="3"/>
        <v>2.3947368421052634E-2</v>
      </c>
      <c r="I42">
        <f t="shared" si="4"/>
        <v>8.0000000000000002E-3</v>
      </c>
      <c r="J42">
        <f t="shared" si="5"/>
        <v>0.23194736842105265</v>
      </c>
    </row>
    <row r="43" spans="1:10" x14ac:dyDescent="0.25">
      <c r="A43">
        <v>10</v>
      </c>
      <c r="B43">
        <v>125</v>
      </c>
      <c r="C43" t="s">
        <v>10</v>
      </c>
      <c r="D43">
        <v>0.96599999999999997</v>
      </c>
      <c r="E43">
        <f t="shared" si="0"/>
        <v>1013250</v>
      </c>
      <c r="F43">
        <f t="shared" si="1"/>
        <v>398.15</v>
      </c>
      <c r="G43">
        <f t="shared" si="2"/>
        <v>4.1701684951164684E-2</v>
      </c>
      <c r="H43">
        <f t="shared" si="3"/>
        <v>2.1973684210526315E-2</v>
      </c>
      <c r="I43">
        <f t="shared" si="4"/>
        <v>8.0000000000000002E-3</v>
      </c>
      <c r="J43">
        <f t="shared" si="5"/>
        <v>0.22997368421052633</v>
      </c>
    </row>
    <row r="44" spans="1:10" x14ac:dyDescent="0.25">
      <c r="A44">
        <v>15</v>
      </c>
      <c r="B44">
        <v>125</v>
      </c>
      <c r="C44" t="s">
        <v>10</v>
      </c>
      <c r="D44">
        <v>0.94769999999999999</v>
      </c>
      <c r="E44">
        <f t="shared" si="0"/>
        <v>1519875</v>
      </c>
      <c r="F44">
        <f t="shared" si="1"/>
        <v>398.15</v>
      </c>
      <c r="G44">
        <f t="shared" si="2"/>
        <v>6.2552527426747023E-2</v>
      </c>
      <c r="H44">
        <f t="shared" si="3"/>
        <v>2.1315789473684212E-2</v>
      </c>
      <c r="I44">
        <f t="shared" si="4"/>
        <v>8.0000000000000002E-3</v>
      </c>
      <c r="J44">
        <f t="shared" si="5"/>
        <v>0.22931578947368422</v>
      </c>
    </row>
    <row r="45" spans="1:10" x14ac:dyDescent="0.25">
      <c r="A45">
        <v>20</v>
      </c>
      <c r="B45">
        <v>125</v>
      </c>
      <c r="C45" t="s">
        <v>10</v>
      </c>
      <c r="D45">
        <v>0.92859999999999998</v>
      </c>
      <c r="E45">
        <f t="shared" si="0"/>
        <v>2026500</v>
      </c>
      <c r="F45">
        <f t="shared" si="1"/>
        <v>398.15</v>
      </c>
      <c r="G45">
        <f t="shared" si="2"/>
        <v>8.3403369902329369E-2</v>
      </c>
      <c r="H45">
        <f t="shared" si="3"/>
        <v>2.0986842105263158E-2</v>
      </c>
      <c r="I45">
        <f t="shared" si="4"/>
        <v>8.0000000000000002E-3</v>
      </c>
      <c r="J45">
        <f t="shared" si="5"/>
        <v>0.22898684210526318</v>
      </c>
    </row>
    <row r="46" spans="1:10" x14ac:dyDescent="0.25">
      <c r="A46">
        <v>25</v>
      </c>
      <c r="B46">
        <v>125</v>
      </c>
      <c r="C46" t="s">
        <v>10</v>
      </c>
      <c r="D46">
        <v>0.90859999999999996</v>
      </c>
      <c r="E46">
        <f t="shared" si="0"/>
        <v>2533125</v>
      </c>
      <c r="F46">
        <f t="shared" si="1"/>
        <v>398.15</v>
      </c>
      <c r="G46">
        <f t="shared" si="2"/>
        <v>0.1042542123779117</v>
      </c>
      <c r="H46">
        <f t="shared" si="3"/>
        <v>2.0789473684210528E-2</v>
      </c>
      <c r="I46">
        <f t="shared" si="4"/>
        <v>8.0000000000000002E-3</v>
      </c>
      <c r="J46">
        <f t="shared" si="5"/>
        <v>0.22878947368421054</v>
      </c>
    </row>
    <row r="47" spans="1:10" x14ac:dyDescent="0.25">
      <c r="A47">
        <v>30</v>
      </c>
      <c r="B47">
        <v>125</v>
      </c>
      <c r="C47" t="s">
        <v>10</v>
      </c>
      <c r="D47">
        <v>0.88780000000000003</v>
      </c>
      <c r="E47">
        <f t="shared" si="0"/>
        <v>3039750</v>
      </c>
      <c r="F47">
        <f t="shared" si="1"/>
        <v>398.15</v>
      </c>
      <c r="G47">
        <f t="shared" si="2"/>
        <v>0.12510505485349405</v>
      </c>
      <c r="H47">
        <f t="shared" si="3"/>
        <v>2.0657894736842108E-2</v>
      </c>
      <c r="I47">
        <f t="shared" si="4"/>
        <v>8.0000000000000002E-3</v>
      </c>
      <c r="J47">
        <f t="shared" si="5"/>
        <v>0.22865789473684212</v>
      </c>
    </row>
    <row r="48" spans="1:10" x14ac:dyDescent="0.25">
      <c r="A48">
        <v>35</v>
      </c>
      <c r="B48">
        <v>125</v>
      </c>
      <c r="C48" t="s">
        <v>10</v>
      </c>
      <c r="D48">
        <v>0.86619999999999997</v>
      </c>
      <c r="E48">
        <f t="shared" si="0"/>
        <v>3546375</v>
      </c>
      <c r="F48">
        <f t="shared" si="1"/>
        <v>398.15</v>
      </c>
      <c r="G48">
        <f t="shared" si="2"/>
        <v>0.14595589732907638</v>
      </c>
      <c r="H48">
        <f t="shared" si="3"/>
        <v>2.056390977443609E-2</v>
      </c>
      <c r="I48">
        <f t="shared" si="4"/>
        <v>8.0000000000000002E-3</v>
      </c>
      <c r="J48">
        <f t="shared" si="5"/>
        <v>0.22856390977443611</v>
      </c>
    </row>
    <row r="49" spans="1:10" x14ac:dyDescent="0.25">
      <c r="A49">
        <v>40</v>
      </c>
      <c r="B49">
        <v>125</v>
      </c>
      <c r="C49" t="s">
        <v>10</v>
      </c>
      <c r="D49">
        <v>0.84370000000000001</v>
      </c>
      <c r="E49">
        <f t="shared" si="0"/>
        <v>4053000</v>
      </c>
      <c r="F49">
        <f t="shared" si="1"/>
        <v>398.15</v>
      </c>
      <c r="G49">
        <f t="shared" si="2"/>
        <v>0.16680673980465874</v>
      </c>
      <c r="H49">
        <f t="shared" si="3"/>
        <v>2.0493421052631581E-2</v>
      </c>
      <c r="I49">
        <f t="shared" si="4"/>
        <v>8.0000000000000002E-3</v>
      </c>
      <c r="J49">
        <f t="shared" si="5"/>
        <v>0.2284934210526316</v>
      </c>
    </row>
    <row r="50" spans="1:10" x14ac:dyDescent="0.25">
      <c r="A50">
        <v>45</v>
      </c>
      <c r="B50">
        <v>125</v>
      </c>
      <c r="C50" t="s">
        <v>10</v>
      </c>
      <c r="D50">
        <v>0.82040000000000002</v>
      </c>
      <c r="E50">
        <f t="shared" si="0"/>
        <v>4559625</v>
      </c>
      <c r="F50">
        <f t="shared" si="1"/>
        <v>398.15</v>
      </c>
      <c r="G50">
        <f t="shared" si="2"/>
        <v>0.18765758228024107</v>
      </c>
      <c r="H50">
        <f t="shared" si="3"/>
        <v>2.0438596491228068E-2</v>
      </c>
      <c r="I50">
        <f t="shared" si="4"/>
        <v>8.0000000000000002E-3</v>
      </c>
      <c r="J50">
        <f t="shared" si="5"/>
        <v>0.22843859649122808</v>
      </c>
    </row>
    <row r="51" spans="1:10" x14ac:dyDescent="0.25">
      <c r="A51">
        <v>50</v>
      </c>
      <c r="B51">
        <v>125</v>
      </c>
      <c r="C51" t="s">
        <v>10</v>
      </c>
      <c r="D51">
        <v>0.79620000000000002</v>
      </c>
      <c r="E51">
        <f t="shared" si="0"/>
        <v>5066250</v>
      </c>
      <c r="F51">
        <f t="shared" si="1"/>
        <v>398.15</v>
      </c>
      <c r="G51">
        <f t="shared" si="2"/>
        <v>0.2085084247558234</v>
      </c>
      <c r="H51">
        <f t="shared" si="3"/>
        <v>2.0394736842105264E-2</v>
      </c>
      <c r="I51">
        <f t="shared" si="4"/>
        <v>8.0000000000000002E-3</v>
      </c>
      <c r="J51">
        <f t="shared" si="5"/>
        <v>0.22839473684210529</v>
      </c>
    </row>
    <row r="52" spans="1:10" x14ac:dyDescent="0.25">
      <c r="A52">
        <v>55</v>
      </c>
      <c r="B52">
        <v>125</v>
      </c>
      <c r="C52" t="s">
        <v>10</v>
      </c>
      <c r="D52">
        <v>0.7712</v>
      </c>
      <c r="E52">
        <f t="shared" si="0"/>
        <v>5572875</v>
      </c>
      <c r="F52">
        <f t="shared" si="1"/>
        <v>398.15</v>
      </c>
      <c r="G52">
        <f t="shared" si="2"/>
        <v>0.22935926723140573</v>
      </c>
      <c r="H52">
        <f t="shared" si="3"/>
        <v>2.0358851674641149E-2</v>
      </c>
      <c r="I52">
        <f t="shared" si="4"/>
        <v>8.0000000000000002E-3</v>
      </c>
      <c r="J52">
        <f t="shared" si="5"/>
        <v>0.22835885167464118</v>
      </c>
    </row>
    <row r="53" spans="1:10" x14ac:dyDescent="0.25">
      <c r="A53">
        <v>60</v>
      </c>
      <c r="B53">
        <v>125</v>
      </c>
      <c r="C53" t="s">
        <v>10</v>
      </c>
      <c r="D53">
        <v>0.74460000000000004</v>
      </c>
      <c r="E53">
        <f t="shared" si="0"/>
        <v>6079500</v>
      </c>
      <c r="F53">
        <f t="shared" si="1"/>
        <v>398.15</v>
      </c>
      <c r="G53">
        <f t="shared" si="2"/>
        <v>0.25021010970698809</v>
      </c>
      <c r="H53">
        <f t="shared" si="3"/>
        <v>2.0328947368421054E-2</v>
      </c>
      <c r="I53">
        <f t="shared" si="4"/>
        <v>8.0000000000000002E-3</v>
      </c>
      <c r="J53">
        <f t="shared" si="5"/>
        <v>0.22832894736842108</v>
      </c>
    </row>
    <row r="54" spans="1:10" x14ac:dyDescent="0.25">
      <c r="A54">
        <v>65</v>
      </c>
      <c r="B54">
        <v>125</v>
      </c>
      <c r="C54" t="s">
        <v>10</v>
      </c>
      <c r="D54">
        <v>0.71699999999999997</v>
      </c>
      <c r="E54">
        <f t="shared" si="0"/>
        <v>6586125</v>
      </c>
      <c r="F54">
        <f t="shared" si="1"/>
        <v>398.15</v>
      </c>
      <c r="G54">
        <f t="shared" si="2"/>
        <v>0.27106095218257042</v>
      </c>
      <c r="H54">
        <f t="shared" si="3"/>
        <v>2.0303643724696358E-2</v>
      </c>
      <c r="I54">
        <f t="shared" si="4"/>
        <v>8.0000000000000002E-3</v>
      </c>
      <c r="J54">
        <f t="shared" si="5"/>
        <v>0.22830364372469639</v>
      </c>
    </row>
    <row r="55" spans="1:10" x14ac:dyDescent="0.25">
      <c r="A55">
        <v>70</v>
      </c>
      <c r="B55">
        <v>125</v>
      </c>
      <c r="C55" t="s">
        <v>10</v>
      </c>
      <c r="D55">
        <v>0.68730000000000002</v>
      </c>
      <c r="E55">
        <f t="shared" si="0"/>
        <v>7092750</v>
      </c>
      <c r="F55">
        <f t="shared" si="1"/>
        <v>398.15</v>
      </c>
      <c r="G55">
        <f t="shared" si="2"/>
        <v>0.29191179465815276</v>
      </c>
      <c r="H55">
        <f t="shared" si="3"/>
        <v>2.0281954887218043E-2</v>
      </c>
      <c r="I55">
        <f t="shared" si="4"/>
        <v>8.0000000000000002E-3</v>
      </c>
      <c r="J55">
        <f t="shared" si="5"/>
        <v>0.22828195488721806</v>
      </c>
    </row>
    <row r="56" spans="1:10" x14ac:dyDescent="0.25">
      <c r="A56">
        <v>75</v>
      </c>
      <c r="B56">
        <v>125</v>
      </c>
      <c r="C56" t="s">
        <v>10</v>
      </c>
      <c r="D56">
        <v>0.65559999999999996</v>
      </c>
      <c r="E56">
        <f t="shared" si="0"/>
        <v>7599375</v>
      </c>
      <c r="F56">
        <f t="shared" si="1"/>
        <v>398.15</v>
      </c>
      <c r="G56">
        <f t="shared" si="2"/>
        <v>0.31276263713373509</v>
      </c>
      <c r="H56">
        <f t="shared" si="3"/>
        <v>2.0263157894736844E-2</v>
      </c>
      <c r="I56">
        <f t="shared" si="4"/>
        <v>8.0000000000000002E-3</v>
      </c>
      <c r="J56">
        <f t="shared" si="5"/>
        <v>0.22826315789473686</v>
      </c>
    </row>
    <row r="57" spans="1:10" x14ac:dyDescent="0.25">
      <c r="A57">
        <v>80</v>
      </c>
      <c r="B57">
        <v>125</v>
      </c>
      <c r="C57" t="s">
        <v>10</v>
      </c>
      <c r="D57">
        <v>0.62050000000000005</v>
      </c>
      <c r="E57">
        <f t="shared" si="0"/>
        <v>8106000</v>
      </c>
      <c r="F57">
        <f t="shared" si="1"/>
        <v>398.15</v>
      </c>
      <c r="G57">
        <f t="shared" si="2"/>
        <v>0.33361347960931748</v>
      </c>
      <c r="H57">
        <f t="shared" si="3"/>
        <v>2.0246710526315791E-2</v>
      </c>
      <c r="I57">
        <f t="shared" si="4"/>
        <v>8.0000000000000002E-3</v>
      </c>
      <c r="J57">
        <f t="shared" si="5"/>
        <v>0.22824671052631582</v>
      </c>
    </row>
    <row r="58" spans="1:10" x14ac:dyDescent="0.25">
      <c r="A58">
        <v>85</v>
      </c>
      <c r="B58">
        <v>125</v>
      </c>
      <c r="C58" t="s">
        <v>10</v>
      </c>
      <c r="D58">
        <v>0.58130000000000004</v>
      </c>
      <c r="E58">
        <f t="shared" si="0"/>
        <v>8612625</v>
      </c>
      <c r="F58">
        <f t="shared" si="1"/>
        <v>398.15</v>
      </c>
      <c r="G58">
        <f t="shared" si="2"/>
        <v>0.35446432208489981</v>
      </c>
      <c r="H58">
        <f t="shared" si="3"/>
        <v>2.0232198142414861E-2</v>
      </c>
      <c r="I58">
        <f t="shared" si="4"/>
        <v>8.0000000000000002E-3</v>
      </c>
      <c r="J58">
        <f t="shared" si="5"/>
        <v>0.22823219814241488</v>
      </c>
    </row>
    <row r="59" spans="1:10" x14ac:dyDescent="0.25">
      <c r="A59">
        <v>90</v>
      </c>
      <c r="B59">
        <v>125</v>
      </c>
      <c r="C59" t="s">
        <v>10</v>
      </c>
      <c r="D59">
        <v>0.53500000000000003</v>
      </c>
      <c r="E59">
        <f t="shared" si="0"/>
        <v>9119250</v>
      </c>
      <c r="F59">
        <f t="shared" si="1"/>
        <v>398.15</v>
      </c>
      <c r="G59">
        <f t="shared" si="2"/>
        <v>0.37531516456048214</v>
      </c>
      <c r="H59">
        <f t="shared" si="3"/>
        <v>2.0219298245614036E-2</v>
      </c>
      <c r="I59">
        <f t="shared" si="4"/>
        <v>8.0000000000000002E-3</v>
      </c>
      <c r="J59">
        <f t="shared" si="5"/>
        <v>0.22821929824561404</v>
      </c>
    </row>
    <row r="60" spans="1:10" x14ac:dyDescent="0.25">
      <c r="A60">
        <v>95</v>
      </c>
      <c r="B60">
        <v>125</v>
      </c>
      <c r="C60" t="s">
        <v>10</v>
      </c>
      <c r="D60">
        <v>0.47199999999999998</v>
      </c>
      <c r="E60">
        <f t="shared" si="0"/>
        <v>9625875</v>
      </c>
      <c r="F60">
        <f t="shared" si="1"/>
        <v>398.15</v>
      </c>
      <c r="G60">
        <f t="shared" si="2"/>
        <v>0.39616600703606447</v>
      </c>
      <c r="H60">
        <f t="shared" si="3"/>
        <v>2.0207756232686981E-2</v>
      </c>
      <c r="I60">
        <f t="shared" si="4"/>
        <v>8.0000000000000002E-3</v>
      </c>
      <c r="J60">
        <f t="shared" si="5"/>
        <v>0.22820775623268699</v>
      </c>
    </row>
    <row r="61" spans="1:10" x14ac:dyDescent="0.25">
      <c r="A61" t="s">
        <v>10</v>
      </c>
      <c r="B61">
        <v>25</v>
      </c>
      <c r="C61">
        <v>0.2</v>
      </c>
      <c r="D61">
        <v>0.94769999999999999</v>
      </c>
      <c r="E61">
        <f>G61*D61*488.209556616782*F61</f>
        <v>469861.51539083658</v>
      </c>
      <c r="F61">
        <f t="shared" si="1"/>
        <v>298.14999999999998</v>
      </c>
      <c r="G61">
        <f>C61*0.01703052*1000</f>
        <v>3.406104</v>
      </c>
      <c r="H61">
        <f>0.02+(0.1/760*101325)/E61*100 + (0.05/760*101325)/E61*100</f>
        <v>2.4256223293053276E-2</v>
      </c>
      <c r="I61">
        <f t="shared" si="4"/>
        <v>0.04</v>
      </c>
      <c r="J61">
        <f t="shared" si="5"/>
        <v>0.26425622329305326</v>
      </c>
    </row>
    <row r="62" spans="1:10" x14ac:dyDescent="0.25">
      <c r="A62" t="s">
        <v>10</v>
      </c>
      <c r="B62">
        <v>25</v>
      </c>
      <c r="C62">
        <v>0.4</v>
      </c>
      <c r="D62">
        <v>0.89259999999999995</v>
      </c>
      <c r="E62">
        <f t="shared" ref="E62:E111" si="6">G62*D62*488.209556616782*F62</f>
        <v>885086.81784923642</v>
      </c>
      <c r="F62">
        <f t="shared" si="1"/>
        <v>298.14999999999998</v>
      </c>
      <c r="G62">
        <f t="shared" ref="G62:G111" si="7">C62*0.01703052*1000</f>
        <v>6.812208</v>
      </c>
      <c r="H62">
        <f t="shared" ref="H62:H111" si="8">0.02+(0.1/760*101325)/E62*100 + (0.05/760*101325)/E62*100</f>
        <v>2.2259479506400733E-2</v>
      </c>
      <c r="I62">
        <f t="shared" si="4"/>
        <v>0.04</v>
      </c>
      <c r="J62">
        <f t="shared" si="5"/>
        <v>0.26225947950640072</v>
      </c>
    </row>
    <row r="63" spans="1:10" x14ac:dyDescent="0.25">
      <c r="A63" t="s">
        <v>10</v>
      </c>
      <c r="B63">
        <v>25</v>
      </c>
      <c r="C63">
        <v>0.45</v>
      </c>
      <c r="D63">
        <v>0.87150000000000005</v>
      </c>
      <c r="E63">
        <f t="shared" si="6"/>
        <v>972184.97308431647</v>
      </c>
      <c r="F63">
        <f t="shared" si="1"/>
        <v>298.14999999999998</v>
      </c>
      <c r="G63">
        <f t="shared" si="7"/>
        <v>7.6637339999999998</v>
      </c>
      <c r="H63">
        <f t="shared" si="8"/>
        <v>2.205705249688358E-2</v>
      </c>
      <c r="I63">
        <f t="shared" si="4"/>
        <v>0.04</v>
      </c>
      <c r="J63">
        <f t="shared" si="5"/>
        <v>0.2620570524968836</v>
      </c>
    </row>
    <row r="64" spans="1:10" x14ac:dyDescent="0.25">
      <c r="A64" t="s">
        <v>10</v>
      </c>
      <c r="B64">
        <v>25</v>
      </c>
      <c r="C64">
        <v>0.5</v>
      </c>
      <c r="D64">
        <v>0.81299999999999994</v>
      </c>
      <c r="E64">
        <f t="shared" si="6"/>
        <v>1007696.0325333704</v>
      </c>
      <c r="F64">
        <f t="shared" si="1"/>
        <v>298.14999999999998</v>
      </c>
      <c r="G64">
        <f t="shared" si="7"/>
        <v>8.5152599999999996</v>
      </c>
      <c r="H64">
        <f t="shared" si="8"/>
        <v>2.1984562270517389E-2</v>
      </c>
      <c r="I64">
        <f t="shared" si="4"/>
        <v>0.04</v>
      </c>
      <c r="J64">
        <f t="shared" si="5"/>
        <v>0.26198456227051742</v>
      </c>
    </row>
    <row r="65" spans="1:10" x14ac:dyDescent="0.25">
      <c r="A65" t="s">
        <v>10</v>
      </c>
      <c r="B65">
        <v>50</v>
      </c>
      <c r="C65">
        <v>0.2</v>
      </c>
      <c r="D65">
        <v>0.95950000000000002</v>
      </c>
      <c r="E65">
        <f t="shared" si="6"/>
        <v>515600.48839128838</v>
      </c>
      <c r="F65">
        <f t="shared" si="1"/>
        <v>323.14999999999998</v>
      </c>
      <c r="G65">
        <f t="shared" si="7"/>
        <v>3.406104</v>
      </c>
      <c r="H65">
        <f t="shared" si="8"/>
        <v>2.3878653281643358E-2</v>
      </c>
      <c r="I65">
        <f t="shared" si="4"/>
        <v>0.02</v>
      </c>
      <c r="J65">
        <f t="shared" si="5"/>
        <v>0.24387865328164335</v>
      </c>
    </row>
    <row r="66" spans="1:10" x14ac:dyDescent="0.25">
      <c r="A66" t="s">
        <v>10</v>
      </c>
      <c r="B66">
        <v>50</v>
      </c>
      <c r="C66">
        <v>0.4</v>
      </c>
      <c r="D66">
        <v>0.91949999999999998</v>
      </c>
      <c r="E66">
        <f t="shared" si="6"/>
        <v>988211.87926167715</v>
      </c>
      <c r="F66">
        <f t="shared" si="1"/>
        <v>323.14999999999998</v>
      </c>
      <c r="G66">
        <f t="shared" si="7"/>
        <v>6.812208</v>
      </c>
      <c r="H66">
        <f t="shared" si="8"/>
        <v>2.2023691040639917E-2</v>
      </c>
      <c r="I66">
        <f t="shared" si="4"/>
        <v>0.02</v>
      </c>
      <c r="J66">
        <f t="shared" si="5"/>
        <v>0.24202369104063992</v>
      </c>
    </row>
    <row r="67" spans="1:10" x14ac:dyDescent="0.25">
      <c r="A67" t="s">
        <v>10</v>
      </c>
      <c r="B67">
        <v>50</v>
      </c>
      <c r="C67">
        <v>0.5</v>
      </c>
      <c r="D67">
        <v>0.8992</v>
      </c>
      <c r="E67">
        <f t="shared" si="6"/>
        <v>1207993.6403372758</v>
      </c>
      <c r="F67">
        <f t="shared" ref="F67:F111" si="9">B67+273.15</f>
        <v>323.14999999999998</v>
      </c>
      <c r="G67">
        <f t="shared" si="7"/>
        <v>8.5152599999999996</v>
      </c>
      <c r="H67">
        <f t="shared" si="8"/>
        <v>2.1655501700950534E-2</v>
      </c>
      <c r="I67">
        <f t="shared" ref="I67:I111" si="10">0.01/B67*100</f>
        <v>0.02</v>
      </c>
      <c r="J67">
        <f t="shared" ref="J67:J111" si="11">0.2+H67+I67</f>
        <v>0.24165550170095054</v>
      </c>
    </row>
    <row r="68" spans="1:10" x14ac:dyDescent="0.25">
      <c r="A68" t="s">
        <v>10</v>
      </c>
      <c r="B68">
        <v>50</v>
      </c>
      <c r="C68">
        <v>0.6</v>
      </c>
      <c r="D68">
        <v>0.87980000000000003</v>
      </c>
      <c r="E68">
        <f t="shared" si="6"/>
        <v>1418317.7999582768</v>
      </c>
      <c r="F68">
        <f t="shared" si="9"/>
        <v>323.14999999999998</v>
      </c>
      <c r="G68">
        <f t="shared" si="7"/>
        <v>10.218312000000001</v>
      </c>
      <c r="H68">
        <f t="shared" si="8"/>
        <v>2.1410005237454271E-2</v>
      </c>
      <c r="I68">
        <f t="shared" si="10"/>
        <v>0.02</v>
      </c>
      <c r="J68">
        <f t="shared" si="11"/>
        <v>0.24141000523745426</v>
      </c>
    </row>
    <row r="69" spans="1:10" x14ac:dyDescent="0.25">
      <c r="A69" t="s">
        <v>10</v>
      </c>
      <c r="B69">
        <v>50</v>
      </c>
      <c r="C69">
        <v>0.7</v>
      </c>
      <c r="D69">
        <v>0.86029999999999995</v>
      </c>
      <c r="E69">
        <f t="shared" si="6"/>
        <v>1618029.0261288052</v>
      </c>
      <c r="F69">
        <f t="shared" si="9"/>
        <v>323.14999999999998</v>
      </c>
      <c r="G69">
        <f t="shared" si="7"/>
        <v>11.921364000000001</v>
      </c>
      <c r="H69">
        <f t="shared" si="8"/>
        <v>2.1235970117977718E-2</v>
      </c>
      <c r="I69">
        <f t="shared" si="10"/>
        <v>0.02</v>
      </c>
      <c r="J69">
        <f t="shared" si="11"/>
        <v>0.24123597011797773</v>
      </c>
    </row>
    <row r="70" spans="1:10" x14ac:dyDescent="0.25">
      <c r="A70" t="s">
        <v>10</v>
      </c>
      <c r="B70">
        <v>50</v>
      </c>
      <c r="C70">
        <v>0.8</v>
      </c>
      <c r="D70">
        <v>0.83930000000000005</v>
      </c>
      <c r="E70">
        <f t="shared" si="6"/>
        <v>1804037.4774645474</v>
      </c>
      <c r="F70">
        <f t="shared" si="9"/>
        <v>323.14999999999998</v>
      </c>
      <c r="G70">
        <f t="shared" si="7"/>
        <v>13.624416</v>
      </c>
      <c r="H70">
        <f t="shared" si="8"/>
        <v>2.1108533249057787E-2</v>
      </c>
      <c r="I70">
        <f t="shared" si="10"/>
        <v>0.02</v>
      </c>
      <c r="J70">
        <f t="shared" si="11"/>
        <v>0.24110853324905779</v>
      </c>
    </row>
    <row r="71" spans="1:10" x14ac:dyDescent="0.25">
      <c r="A71" t="s">
        <v>10</v>
      </c>
      <c r="B71">
        <v>50</v>
      </c>
      <c r="C71">
        <v>0.85</v>
      </c>
      <c r="D71">
        <v>0.82750000000000001</v>
      </c>
      <c r="E71">
        <f t="shared" si="6"/>
        <v>1889841.0292976678</v>
      </c>
      <c r="F71">
        <f t="shared" si="9"/>
        <v>323.14999999999998</v>
      </c>
      <c r="G71">
        <f t="shared" si="7"/>
        <v>14.475942</v>
      </c>
      <c r="H71">
        <f t="shared" si="8"/>
        <v>2.1058203042114605E-2</v>
      </c>
      <c r="I71">
        <f t="shared" si="10"/>
        <v>0.02</v>
      </c>
      <c r="J71">
        <f t="shared" si="11"/>
        <v>0.24105820304211462</v>
      </c>
    </row>
    <row r="72" spans="1:10" x14ac:dyDescent="0.25">
      <c r="A72" t="s">
        <v>10</v>
      </c>
      <c r="B72">
        <v>50</v>
      </c>
      <c r="C72">
        <v>0.9</v>
      </c>
      <c r="D72">
        <v>0.81399999999999995</v>
      </c>
      <c r="E72">
        <f t="shared" si="6"/>
        <v>1968363.3027381857</v>
      </c>
      <c r="F72">
        <f t="shared" si="9"/>
        <v>323.14999999999998</v>
      </c>
      <c r="G72">
        <f t="shared" si="7"/>
        <v>15.327468</v>
      </c>
      <c r="H72">
        <f t="shared" si="8"/>
        <v>2.101598903186918E-2</v>
      </c>
      <c r="I72">
        <f t="shared" si="10"/>
        <v>0.02</v>
      </c>
      <c r="J72">
        <f t="shared" si="11"/>
        <v>0.24101598903186919</v>
      </c>
    </row>
    <row r="73" spans="1:10" x14ac:dyDescent="0.25">
      <c r="A73" t="s">
        <v>10</v>
      </c>
      <c r="B73">
        <v>50</v>
      </c>
      <c r="C73">
        <v>0.95</v>
      </c>
      <c r="D73">
        <v>0.79459999999999997</v>
      </c>
      <c r="E73">
        <f t="shared" si="6"/>
        <v>2028198.7528500878</v>
      </c>
      <c r="F73">
        <f t="shared" si="9"/>
        <v>323.14999999999998</v>
      </c>
      <c r="G73">
        <f t="shared" si="7"/>
        <v>16.178993999999999</v>
      </c>
      <c r="H73">
        <f t="shared" si="8"/>
        <v>2.0986015558635739E-2</v>
      </c>
      <c r="I73">
        <f t="shared" si="10"/>
        <v>0.02</v>
      </c>
      <c r="J73">
        <f t="shared" si="11"/>
        <v>0.24098601555863575</v>
      </c>
    </row>
    <row r="74" spans="1:10" x14ac:dyDescent="0.25">
      <c r="A74" t="s">
        <v>10</v>
      </c>
      <c r="B74">
        <v>50</v>
      </c>
      <c r="C74">
        <v>1</v>
      </c>
      <c r="D74">
        <v>0.75449999999999995</v>
      </c>
      <c r="E74">
        <f t="shared" si="6"/>
        <v>2027204.6299699168</v>
      </c>
      <c r="F74">
        <f t="shared" si="9"/>
        <v>323.14999999999998</v>
      </c>
      <c r="G74">
        <f t="shared" si="7"/>
        <v>17.030519999999999</v>
      </c>
      <c r="H74">
        <f t="shared" si="8"/>
        <v>2.0986499091779139E-2</v>
      </c>
      <c r="I74">
        <f t="shared" si="10"/>
        <v>0.02</v>
      </c>
      <c r="J74">
        <f t="shared" si="11"/>
        <v>0.24098649909177913</v>
      </c>
    </row>
    <row r="75" spans="1:10" x14ac:dyDescent="0.25">
      <c r="A75" t="s">
        <v>10</v>
      </c>
      <c r="B75">
        <v>75</v>
      </c>
      <c r="C75">
        <v>0.25</v>
      </c>
      <c r="D75">
        <v>0.95989999999999998</v>
      </c>
      <c r="E75">
        <f t="shared" si="6"/>
        <v>694650.87151839898</v>
      </c>
      <c r="F75">
        <f t="shared" si="9"/>
        <v>348.15</v>
      </c>
      <c r="G75">
        <f t="shared" si="7"/>
        <v>4.2576299999999998</v>
      </c>
      <c r="H75">
        <f t="shared" si="8"/>
        <v>2.2878907388317903E-2</v>
      </c>
      <c r="I75">
        <f t="shared" si="10"/>
        <v>1.3333333333333334E-2</v>
      </c>
      <c r="J75">
        <f t="shared" si="11"/>
        <v>0.23621224072165126</v>
      </c>
    </row>
    <row r="76" spans="1:10" x14ac:dyDescent="0.25">
      <c r="A76" t="s">
        <v>10</v>
      </c>
      <c r="B76">
        <v>75</v>
      </c>
      <c r="C76">
        <v>0.5</v>
      </c>
      <c r="D76">
        <v>0.92030000000000001</v>
      </c>
      <c r="E76">
        <f t="shared" si="6"/>
        <v>1331987.0758586992</v>
      </c>
      <c r="F76">
        <f t="shared" si="9"/>
        <v>348.15</v>
      </c>
      <c r="G76">
        <f t="shared" si="7"/>
        <v>8.5152599999999996</v>
      </c>
      <c r="H76">
        <f t="shared" si="8"/>
        <v>2.1501392590484818E-2</v>
      </c>
      <c r="I76">
        <f t="shared" si="10"/>
        <v>1.3333333333333334E-2</v>
      </c>
      <c r="J76">
        <f t="shared" si="11"/>
        <v>0.23483472592381816</v>
      </c>
    </row>
    <row r="77" spans="1:10" x14ac:dyDescent="0.25">
      <c r="A77" t="s">
        <v>10</v>
      </c>
      <c r="B77">
        <v>75</v>
      </c>
      <c r="C77">
        <v>0.75</v>
      </c>
      <c r="D77">
        <v>0.88109999999999999</v>
      </c>
      <c r="E77">
        <f t="shared" si="6"/>
        <v>1912877.0170690536</v>
      </c>
      <c r="F77">
        <f t="shared" si="9"/>
        <v>348.15</v>
      </c>
      <c r="G77">
        <f t="shared" si="7"/>
        <v>12.77289</v>
      </c>
      <c r="H77">
        <f t="shared" si="8"/>
        <v>2.1045459539986516E-2</v>
      </c>
      <c r="I77">
        <f t="shared" si="10"/>
        <v>1.3333333333333334E-2</v>
      </c>
      <c r="J77">
        <f t="shared" si="11"/>
        <v>0.23437879287331986</v>
      </c>
    </row>
    <row r="78" spans="1:10" x14ac:dyDescent="0.25">
      <c r="A78" t="s">
        <v>10</v>
      </c>
      <c r="B78">
        <v>75</v>
      </c>
      <c r="C78">
        <v>1</v>
      </c>
      <c r="D78">
        <v>0.84240000000000004</v>
      </c>
      <c r="E78">
        <f t="shared" si="6"/>
        <v>2438478.5672136662</v>
      </c>
      <c r="F78">
        <f t="shared" si="9"/>
        <v>348.15</v>
      </c>
      <c r="G78">
        <f t="shared" si="7"/>
        <v>17.030519999999999</v>
      </c>
      <c r="H78">
        <f t="shared" si="8"/>
        <v>2.0820116097473397E-2</v>
      </c>
      <c r="I78">
        <f t="shared" si="10"/>
        <v>1.3333333333333334E-2</v>
      </c>
      <c r="J78">
        <f t="shared" si="11"/>
        <v>0.23415344943080674</v>
      </c>
    </row>
    <row r="79" spans="1:10" x14ac:dyDescent="0.25">
      <c r="A79" t="s">
        <v>10</v>
      </c>
      <c r="B79">
        <v>75</v>
      </c>
      <c r="C79">
        <v>1.25</v>
      </c>
      <c r="D79">
        <v>0.80420000000000003</v>
      </c>
      <c r="E79">
        <f t="shared" si="6"/>
        <v>2909877.2313527269</v>
      </c>
      <c r="F79">
        <f t="shared" si="9"/>
        <v>348.15</v>
      </c>
      <c r="G79">
        <f t="shared" si="7"/>
        <v>21.288149999999998</v>
      </c>
      <c r="H79">
        <f t="shared" si="8"/>
        <v>2.0687257697599194E-2</v>
      </c>
      <c r="I79">
        <f t="shared" si="10"/>
        <v>1.3333333333333334E-2</v>
      </c>
      <c r="J79">
        <f t="shared" si="11"/>
        <v>0.23402059103093253</v>
      </c>
    </row>
    <row r="80" spans="1:10" x14ac:dyDescent="0.25">
      <c r="A80" t="s">
        <v>10</v>
      </c>
      <c r="B80">
        <v>75</v>
      </c>
      <c r="C80">
        <v>1.5</v>
      </c>
      <c r="D80">
        <v>0.76639999999999997</v>
      </c>
      <c r="E80">
        <f t="shared" si="6"/>
        <v>3327724.3125223527</v>
      </c>
      <c r="F80">
        <f t="shared" si="9"/>
        <v>348.15</v>
      </c>
      <c r="G80">
        <f t="shared" si="7"/>
        <v>25.545780000000001</v>
      </c>
      <c r="H80">
        <f t="shared" si="8"/>
        <v>2.0600961900236248E-2</v>
      </c>
      <c r="I80">
        <f t="shared" si="10"/>
        <v>1.3333333333333334E-2</v>
      </c>
      <c r="J80">
        <f t="shared" si="11"/>
        <v>0.23393429523356959</v>
      </c>
    </row>
    <row r="81" spans="1:10" x14ac:dyDescent="0.25">
      <c r="A81" t="s">
        <v>10</v>
      </c>
      <c r="B81">
        <v>75</v>
      </c>
      <c r="C81">
        <v>1.75</v>
      </c>
      <c r="D81">
        <v>0.72019999999999995</v>
      </c>
      <c r="E81">
        <f t="shared" si="6"/>
        <v>3648310.1402988411</v>
      </c>
      <c r="F81">
        <f t="shared" si="9"/>
        <v>348.15</v>
      </c>
      <c r="G81">
        <f t="shared" si="7"/>
        <v>29.803410000000003</v>
      </c>
      <c r="H81">
        <f t="shared" si="8"/>
        <v>2.0548153925902798E-2</v>
      </c>
      <c r="I81">
        <f t="shared" si="10"/>
        <v>1.3333333333333334E-2</v>
      </c>
      <c r="J81">
        <f t="shared" si="11"/>
        <v>0.23388148725923616</v>
      </c>
    </row>
    <row r="82" spans="1:10" x14ac:dyDescent="0.25">
      <c r="A82" t="s">
        <v>10</v>
      </c>
      <c r="B82">
        <v>100</v>
      </c>
      <c r="C82">
        <v>0.25</v>
      </c>
      <c r="D82">
        <v>0.96679999999999999</v>
      </c>
      <c r="E82">
        <f t="shared" si="6"/>
        <v>749884.33516546991</v>
      </c>
      <c r="F82">
        <f t="shared" si="9"/>
        <v>373.15</v>
      </c>
      <c r="G82">
        <f t="shared" si="7"/>
        <v>4.2576299999999998</v>
      </c>
      <c r="H82">
        <f t="shared" si="8"/>
        <v>2.2666858650773794E-2</v>
      </c>
      <c r="I82">
        <f t="shared" si="10"/>
        <v>0.01</v>
      </c>
      <c r="J82">
        <f t="shared" si="11"/>
        <v>0.2326668586507738</v>
      </c>
    </row>
    <row r="83" spans="1:10" x14ac:dyDescent="0.25">
      <c r="A83" t="s">
        <v>10</v>
      </c>
      <c r="B83">
        <v>100</v>
      </c>
      <c r="C83">
        <v>0.5</v>
      </c>
      <c r="D83">
        <v>0.93410000000000004</v>
      </c>
      <c r="E83">
        <f t="shared" si="6"/>
        <v>1449042.1131114305</v>
      </c>
      <c r="F83">
        <f t="shared" si="9"/>
        <v>373.15</v>
      </c>
      <c r="G83">
        <f t="shared" si="7"/>
        <v>8.5152599999999996</v>
      </c>
      <c r="H83">
        <f t="shared" si="8"/>
        <v>2.1380108630536403E-2</v>
      </c>
      <c r="I83">
        <f t="shared" si="10"/>
        <v>0.01</v>
      </c>
      <c r="J83">
        <f t="shared" si="11"/>
        <v>0.23138010863053643</v>
      </c>
    </row>
    <row r="84" spans="1:10" x14ac:dyDescent="0.25">
      <c r="A84" t="s">
        <v>10</v>
      </c>
      <c r="B84">
        <v>100</v>
      </c>
      <c r="C84">
        <v>0.75</v>
      </c>
      <c r="D84">
        <v>0.90169999999999995</v>
      </c>
      <c r="E84">
        <f t="shared" si="6"/>
        <v>2098171.4057262233</v>
      </c>
      <c r="F84">
        <f t="shared" si="9"/>
        <v>373.15</v>
      </c>
      <c r="G84">
        <f t="shared" si="7"/>
        <v>12.77289</v>
      </c>
      <c r="H84">
        <f t="shared" si="8"/>
        <v>2.0953132580521276E-2</v>
      </c>
      <c r="I84">
        <f t="shared" si="10"/>
        <v>0.01</v>
      </c>
      <c r="J84">
        <f t="shared" si="11"/>
        <v>0.2309531325805213</v>
      </c>
    </row>
    <row r="85" spans="1:10" x14ac:dyDescent="0.25">
      <c r="A85" t="s">
        <v>10</v>
      </c>
      <c r="B85">
        <v>100</v>
      </c>
      <c r="C85">
        <v>1</v>
      </c>
      <c r="D85">
        <v>0.86980000000000002</v>
      </c>
      <c r="E85">
        <f t="shared" si="6"/>
        <v>2698590.7932433831</v>
      </c>
      <c r="F85">
        <f t="shared" si="9"/>
        <v>373.15</v>
      </c>
      <c r="G85">
        <f t="shared" si="7"/>
        <v>17.030519999999999</v>
      </c>
      <c r="H85">
        <f t="shared" si="8"/>
        <v>2.0741066608291593E-2</v>
      </c>
      <c r="I85">
        <f t="shared" si="10"/>
        <v>0.01</v>
      </c>
      <c r="J85">
        <f t="shared" si="11"/>
        <v>0.23074106660829161</v>
      </c>
    </row>
    <row r="86" spans="1:10" x14ac:dyDescent="0.25">
      <c r="A86" t="s">
        <v>10</v>
      </c>
      <c r="B86">
        <v>100</v>
      </c>
      <c r="C86">
        <v>1.25</v>
      </c>
      <c r="D86">
        <v>0.83840000000000003</v>
      </c>
      <c r="E86">
        <f t="shared" si="6"/>
        <v>3251463.7288101465</v>
      </c>
      <c r="F86">
        <f t="shared" si="9"/>
        <v>373.15</v>
      </c>
      <c r="G86">
        <f t="shared" si="7"/>
        <v>21.288149999999998</v>
      </c>
      <c r="H86">
        <f t="shared" si="8"/>
        <v>2.061505699989697E-2</v>
      </c>
      <c r="I86">
        <f t="shared" si="10"/>
        <v>0.01</v>
      </c>
      <c r="J86">
        <f t="shared" si="11"/>
        <v>0.23061505699989698</v>
      </c>
    </row>
    <row r="87" spans="1:10" x14ac:dyDescent="0.25">
      <c r="A87" t="s">
        <v>10</v>
      </c>
      <c r="B87">
        <v>100</v>
      </c>
      <c r="C87">
        <v>1.5</v>
      </c>
      <c r="D87">
        <v>0.80730000000000002</v>
      </c>
      <c r="E87">
        <f t="shared" si="6"/>
        <v>3757022.9030559608</v>
      </c>
      <c r="F87">
        <f t="shared" si="9"/>
        <v>373.15</v>
      </c>
      <c r="G87">
        <f t="shared" si="7"/>
        <v>25.545780000000001</v>
      </c>
      <c r="H87">
        <f t="shared" si="8"/>
        <v>2.0532292609845185E-2</v>
      </c>
      <c r="I87">
        <f t="shared" si="10"/>
        <v>0.01</v>
      </c>
      <c r="J87">
        <f t="shared" si="11"/>
        <v>0.2305322926098452</v>
      </c>
    </row>
    <row r="88" spans="1:10" x14ac:dyDescent="0.25">
      <c r="A88" t="s">
        <v>10</v>
      </c>
      <c r="B88">
        <v>100</v>
      </c>
      <c r="C88">
        <v>1.75</v>
      </c>
      <c r="D88">
        <v>0.77669999999999995</v>
      </c>
      <c r="E88">
        <f t="shared" si="6"/>
        <v>4217052.277473256</v>
      </c>
      <c r="F88">
        <f t="shared" si="9"/>
        <v>373.15</v>
      </c>
      <c r="G88">
        <f t="shared" si="7"/>
        <v>29.803410000000003</v>
      </c>
      <c r="H88">
        <f t="shared" si="8"/>
        <v>2.0474225927195295E-2</v>
      </c>
      <c r="I88">
        <f t="shared" si="10"/>
        <v>0.01</v>
      </c>
      <c r="J88">
        <f t="shared" si="11"/>
        <v>0.23047422592719533</v>
      </c>
    </row>
    <row r="89" spans="1:10" x14ac:dyDescent="0.25">
      <c r="A89" t="s">
        <v>10</v>
      </c>
      <c r="B89">
        <v>100</v>
      </c>
      <c r="C89">
        <v>2</v>
      </c>
      <c r="D89">
        <v>0.74760000000000004</v>
      </c>
      <c r="E89">
        <f t="shared" si="6"/>
        <v>4638920.3886611946</v>
      </c>
      <c r="F89">
        <f t="shared" si="9"/>
        <v>373.15</v>
      </c>
      <c r="G89">
        <f t="shared" si="7"/>
        <v>34.061039999999998</v>
      </c>
      <c r="H89">
        <f t="shared" si="8"/>
        <v>2.0431099341821846E-2</v>
      </c>
      <c r="I89">
        <f t="shared" si="10"/>
        <v>0.01</v>
      </c>
      <c r="J89">
        <f t="shared" si="11"/>
        <v>0.23043109934182188</v>
      </c>
    </row>
    <row r="90" spans="1:10" x14ac:dyDescent="0.25">
      <c r="A90" t="s">
        <v>10</v>
      </c>
      <c r="B90">
        <v>100</v>
      </c>
      <c r="C90">
        <v>2.25</v>
      </c>
      <c r="D90">
        <v>0.71919999999999995</v>
      </c>
      <c r="E90">
        <f t="shared" si="6"/>
        <v>5020533.0209547505</v>
      </c>
      <c r="F90">
        <f t="shared" si="9"/>
        <v>373.15</v>
      </c>
      <c r="G90">
        <f t="shared" si="7"/>
        <v>38.318669999999997</v>
      </c>
      <c r="H90">
        <f t="shared" si="8"/>
        <v>2.0398331316210622E-2</v>
      </c>
      <c r="I90">
        <f t="shared" si="10"/>
        <v>0.01</v>
      </c>
      <c r="J90">
        <f t="shared" si="11"/>
        <v>0.23039833131621065</v>
      </c>
    </row>
    <row r="91" spans="1:10" x14ac:dyDescent="0.25">
      <c r="A91" t="s">
        <v>10</v>
      </c>
      <c r="B91">
        <v>100</v>
      </c>
      <c r="C91">
        <v>2.5</v>
      </c>
      <c r="D91">
        <v>0.69169999999999998</v>
      </c>
      <c r="E91">
        <f t="shared" si="6"/>
        <v>5365070.2796230391</v>
      </c>
      <c r="F91">
        <f t="shared" si="9"/>
        <v>373.15</v>
      </c>
      <c r="G91">
        <f t="shared" si="7"/>
        <v>42.576299999999996</v>
      </c>
      <c r="H91">
        <f t="shared" si="8"/>
        <v>2.0372751039983823E-2</v>
      </c>
      <c r="I91">
        <f t="shared" si="10"/>
        <v>0.01</v>
      </c>
      <c r="J91">
        <f t="shared" si="11"/>
        <v>0.23037275103998384</v>
      </c>
    </row>
    <row r="92" spans="1:10" x14ac:dyDescent="0.25">
      <c r="A92" t="s">
        <v>10</v>
      </c>
      <c r="B92">
        <v>100</v>
      </c>
      <c r="C92">
        <v>2.75</v>
      </c>
      <c r="D92">
        <v>0.66549999999999998</v>
      </c>
      <c r="E92">
        <f t="shared" si="6"/>
        <v>5678039.1762296464</v>
      </c>
      <c r="F92">
        <f t="shared" si="9"/>
        <v>373.15</v>
      </c>
      <c r="G92">
        <f t="shared" si="7"/>
        <v>46.833930000000002</v>
      </c>
      <c r="H92">
        <f t="shared" si="8"/>
        <v>2.0352205306135934E-2</v>
      </c>
      <c r="I92">
        <f t="shared" si="10"/>
        <v>0.01</v>
      </c>
      <c r="J92">
        <f t="shared" si="11"/>
        <v>0.23035220530613595</v>
      </c>
    </row>
    <row r="93" spans="1:10" x14ac:dyDescent="0.25">
      <c r="A93" t="s">
        <v>10</v>
      </c>
      <c r="B93">
        <v>100</v>
      </c>
      <c r="C93">
        <v>3</v>
      </c>
      <c r="D93">
        <v>0.64049999999999996</v>
      </c>
      <c r="E93">
        <f t="shared" si="6"/>
        <v>5961533.9264395963</v>
      </c>
      <c r="F93">
        <f t="shared" si="9"/>
        <v>373.15</v>
      </c>
      <c r="G93">
        <f t="shared" si="7"/>
        <v>51.091560000000001</v>
      </c>
      <c r="H93">
        <f t="shared" si="8"/>
        <v>2.0335456537024215E-2</v>
      </c>
      <c r="I93">
        <f t="shared" si="10"/>
        <v>0.01</v>
      </c>
      <c r="J93">
        <f t="shared" si="11"/>
        <v>0.23033545653702422</v>
      </c>
    </row>
    <row r="94" spans="1:10" x14ac:dyDescent="0.25">
      <c r="A94" t="s">
        <v>10</v>
      </c>
      <c r="B94">
        <v>125</v>
      </c>
      <c r="C94">
        <v>0.25</v>
      </c>
      <c r="D94">
        <v>0.97250000000000003</v>
      </c>
      <c r="E94">
        <f t="shared" si="6"/>
        <v>804841.8002259311</v>
      </c>
      <c r="F94">
        <f t="shared" si="9"/>
        <v>398.15</v>
      </c>
      <c r="G94">
        <f t="shared" si="7"/>
        <v>4.2576299999999998</v>
      </c>
      <c r="H94">
        <f t="shared" si="8"/>
        <v>2.2484756042435178E-2</v>
      </c>
      <c r="I94">
        <f t="shared" si="10"/>
        <v>8.0000000000000002E-3</v>
      </c>
      <c r="J94">
        <f t="shared" si="11"/>
        <v>0.23048475604243521</v>
      </c>
    </row>
    <row r="95" spans="1:10" x14ac:dyDescent="0.25">
      <c r="A95" t="s">
        <v>10</v>
      </c>
      <c r="B95">
        <v>125</v>
      </c>
      <c r="C95">
        <v>0.5</v>
      </c>
      <c r="D95">
        <v>0.94530000000000003</v>
      </c>
      <c r="E95">
        <f t="shared" si="6"/>
        <v>1564662.1156885813</v>
      </c>
      <c r="F95">
        <f t="shared" si="9"/>
        <v>398.15</v>
      </c>
      <c r="G95">
        <f t="shared" si="7"/>
        <v>8.5152599999999996</v>
      </c>
      <c r="H95">
        <f t="shared" si="8"/>
        <v>2.1278126124652606E-2</v>
      </c>
      <c r="I95">
        <f t="shared" si="10"/>
        <v>8.0000000000000002E-3</v>
      </c>
      <c r="J95">
        <f t="shared" si="11"/>
        <v>0.22927812612465262</v>
      </c>
    </row>
    <row r="96" spans="1:10" x14ac:dyDescent="0.25">
      <c r="A96" t="s">
        <v>10</v>
      </c>
      <c r="B96">
        <v>125</v>
      </c>
      <c r="C96">
        <v>0.75</v>
      </c>
      <c r="D96">
        <v>0.91830000000000001</v>
      </c>
      <c r="E96">
        <f t="shared" si="6"/>
        <v>2279957.5068816631</v>
      </c>
      <c r="F96">
        <f t="shared" si="9"/>
        <v>398.15</v>
      </c>
      <c r="G96">
        <f t="shared" si="7"/>
        <v>12.77289</v>
      </c>
      <c r="H96">
        <f t="shared" si="8"/>
        <v>2.0877137192372941E-2</v>
      </c>
      <c r="I96">
        <f t="shared" si="10"/>
        <v>8.0000000000000002E-3</v>
      </c>
      <c r="J96">
        <f t="shared" si="11"/>
        <v>0.22887713719237296</v>
      </c>
    </row>
    <row r="97" spans="1:10" x14ac:dyDescent="0.25">
      <c r="A97" t="s">
        <v>10</v>
      </c>
      <c r="B97">
        <v>125</v>
      </c>
      <c r="C97">
        <v>1</v>
      </c>
      <c r="D97">
        <v>0.89159999999999995</v>
      </c>
      <c r="E97">
        <f t="shared" si="6"/>
        <v>2951555.5746280313</v>
      </c>
      <c r="F97">
        <f t="shared" si="9"/>
        <v>398.15</v>
      </c>
      <c r="G97">
        <f t="shared" si="7"/>
        <v>17.030519999999999</v>
      </c>
      <c r="H97">
        <f t="shared" si="8"/>
        <v>2.0677553065070717E-2</v>
      </c>
      <c r="I97">
        <f t="shared" si="10"/>
        <v>8.0000000000000002E-3</v>
      </c>
      <c r="J97">
        <f t="shared" si="11"/>
        <v>0.22867755306507073</v>
      </c>
    </row>
    <row r="98" spans="1:10" x14ac:dyDescent="0.25">
      <c r="A98" t="s">
        <v>10</v>
      </c>
      <c r="B98">
        <v>125</v>
      </c>
      <c r="C98">
        <v>1.25</v>
      </c>
      <c r="D98">
        <v>0.86509999999999998</v>
      </c>
      <c r="E98">
        <f t="shared" si="6"/>
        <v>3579787.3592568277</v>
      </c>
      <c r="F98">
        <f t="shared" si="9"/>
        <v>398.15</v>
      </c>
      <c r="G98">
        <f t="shared" si="7"/>
        <v>21.288149999999998</v>
      </c>
      <c r="H98">
        <f t="shared" si="8"/>
        <v>2.0558646457350182E-2</v>
      </c>
      <c r="I98">
        <f t="shared" si="10"/>
        <v>8.0000000000000002E-3</v>
      </c>
      <c r="J98">
        <f t="shared" si="11"/>
        <v>0.22855864645735019</v>
      </c>
    </row>
    <row r="99" spans="1:10" x14ac:dyDescent="0.25">
      <c r="A99" t="s">
        <v>10</v>
      </c>
      <c r="B99">
        <v>125</v>
      </c>
      <c r="C99">
        <v>1.5</v>
      </c>
      <c r="D99">
        <v>0.83879999999999999</v>
      </c>
      <c r="E99">
        <f t="shared" si="6"/>
        <v>4165149.4212617651</v>
      </c>
      <c r="F99">
        <f t="shared" si="9"/>
        <v>398.15</v>
      </c>
      <c r="G99">
        <f t="shared" si="7"/>
        <v>25.545780000000001</v>
      </c>
      <c r="H99">
        <f t="shared" si="8"/>
        <v>2.0480135362277104E-2</v>
      </c>
      <c r="I99">
        <f t="shared" si="10"/>
        <v>8.0000000000000002E-3</v>
      </c>
      <c r="J99">
        <f t="shared" si="11"/>
        <v>0.22848013536227713</v>
      </c>
    </row>
    <row r="100" spans="1:10" x14ac:dyDescent="0.25">
      <c r="A100" t="s">
        <v>10</v>
      </c>
      <c r="B100">
        <v>125</v>
      </c>
      <c r="C100">
        <v>1.75</v>
      </c>
      <c r="D100">
        <v>0.81279999999999997</v>
      </c>
      <c r="E100">
        <f t="shared" si="6"/>
        <v>4708717.6417125529</v>
      </c>
      <c r="F100">
        <f t="shared" si="9"/>
        <v>398.15</v>
      </c>
      <c r="G100">
        <f t="shared" si="7"/>
        <v>29.803410000000003</v>
      </c>
      <c r="H100">
        <f t="shared" si="8"/>
        <v>2.0424709162554171E-2</v>
      </c>
      <c r="I100">
        <f t="shared" si="10"/>
        <v>8.0000000000000002E-3</v>
      </c>
      <c r="J100">
        <f t="shared" si="11"/>
        <v>0.2284247091625542</v>
      </c>
    </row>
    <row r="101" spans="1:10" x14ac:dyDescent="0.25">
      <c r="A101" t="s">
        <v>10</v>
      </c>
      <c r="B101">
        <v>125</v>
      </c>
      <c r="C101">
        <v>2</v>
      </c>
      <c r="D101">
        <v>0.78800000000000003</v>
      </c>
      <c r="E101">
        <f t="shared" si="6"/>
        <v>5217195.587274313</v>
      </c>
      <c r="F101">
        <f t="shared" si="9"/>
        <v>398.15</v>
      </c>
      <c r="G101">
        <f t="shared" si="7"/>
        <v>34.061039999999998</v>
      </c>
      <c r="H101">
        <f t="shared" si="8"/>
        <v>2.0383316188335696E-2</v>
      </c>
      <c r="I101">
        <f t="shared" si="10"/>
        <v>8.0000000000000002E-3</v>
      </c>
      <c r="J101">
        <f t="shared" si="11"/>
        <v>0.22838331618833571</v>
      </c>
    </row>
    <row r="102" spans="1:10" x14ac:dyDescent="0.25">
      <c r="A102" t="s">
        <v>10</v>
      </c>
      <c r="B102">
        <v>125</v>
      </c>
      <c r="C102">
        <v>2.25</v>
      </c>
      <c r="D102">
        <v>0.76429999999999998</v>
      </c>
      <c r="E102">
        <f t="shared" si="6"/>
        <v>5692817.7801687522</v>
      </c>
      <c r="F102">
        <f t="shared" si="9"/>
        <v>398.15</v>
      </c>
      <c r="G102">
        <f t="shared" si="7"/>
        <v>38.318669999999997</v>
      </c>
      <c r="H102">
        <f t="shared" si="8"/>
        <v>2.0351290978130782E-2</v>
      </c>
      <c r="I102">
        <f t="shared" si="10"/>
        <v>8.0000000000000002E-3</v>
      </c>
      <c r="J102">
        <f t="shared" si="11"/>
        <v>0.22835129097813081</v>
      </c>
    </row>
    <row r="103" spans="1:10" x14ac:dyDescent="0.25">
      <c r="A103" t="s">
        <v>10</v>
      </c>
      <c r="B103">
        <v>125</v>
      </c>
      <c r="C103">
        <v>2.5</v>
      </c>
      <c r="D103">
        <v>0.74119999999999997</v>
      </c>
      <c r="E103">
        <f t="shared" si="6"/>
        <v>6134177.2989970185</v>
      </c>
      <c r="F103">
        <f t="shared" si="9"/>
        <v>398.15</v>
      </c>
      <c r="G103">
        <f t="shared" si="7"/>
        <v>42.576299999999996</v>
      </c>
      <c r="H103">
        <f t="shared" si="8"/>
        <v>2.032601527944795E-2</v>
      </c>
      <c r="I103">
        <f t="shared" si="10"/>
        <v>8.0000000000000002E-3</v>
      </c>
      <c r="J103">
        <f t="shared" si="11"/>
        <v>0.22832601527944796</v>
      </c>
    </row>
    <row r="104" spans="1:10" x14ac:dyDescent="0.25">
      <c r="A104" t="s">
        <v>10</v>
      </c>
      <c r="B104">
        <v>125</v>
      </c>
      <c r="C104">
        <v>2.75</v>
      </c>
      <c r="D104">
        <v>0.71909999999999996</v>
      </c>
      <c r="E104">
        <f t="shared" si="6"/>
        <v>6546405.2688608086</v>
      </c>
      <c r="F104">
        <f t="shared" si="9"/>
        <v>398.15</v>
      </c>
      <c r="G104">
        <f t="shared" si="7"/>
        <v>46.833930000000002</v>
      </c>
      <c r="H104">
        <f t="shared" si="8"/>
        <v>2.0305486055962406E-2</v>
      </c>
      <c r="I104">
        <f t="shared" si="10"/>
        <v>8.0000000000000002E-3</v>
      </c>
      <c r="J104">
        <f t="shared" si="11"/>
        <v>0.22830548605596243</v>
      </c>
    </row>
    <row r="105" spans="1:10" x14ac:dyDescent="0.25">
      <c r="A105" t="s">
        <v>10</v>
      </c>
      <c r="B105">
        <v>125</v>
      </c>
      <c r="C105">
        <v>3</v>
      </c>
      <c r="D105">
        <v>0.69750000000000001</v>
      </c>
      <c r="E105">
        <f t="shared" si="6"/>
        <v>6927018.8872915627</v>
      </c>
      <c r="F105">
        <f t="shared" si="9"/>
        <v>398.15</v>
      </c>
      <c r="G105">
        <f t="shared" si="7"/>
        <v>51.091560000000001</v>
      </c>
      <c r="H105">
        <f t="shared" si="8"/>
        <v>2.0288700746865975E-2</v>
      </c>
      <c r="I105">
        <f t="shared" si="10"/>
        <v>8.0000000000000002E-3</v>
      </c>
      <c r="J105">
        <f t="shared" si="11"/>
        <v>0.228288700746866</v>
      </c>
    </row>
    <row r="106" spans="1:10" x14ac:dyDescent="0.25">
      <c r="A106" t="s">
        <v>10</v>
      </c>
      <c r="B106">
        <v>125</v>
      </c>
      <c r="C106">
        <v>3.5</v>
      </c>
      <c r="D106">
        <v>0.65600000000000003</v>
      </c>
      <c r="E106">
        <f t="shared" si="6"/>
        <v>7600685.9570950652</v>
      </c>
      <c r="F106">
        <f t="shared" si="9"/>
        <v>398.15</v>
      </c>
      <c r="G106">
        <f t="shared" si="7"/>
        <v>59.606820000000006</v>
      </c>
      <c r="H106">
        <f t="shared" si="8"/>
        <v>2.026311250558234E-2</v>
      </c>
      <c r="I106">
        <f t="shared" si="10"/>
        <v>8.0000000000000002E-3</v>
      </c>
      <c r="J106">
        <f t="shared" si="11"/>
        <v>0.22826311250558234</v>
      </c>
    </row>
    <row r="107" spans="1:10" x14ac:dyDescent="0.25">
      <c r="A107" t="s">
        <v>10</v>
      </c>
      <c r="B107">
        <v>125</v>
      </c>
      <c r="C107">
        <v>4</v>
      </c>
      <c r="D107">
        <v>0.61580000000000001</v>
      </c>
      <c r="E107">
        <f t="shared" si="6"/>
        <v>8154185.3874201076</v>
      </c>
      <c r="F107">
        <f t="shared" si="9"/>
        <v>398.15</v>
      </c>
      <c r="G107">
        <f t="shared" si="7"/>
        <v>68.122079999999997</v>
      </c>
      <c r="H107">
        <f t="shared" si="8"/>
        <v>2.0245252644047196E-2</v>
      </c>
      <c r="I107">
        <f t="shared" si="10"/>
        <v>8.0000000000000002E-3</v>
      </c>
      <c r="J107">
        <f t="shared" si="11"/>
        <v>0.22824525264404721</v>
      </c>
    </row>
    <row r="108" spans="1:10" x14ac:dyDescent="0.25">
      <c r="A108" t="s">
        <v>10</v>
      </c>
      <c r="B108">
        <v>125</v>
      </c>
      <c r="C108">
        <v>4.5</v>
      </c>
      <c r="D108">
        <v>0.57909999999999995</v>
      </c>
      <c r="E108">
        <f t="shared" si="6"/>
        <v>8626745.4572699834</v>
      </c>
      <c r="F108">
        <f t="shared" si="9"/>
        <v>398.15</v>
      </c>
      <c r="G108">
        <f t="shared" si="7"/>
        <v>76.637339999999995</v>
      </c>
      <c r="H108">
        <f t="shared" si="8"/>
        <v>2.0231818075103918E-2</v>
      </c>
      <c r="I108">
        <f t="shared" si="10"/>
        <v>8.0000000000000002E-3</v>
      </c>
      <c r="J108">
        <f t="shared" si="11"/>
        <v>0.22823181807510393</v>
      </c>
    </row>
    <row r="109" spans="1:10" x14ac:dyDescent="0.25">
      <c r="A109" t="s">
        <v>10</v>
      </c>
      <c r="B109">
        <v>125</v>
      </c>
      <c r="C109">
        <v>5</v>
      </c>
      <c r="D109">
        <v>0.54459999999999997</v>
      </c>
      <c r="E109">
        <f t="shared" si="6"/>
        <v>9014228.1625304278</v>
      </c>
      <c r="F109">
        <f t="shared" si="9"/>
        <v>398.15</v>
      </c>
      <c r="G109">
        <f t="shared" si="7"/>
        <v>85.152599999999993</v>
      </c>
      <c r="H109">
        <f t="shared" si="8"/>
        <v>2.022185321807457E-2</v>
      </c>
      <c r="I109">
        <f t="shared" si="10"/>
        <v>8.0000000000000002E-3</v>
      </c>
      <c r="J109">
        <f t="shared" si="11"/>
        <v>0.22822185321807459</v>
      </c>
    </row>
    <row r="110" spans="1:10" x14ac:dyDescent="0.25">
      <c r="A110" t="s">
        <v>10</v>
      </c>
      <c r="B110">
        <v>125</v>
      </c>
      <c r="C110">
        <v>5.5</v>
      </c>
      <c r="D110">
        <v>0.51229999999999998</v>
      </c>
      <c r="E110">
        <f t="shared" si="6"/>
        <v>9327557.8340631146</v>
      </c>
      <c r="F110">
        <f t="shared" si="9"/>
        <v>398.15</v>
      </c>
      <c r="G110">
        <f t="shared" si="7"/>
        <v>93.667860000000005</v>
      </c>
      <c r="H110">
        <f t="shared" si="8"/>
        <v>2.021440076404701E-2</v>
      </c>
      <c r="I110">
        <f t="shared" si="10"/>
        <v>8.0000000000000002E-3</v>
      </c>
      <c r="J110">
        <f t="shared" si="11"/>
        <v>0.22821440076404703</v>
      </c>
    </row>
    <row r="111" spans="1:10" x14ac:dyDescent="0.25">
      <c r="A111" t="s">
        <v>10</v>
      </c>
      <c r="B111">
        <v>125</v>
      </c>
      <c r="C111">
        <v>6</v>
      </c>
      <c r="D111">
        <v>0.48120000000000002</v>
      </c>
      <c r="E111">
        <f t="shared" si="6"/>
        <v>9557796.3829812165</v>
      </c>
      <c r="F111">
        <f t="shared" si="9"/>
        <v>398.15</v>
      </c>
      <c r="G111">
        <f t="shared" si="7"/>
        <v>102.18312</v>
      </c>
      <c r="H111">
        <f t="shared" si="8"/>
        <v>2.0209236046279114E-2</v>
      </c>
      <c r="I111">
        <f t="shared" si="10"/>
        <v>8.0000000000000002E-3</v>
      </c>
      <c r="J111">
        <f t="shared" si="11"/>
        <v>0.22820923604627913</v>
      </c>
    </row>
    <row r="112" spans="1:10" x14ac:dyDescent="0.25">
      <c r="A112">
        <v>50</v>
      </c>
      <c r="B112">
        <v>25</v>
      </c>
      <c r="C112" t="s">
        <v>10</v>
      </c>
      <c r="D112">
        <v>5.7549999999999997E-2</v>
      </c>
      <c r="E112">
        <f>A112*101325</f>
        <v>5066250</v>
      </c>
      <c r="F112">
        <f>B112+273.15</f>
        <v>298.14999999999998</v>
      </c>
      <c r="G112">
        <f>E112/(B112*488.209556616782*F112)</f>
        <v>1.3922124654793071</v>
      </c>
      <c r="H112">
        <f>0.02+0.1/760/A112*100 + 0.05/760/A112*100</f>
        <v>2.0394736842105264E-2</v>
      </c>
      <c r="I112">
        <f>0.01/B112*100</f>
        <v>0.04</v>
      </c>
      <c r="J112">
        <f>0.2+H112+I112</f>
        <v>0.26039473684210529</v>
      </c>
    </row>
    <row r="113" spans="1:10" x14ac:dyDescent="0.25">
      <c r="A113">
        <v>75</v>
      </c>
      <c r="B113">
        <v>25</v>
      </c>
      <c r="C113" t="s">
        <v>10</v>
      </c>
      <c r="D113">
        <v>8.5999999999999993E-2</v>
      </c>
      <c r="E113">
        <f t="shared" ref="E113:E153" si="12">A113*101325</f>
        <v>7599375</v>
      </c>
      <c r="F113">
        <f t="shared" ref="F113:F153" si="13">B113+273.15</f>
        <v>298.14999999999998</v>
      </c>
      <c r="G113">
        <f t="shared" ref="G113:G153" si="14">E113/(B113*488.209556616782*F113)</f>
        <v>2.0883186982189605</v>
      </c>
      <c r="H113">
        <f t="shared" ref="H113:H153" si="15">0.02+0.1/760/A113*100 + 0.05/760/A113*100</f>
        <v>2.0263157894736844E-2</v>
      </c>
      <c r="I113">
        <f t="shared" ref="I113:I153" si="16">0.01/B113*100</f>
        <v>0.04</v>
      </c>
      <c r="J113">
        <f t="shared" ref="J113:J153" si="17">0.2+H113+I113</f>
        <v>0.26026315789473686</v>
      </c>
    </row>
    <row r="114" spans="1:10" x14ac:dyDescent="0.25">
      <c r="A114">
        <v>100</v>
      </c>
      <c r="B114">
        <v>25</v>
      </c>
      <c r="C114" t="s">
        <v>10</v>
      </c>
      <c r="D114">
        <v>0.1143</v>
      </c>
      <c r="E114">
        <f t="shared" si="12"/>
        <v>10132500</v>
      </c>
      <c r="F114">
        <f t="shared" si="13"/>
        <v>298.14999999999998</v>
      </c>
      <c r="G114">
        <f t="shared" si="14"/>
        <v>2.7844249309586142</v>
      </c>
      <c r="H114">
        <f t="shared" si="15"/>
        <v>2.0197368421052631E-2</v>
      </c>
      <c r="I114">
        <f t="shared" si="16"/>
        <v>0.04</v>
      </c>
      <c r="J114">
        <f t="shared" si="17"/>
        <v>0.26019736842105262</v>
      </c>
    </row>
    <row r="115" spans="1:10" x14ac:dyDescent="0.25">
      <c r="A115">
        <v>150</v>
      </c>
      <c r="B115">
        <v>25</v>
      </c>
      <c r="C115" t="s">
        <v>10</v>
      </c>
      <c r="D115">
        <v>0.17019999999999999</v>
      </c>
      <c r="E115">
        <f t="shared" si="12"/>
        <v>15198750</v>
      </c>
      <c r="F115">
        <f t="shared" si="13"/>
        <v>298.14999999999998</v>
      </c>
      <c r="G115">
        <f t="shared" si="14"/>
        <v>4.1766373964379211</v>
      </c>
      <c r="H115">
        <f t="shared" si="15"/>
        <v>2.0131578947368424E-2</v>
      </c>
      <c r="I115">
        <f t="shared" si="16"/>
        <v>0.04</v>
      </c>
      <c r="J115">
        <f t="shared" si="17"/>
        <v>0.26013157894736844</v>
      </c>
    </row>
    <row r="116" spans="1:10" x14ac:dyDescent="0.25">
      <c r="A116">
        <v>200</v>
      </c>
      <c r="B116">
        <v>25</v>
      </c>
      <c r="C116" t="s">
        <v>10</v>
      </c>
      <c r="D116">
        <v>0.22544</v>
      </c>
      <c r="E116">
        <f t="shared" si="12"/>
        <v>20265000</v>
      </c>
      <c r="F116">
        <f t="shared" si="13"/>
        <v>298.14999999999998</v>
      </c>
      <c r="G116">
        <f t="shared" si="14"/>
        <v>5.5688498619172284</v>
      </c>
      <c r="H116">
        <f t="shared" si="15"/>
        <v>2.0098684210526317E-2</v>
      </c>
      <c r="I116">
        <f t="shared" si="16"/>
        <v>0.04</v>
      </c>
      <c r="J116">
        <f t="shared" si="17"/>
        <v>0.26009868421052634</v>
      </c>
    </row>
    <row r="117" spans="1:10" x14ac:dyDescent="0.25">
      <c r="A117">
        <v>250</v>
      </c>
      <c r="B117">
        <v>25</v>
      </c>
      <c r="C117" t="s">
        <v>10</v>
      </c>
      <c r="D117">
        <v>0.28000000000000003</v>
      </c>
      <c r="E117">
        <f t="shared" si="12"/>
        <v>25331250</v>
      </c>
      <c r="F117">
        <f t="shared" si="13"/>
        <v>298.14999999999998</v>
      </c>
      <c r="G117">
        <f t="shared" si="14"/>
        <v>6.9610623273965357</v>
      </c>
      <c r="H117">
        <f t="shared" si="15"/>
        <v>2.0078947368421054E-2</v>
      </c>
      <c r="I117">
        <f t="shared" si="16"/>
        <v>0.04</v>
      </c>
      <c r="J117">
        <f t="shared" si="17"/>
        <v>0.26007894736842108</v>
      </c>
    </row>
    <row r="118" spans="1:10" x14ac:dyDescent="0.25">
      <c r="A118">
        <v>300</v>
      </c>
      <c r="B118">
        <v>25</v>
      </c>
      <c r="C118" t="s">
        <v>10</v>
      </c>
      <c r="D118">
        <v>0.33389999999999997</v>
      </c>
      <c r="E118">
        <f t="shared" si="12"/>
        <v>30397500</v>
      </c>
      <c r="F118">
        <f t="shared" si="13"/>
        <v>298.14999999999998</v>
      </c>
      <c r="G118">
        <f t="shared" si="14"/>
        <v>8.3532747928758422</v>
      </c>
      <c r="H118">
        <f t="shared" si="15"/>
        <v>2.006578947368421E-2</v>
      </c>
      <c r="I118">
        <f t="shared" si="16"/>
        <v>0.04</v>
      </c>
      <c r="J118">
        <f t="shared" si="17"/>
        <v>0.26006578947368419</v>
      </c>
    </row>
    <row r="119" spans="1:10" x14ac:dyDescent="0.25">
      <c r="A119">
        <v>400</v>
      </c>
      <c r="B119">
        <v>25</v>
      </c>
      <c r="C119" t="s">
        <v>10</v>
      </c>
      <c r="D119">
        <v>0.43980000000000002</v>
      </c>
      <c r="E119">
        <f t="shared" si="12"/>
        <v>40530000</v>
      </c>
      <c r="F119">
        <f t="shared" si="13"/>
        <v>298.14999999999998</v>
      </c>
      <c r="G119">
        <f t="shared" si="14"/>
        <v>11.137699723834457</v>
      </c>
      <c r="H119">
        <f t="shared" si="15"/>
        <v>2.0049342105263161E-2</v>
      </c>
      <c r="I119">
        <f t="shared" si="16"/>
        <v>0.04</v>
      </c>
      <c r="J119">
        <f t="shared" si="17"/>
        <v>0.26004934210526315</v>
      </c>
    </row>
    <row r="120" spans="1:10" x14ac:dyDescent="0.25">
      <c r="A120">
        <v>500</v>
      </c>
      <c r="B120">
        <v>25</v>
      </c>
      <c r="C120" t="s">
        <v>10</v>
      </c>
      <c r="D120">
        <v>0.54359999999999997</v>
      </c>
      <c r="E120">
        <f t="shared" si="12"/>
        <v>50662500</v>
      </c>
      <c r="F120">
        <f t="shared" si="13"/>
        <v>298.14999999999998</v>
      </c>
      <c r="G120">
        <f t="shared" si="14"/>
        <v>13.922124654793071</v>
      </c>
      <c r="H120">
        <f t="shared" si="15"/>
        <v>2.0039473684210527E-2</v>
      </c>
      <c r="I120">
        <f t="shared" si="16"/>
        <v>0.04</v>
      </c>
      <c r="J120">
        <f t="shared" si="17"/>
        <v>0.26003947368421054</v>
      </c>
    </row>
    <row r="121" spans="1:10" x14ac:dyDescent="0.25">
      <c r="A121">
        <v>50</v>
      </c>
      <c r="B121">
        <v>50</v>
      </c>
      <c r="C121" t="s">
        <v>10</v>
      </c>
      <c r="D121">
        <v>5.672E-2</v>
      </c>
      <c r="E121">
        <f t="shared" si="12"/>
        <v>5066250</v>
      </c>
      <c r="F121">
        <f t="shared" si="13"/>
        <v>323.14999999999998</v>
      </c>
      <c r="G121">
        <f t="shared" si="14"/>
        <v>0.64225305056886184</v>
      </c>
      <c r="H121">
        <f t="shared" si="15"/>
        <v>2.0394736842105264E-2</v>
      </c>
      <c r="I121">
        <f t="shared" si="16"/>
        <v>0.02</v>
      </c>
      <c r="J121">
        <f t="shared" si="17"/>
        <v>0.24039473684210527</v>
      </c>
    </row>
    <row r="122" spans="1:10" x14ac:dyDescent="0.25">
      <c r="A122">
        <v>75</v>
      </c>
      <c r="B122">
        <v>50</v>
      </c>
      <c r="C122" t="s">
        <v>10</v>
      </c>
      <c r="D122">
        <v>8.4589999999999999E-2</v>
      </c>
      <c r="E122">
        <f t="shared" si="12"/>
        <v>7599375</v>
      </c>
      <c r="F122">
        <f t="shared" si="13"/>
        <v>323.14999999999998</v>
      </c>
      <c r="G122">
        <f t="shared" si="14"/>
        <v>0.96337957585329281</v>
      </c>
      <c r="H122">
        <f t="shared" si="15"/>
        <v>2.0263157894736844E-2</v>
      </c>
      <c r="I122">
        <f t="shared" si="16"/>
        <v>0.02</v>
      </c>
      <c r="J122">
        <f t="shared" si="17"/>
        <v>0.24026315789473685</v>
      </c>
    </row>
    <row r="123" spans="1:10" x14ac:dyDescent="0.25">
      <c r="A123">
        <v>100</v>
      </c>
      <c r="B123">
        <v>50</v>
      </c>
      <c r="C123" t="s">
        <v>10</v>
      </c>
      <c r="D123">
        <v>0.11219999999999999</v>
      </c>
      <c r="E123">
        <f t="shared" si="12"/>
        <v>10132500</v>
      </c>
      <c r="F123">
        <f t="shared" si="13"/>
        <v>323.14999999999998</v>
      </c>
      <c r="G123">
        <f t="shared" si="14"/>
        <v>1.2845061011377237</v>
      </c>
      <c r="H123">
        <f t="shared" si="15"/>
        <v>2.0197368421052631E-2</v>
      </c>
      <c r="I123">
        <f t="shared" si="16"/>
        <v>0.02</v>
      </c>
      <c r="J123">
        <f t="shared" si="17"/>
        <v>0.24019736842105263</v>
      </c>
    </row>
    <row r="124" spans="1:10" x14ac:dyDescent="0.25">
      <c r="A124">
        <v>150</v>
      </c>
      <c r="B124">
        <v>50</v>
      </c>
      <c r="C124" t="s">
        <v>10</v>
      </c>
      <c r="D124">
        <v>0.16650000000000001</v>
      </c>
      <c r="E124">
        <f t="shared" si="12"/>
        <v>15198750</v>
      </c>
      <c r="F124">
        <f t="shared" si="13"/>
        <v>323.14999999999998</v>
      </c>
      <c r="G124">
        <f t="shared" si="14"/>
        <v>1.9267591517065856</v>
      </c>
      <c r="H124">
        <f t="shared" si="15"/>
        <v>2.0131578947368424E-2</v>
      </c>
      <c r="I124">
        <f t="shared" si="16"/>
        <v>0.02</v>
      </c>
      <c r="J124">
        <f t="shared" si="17"/>
        <v>0.24013157894736842</v>
      </c>
    </row>
    <row r="125" spans="1:10" x14ac:dyDescent="0.25">
      <c r="A125">
        <v>200</v>
      </c>
      <c r="B125">
        <v>50</v>
      </c>
      <c r="C125" t="s">
        <v>10</v>
      </c>
      <c r="D125">
        <v>0.22</v>
      </c>
      <c r="E125">
        <f t="shared" si="12"/>
        <v>20265000</v>
      </c>
      <c r="F125">
        <f t="shared" si="13"/>
        <v>323.14999999999998</v>
      </c>
      <c r="G125">
        <f t="shared" si="14"/>
        <v>2.5690122022754474</v>
      </c>
      <c r="H125">
        <f t="shared" si="15"/>
        <v>2.0098684210526317E-2</v>
      </c>
      <c r="I125">
        <f t="shared" si="16"/>
        <v>0.02</v>
      </c>
      <c r="J125">
        <f t="shared" si="17"/>
        <v>0.24009868421052633</v>
      </c>
    </row>
    <row r="126" spans="1:10" x14ac:dyDescent="0.25">
      <c r="A126">
        <v>250</v>
      </c>
      <c r="B126">
        <v>50</v>
      </c>
      <c r="C126" t="s">
        <v>10</v>
      </c>
      <c r="D126">
        <v>0.2727</v>
      </c>
      <c r="E126">
        <f t="shared" si="12"/>
        <v>25331250</v>
      </c>
      <c r="F126">
        <f t="shared" si="13"/>
        <v>323.14999999999998</v>
      </c>
      <c r="G126">
        <f t="shared" si="14"/>
        <v>3.2112652528443095</v>
      </c>
      <c r="H126">
        <f t="shared" si="15"/>
        <v>2.0078947368421054E-2</v>
      </c>
      <c r="I126">
        <f t="shared" si="16"/>
        <v>0.02</v>
      </c>
      <c r="J126">
        <f t="shared" si="17"/>
        <v>0.24007894736842106</v>
      </c>
    </row>
    <row r="127" spans="1:10" x14ac:dyDescent="0.25">
      <c r="A127">
        <v>300</v>
      </c>
      <c r="B127">
        <v>50</v>
      </c>
      <c r="C127" t="s">
        <v>10</v>
      </c>
      <c r="D127">
        <v>0.3246</v>
      </c>
      <c r="E127">
        <f t="shared" si="12"/>
        <v>30397500</v>
      </c>
      <c r="F127">
        <f t="shared" si="13"/>
        <v>323.14999999999998</v>
      </c>
      <c r="G127">
        <f t="shared" si="14"/>
        <v>3.8535183034131713</v>
      </c>
      <c r="H127">
        <f t="shared" si="15"/>
        <v>2.006578947368421E-2</v>
      </c>
      <c r="I127">
        <f t="shared" si="16"/>
        <v>0.02</v>
      </c>
      <c r="J127">
        <f t="shared" si="17"/>
        <v>0.2400657894736842</v>
      </c>
    </row>
    <row r="128" spans="1:10" x14ac:dyDescent="0.25">
      <c r="A128">
        <v>400</v>
      </c>
      <c r="B128">
        <v>50</v>
      </c>
      <c r="C128" t="s">
        <v>10</v>
      </c>
      <c r="D128">
        <v>0.4249</v>
      </c>
      <c r="E128">
        <f t="shared" si="12"/>
        <v>40530000</v>
      </c>
      <c r="F128">
        <f t="shared" si="13"/>
        <v>323.14999999999998</v>
      </c>
      <c r="G128">
        <f t="shared" si="14"/>
        <v>5.1380244045508947</v>
      </c>
      <c r="H128">
        <f t="shared" si="15"/>
        <v>2.0049342105263161E-2</v>
      </c>
      <c r="I128">
        <f t="shared" si="16"/>
        <v>0.02</v>
      </c>
      <c r="J128">
        <f t="shared" si="17"/>
        <v>0.24004934210526316</v>
      </c>
    </row>
    <row r="129" spans="1:10" x14ac:dyDescent="0.25">
      <c r="A129">
        <v>500</v>
      </c>
      <c r="B129">
        <v>50</v>
      </c>
      <c r="C129" t="s">
        <v>10</v>
      </c>
      <c r="D129">
        <v>0.52459999999999996</v>
      </c>
      <c r="E129">
        <f t="shared" si="12"/>
        <v>50662500</v>
      </c>
      <c r="F129">
        <f t="shared" si="13"/>
        <v>323.14999999999998</v>
      </c>
      <c r="G129">
        <f t="shared" si="14"/>
        <v>6.4225305056886191</v>
      </c>
      <c r="H129">
        <f t="shared" si="15"/>
        <v>2.0039473684210527E-2</v>
      </c>
      <c r="I129">
        <f t="shared" si="16"/>
        <v>0.02</v>
      </c>
      <c r="J129">
        <f t="shared" si="17"/>
        <v>0.24003947368421052</v>
      </c>
    </row>
    <row r="130" spans="1:10" x14ac:dyDescent="0.25">
      <c r="A130">
        <v>50</v>
      </c>
      <c r="B130">
        <v>75</v>
      </c>
      <c r="C130" t="s">
        <v>10</v>
      </c>
      <c r="D130">
        <v>5.7389999999999997E-2</v>
      </c>
      <c r="E130">
        <f t="shared" si="12"/>
        <v>5066250</v>
      </c>
      <c r="F130">
        <f t="shared" si="13"/>
        <v>348.15</v>
      </c>
      <c r="G130">
        <f t="shared" si="14"/>
        <v>0.39742270724558898</v>
      </c>
      <c r="H130">
        <f t="shared" si="15"/>
        <v>2.0394736842105264E-2</v>
      </c>
      <c r="I130">
        <f t="shared" si="16"/>
        <v>1.3333333333333334E-2</v>
      </c>
      <c r="J130">
        <f t="shared" si="17"/>
        <v>0.23372807017543862</v>
      </c>
    </row>
    <row r="131" spans="1:10" x14ac:dyDescent="0.25">
      <c r="A131">
        <v>75</v>
      </c>
      <c r="B131">
        <v>75</v>
      </c>
      <c r="C131" t="s">
        <v>10</v>
      </c>
      <c r="D131">
        <v>8.5220000000000004E-2</v>
      </c>
      <c r="E131">
        <f t="shared" si="12"/>
        <v>7599375</v>
      </c>
      <c r="F131">
        <f t="shared" si="13"/>
        <v>348.15</v>
      </c>
      <c r="G131">
        <f t="shared" si="14"/>
        <v>0.5961340608683835</v>
      </c>
      <c r="H131">
        <f t="shared" si="15"/>
        <v>2.0263157894736844E-2</v>
      </c>
      <c r="I131">
        <f t="shared" si="16"/>
        <v>1.3333333333333334E-2</v>
      </c>
      <c r="J131">
        <f t="shared" si="17"/>
        <v>0.23359649122807019</v>
      </c>
    </row>
    <row r="132" spans="1:10" x14ac:dyDescent="0.25">
      <c r="A132">
        <v>100</v>
      </c>
      <c r="B132">
        <v>75</v>
      </c>
      <c r="C132" t="s">
        <v>10</v>
      </c>
      <c r="D132">
        <v>0.11260000000000001</v>
      </c>
      <c r="E132">
        <f t="shared" si="12"/>
        <v>10132500</v>
      </c>
      <c r="F132">
        <f t="shared" si="13"/>
        <v>348.15</v>
      </c>
      <c r="G132">
        <f t="shared" si="14"/>
        <v>0.79484541449117796</v>
      </c>
      <c r="H132">
        <f t="shared" si="15"/>
        <v>2.0197368421052631E-2</v>
      </c>
      <c r="I132">
        <f t="shared" si="16"/>
        <v>1.3333333333333334E-2</v>
      </c>
      <c r="J132">
        <f t="shared" si="17"/>
        <v>0.23353070175438598</v>
      </c>
    </row>
    <row r="133" spans="1:10" x14ac:dyDescent="0.25">
      <c r="A133">
        <v>150</v>
      </c>
      <c r="B133">
        <v>75</v>
      </c>
      <c r="C133" t="s">
        <v>10</v>
      </c>
      <c r="D133">
        <v>0.1661</v>
      </c>
      <c r="E133">
        <f t="shared" si="12"/>
        <v>15198750</v>
      </c>
      <c r="F133">
        <f t="shared" si="13"/>
        <v>348.15</v>
      </c>
      <c r="G133">
        <f t="shared" si="14"/>
        <v>1.192268121736767</v>
      </c>
      <c r="H133">
        <f t="shared" si="15"/>
        <v>2.0131578947368424E-2</v>
      </c>
      <c r="I133">
        <f t="shared" si="16"/>
        <v>1.3333333333333334E-2</v>
      </c>
      <c r="J133">
        <f t="shared" si="17"/>
        <v>0.23346491228070176</v>
      </c>
    </row>
    <row r="134" spans="1:10" x14ac:dyDescent="0.25">
      <c r="A134">
        <v>200</v>
      </c>
      <c r="B134">
        <v>75</v>
      </c>
      <c r="C134" t="s">
        <v>10</v>
      </c>
      <c r="D134">
        <v>0.21840000000000001</v>
      </c>
      <c r="E134">
        <f t="shared" si="12"/>
        <v>20265000</v>
      </c>
      <c r="F134">
        <f t="shared" si="13"/>
        <v>348.15</v>
      </c>
      <c r="G134">
        <f t="shared" si="14"/>
        <v>1.5896908289823559</v>
      </c>
      <c r="H134">
        <f t="shared" si="15"/>
        <v>2.0098684210526317E-2</v>
      </c>
      <c r="I134">
        <f t="shared" si="16"/>
        <v>1.3333333333333334E-2</v>
      </c>
      <c r="J134">
        <f t="shared" si="17"/>
        <v>0.23343201754385967</v>
      </c>
    </row>
    <row r="135" spans="1:10" x14ac:dyDescent="0.25">
      <c r="A135">
        <v>250</v>
      </c>
      <c r="B135">
        <v>75</v>
      </c>
      <c r="C135" t="s">
        <v>10</v>
      </c>
      <c r="D135">
        <v>0.26950000000000002</v>
      </c>
      <c r="E135">
        <f t="shared" si="12"/>
        <v>25331250</v>
      </c>
      <c r="F135">
        <f t="shared" si="13"/>
        <v>348.15</v>
      </c>
      <c r="G135">
        <f t="shared" si="14"/>
        <v>1.9871135362279448</v>
      </c>
      <c r="H135">
        <f t="shared" si="15"/>
        <v>2.0078947368421054E-2</v>
      </c>
      <c r="I135">
        <f t="shared" si="16"/>
        <v>1.3333333333333334E-2</v>
      </c>
      <c r="J135">
        <f t="shared" si="17"/>
        <v>0.2334122807017544</v>
      </c>
    </row>
    <row r="136" spans="1:10" x14ac:dyDescent="0.25">
      <c r="A136">
        <v>300</v>
      </c>
      <c r="B136">
        <v>75</v>
      </c>
      <c r="C136" t="s">
        <v>10</v>
      </c>
      <c r="D136">
        <v>0.31979999999999997</v>
      </c>
      <c r="E136">
        <f t="shared" si="12"/>
        <v>30397500</v>
      </c>
      <c r="F136">
        <f t="shared" si="13"/>
        <v>348.15</v>
      </c>
      <c r="G136">
        <f t="shared" si="14"/>
        <v>2.384536243473534</v>
      </c>
      <c r="H136">
        <f t="shared" si="15"/>
        <v>2.006578947368421E-2</v>
      </c>
      <c r="I136">
        <f t="shared" si="16"/>
        <v>1.3333333333333334E-2</v>
      </c>
      <c r="J136">
        <f t="shared" si="17"/>
        <v>0.23339912280701755</v>
      </c>
    </row>
    <row r="137" spans="1:10" x14ac:dyDescent="0.25">
      <c r="A137">
        <v>400</v>
      </c>
      <c r="B137">
        <v>75</v>
      </c>
      <c r="C137" t="s">
        <v>10</v>
      </c>
      <c r="D137">
        <v>0.41789999999999999</v>
      </c>
      <c r="E137">
        <f t="shared" si="12"/>
        <v>40530000</v>
      </c>
      <c r="F137">
        <f t="shared" si="13"/>
        <v>348.15</v>
      </c>
      <c r="G137">
        <f t="shared" si="14"/>
        <v>3.1793816579647118</v>
      </c>
      <c r="H137">
        <f t="shared" si="15"/>
        <v>2.0049342105263161E-2</v>
      </c>
      <c r="I137">
        <f t="shared" si="16"/>
        <v>1.3333333333333334E-2</v>
      </c>
      <c r="J137">
        <f t="shared" si="17"/>
        <v>0.2333826754385965</v>
      </c>
    </row>
    <row r="138" spans="1:10" x14ac:dyDescent="0.25">
      <c r="A138">
        <v>500</v>
      </c>
      <c r="B138">
        <v>75</v>
      </c>
      <c r="C138" t="s">
        <v>10</v>
      </c>
      <c r="D138">
        <v>0.51329999999999998</v>
      </c>
      <c r="E138">
        <f t="shared" si="12"/>
        <v>50662500</v>
      </c>
      <c r="F138">
        <f t="shared" si="13"/>
        <v>348.15</v>
      </c>
      <c r="G138">
        <f t="shared" si="14"/>
        <v>3.9742270724558897</v>
      </c>
      <c r="H138">
        <f t="shared" si="15"/>
        <v>2.0039473684210527E-2</v>
      </c>
      <c r="I138">
        <f t="shared" si="16"/>
        <v>1.3333333333333334E-2</v>
      </c>
      <c r="J138">
        <f t="shared" si="17"/>
        <v>0.23337280701754387</v>
      </c>
    </row>
    <row r="139" spans="1:10" x14ac:dyDescent="0.25">
      <c r="A139">
        <v>75</v>
      </c>
      <c r="B139">
        <v>100</v>
      </c>
      <c r="C139" t="s">
        <v>10</v>
      </c>
      <c r="D139">
        <v>9.0079999999999993E-2</v>
      </c>
      <c r="E139">
        <f t="shared" si="12"/>
        <v>7599375</v>
      </c>
      <c r="F139">
        <f t="shared" si="13"/>
        <v>373.15</v>
      </c>
      <c r="G139">
        <f t="shared" si="14"/>
        <v>0.41714606718074709</v>
      </c>
      <c r="H139">
        <f t="shared" si="15"/>
        <v>2.0263157894736844E-2</v>
      </c>
      <c r="I139">
        <f t="shared" si="16"/>
        <v>0.01</v>
      </c>
      <c r="J139">
        <f t="shared" si="17"/>
        <v>0.23026315789473686</v>
      </c>
    </row>
    <row r="140" spans="1:10" x14ac:dyDescent="0.25">
      <c r="A140">
        <v>100</v>
      </c>
      <c r="B140">
        <v>100</v>
      </c>
      <c r="C140" t="s">
        <v>10</v>
      </c>
      <c r="D140">
        <v>0.1176</v>
      </c>
      <c r="E140">
        <f t="shared" si="12"/>
        <v>10132500</v>
      </c>
      <c r="F140">
        <f t="shared" si="13"/>
        <v>373.15</v>
      </c>
      <c r="G140">
        <f t="shared" si="14"/>
        <v>0.55619475624099612</v>
      </c>
      <c r="H140">
        <f t="shared" si="15"/>
        <v>2.0197368421052631E-2</v>
      </c>
      <c r="I140">
        <f t="shared" si="16"/>
        <v>0.01</v>
      </c>
      <c r="J140">
        <f t="shared" si="17"/>
        <v>0.23019736842105265</v>
      </c>
    </row>
    <row r="141" spans="1:10" x14ac:dyDescent="0.25">
      <c r="A141">
        <v>150</v>
      </c>
      <c r="B141">
        <v>100</v>
      </c>
      <c r="C141" t="s">
        <v>10</v>
      </c>
      <c r="D141">
        <v>0.1711</v>
      </c>
      <c r="E141">
        <f t="shared" si="12"/>
        <v>15198750</v>
      </c>
      <c r="F141">
        <f t="shared" si="13"/>
        <v>373.15</v>
      </c>
      <c r="G141">
        <f t="shared" si="14"/>
        <v>0.83429213436149419</v>
      </c>
      <c r="H141">
        <f t="shared" si="15"/>
        <v>2.0131578947368424E-2</v>
      </c>
      <c r="I141">
        <f t="shared" si="16"/>
        <v>0.01</v>
      </c>
      <c r="J141">
        <f t="shared" si="17"/>
        <v>0.23013157894736844</v>
      </c>
    </row>
    <row r="142" spans="1:10" x14ac:dyDescent="0.25">
      <c r="A142">
        <v>200</v>
      </c>
      <c r="B142">
        <v>100</v>
      </c>
      <c r="C142" t="s">
        <v>10</v>
      </c>
      <c r="D142">
        <v>0.22220000000000001</v>
      </c>
      <c r="E142">
        <f t="shared" si="12"/>
        <v>20265000</v>
      </c>
      <c r="F142">
        <f t="shared" si="13"/>
        <v>373.15</v>
      </c>
      <c r="G142">
        <f t="shared" si="14"/>
        <v>1.1123895124819922</v>
      </c>
      <c r="H142">
        <f t="shared" si="15"/>
        <v>2.0098684210526317E-2</v>
      </c>
      <c r="I142">
        <f t="shared" si="16"/>
        <v>0.01</v>
      </c>
      <c r="J142">
        <f t="shared" si="17"/>
        <v>0.23009868421052634</v>
      </c>
    </row>
    <row r="143" spans="1:10" x14ac:dyDescent="0.25">
      <c r="A143">
        <v>250</v>
      </c>
      <c r="B143">
        <v>100</v>
      </c>
      <c r="C143" t="s">
        <v>10</v>
      </c>
      <c r="D143">
        <v>0.27239999999999998</v>
      </c>
      <c r="E143">
        <f t="shared" si="12"/>
        <v>25331250</v>
      </c>
      <c r="F143">
        <f t="shared" si="13"/>
        <v>373.15</v>
      </c>
      <c r="G143">
        <f t="shared" si="14"/>
        <v>1.3904868906024903</v>
      </c>
      <c r="H143">
        <f t="shared" si="15"/>
        <v>2.0078947368421054E-2</v>
      </c>
      <c r="I143">
        <f t="shared" si="16"/>
        <v>0.01</v>
      </c>
      <c r="J143">
        <f t="shared" si="17"/>
        <v>0.23007894736842108</v>
      </c>
    </row>
    <row r="144" spans="1:10" x14ac:dyDescent="0.25">
      <c r="A144">
        <v>300</v>
      </c>
      <c r="B144">
        <v>100</v>
      </c>
      <c r="C144" t="s">
        <v>10</v>
      </c>
      <c r="D144">
        <v>0.32129999999999997</v>
      </c>
      <c r="E144">
        <f t="shared" si="12"/>
        <v>30397500</v>
      </c>
      <c r="F144">
        <f t="shared" si="13"/>
        <v>373.15</v>
      </c>
      <c r="G144">
        <f t="shared" si="14"/>
        <v>1.6685842687229884</v>
      </c>
      <c r="H144">
        <f t="shared" si="15"/>
        <v>2.006578947368421E-2</v>
      </c>
      <c r="I144">
        <f t="shared" si="16"/>
        <v>0.01</v>
      </c>
      <c r="J144">
        <f t="shared" si="17"/>
        <v>0.23006578947368422</v>
      </c>
    </row>
    <row r="145" spans="1:10" x14ac:dyDescent="0.25">
      <c r="A145">
        <v>400</v>
      </c>
      <c r="B145">
        <v>100</v>
      </c>
      <c r="C145" t="s">
        <v>10</v>
      </c>
      <c r="D145">
        <v>0.41610000000000003</v>
      </c>
      <c r="E145">
        <f t="shared" si="12"/>
        <v>40530000</v>
      </c>
      <c r="F145">
        <f t="shared" si="13"/>
        <v>373.15</v>
      </c>
      <c r="G145">
        <f t="shared" si="14"/>
        <v>2.2247790249639845</v>
      </c>
      <c r="H145">
        <f t="shared" si="15"/>
        <v>2.0049342105263161E-2</v>
      </c>
      <c r="I145">
        <f t="shared" si="16"/>
        <v>0.01</v>
      </c>
      <c r="J145">
        <f t="shared" si="17"/>
        <v>0.23004934210526318</v>
      </c>
    </row>
    <row r="146" spans="1:10" x14ac:dyDescent="0.25">
      <c r="A146">
        <v>500</v>
      </c>
      <c r="B146">
        <v>100</v>
      </c>
      <c r="C146" t="s">
        <v>10</v>
      </c>
      <c r="D146">
        <v>0.50819999999999999</v>
      </c>
      <c r="E146">
        <f t="shared" si="12"/>
        <v>50662500</v>
      </c>
      <c r="F146">
        <f t="shared" si="13"/>
        <v>373.15</v>
      </c>
      <c r="G146">
        <f t="shared" si="14"/>
        <v>2.7809737812049806</v>
      </c>
      <c r="H146">
        <f t="shared" si="15"/>
        <v>2.0039473684210527E-2</v>
      </c>
      <c r="I146">
        <f t="shared" si="16"/>
        <v>0.01</v>
      </c>
      <c r="J146">
        <f t="shared" si="17"/>
        <v>0.23003947368421054</v>
      </c>
    </row>
    <row r="147" spans="1:10" x14ac:dyDescent="0.25">
      <c r="A147">
        <v>100</v>
      </c>
      <c r="B147">
        <v>125</v>
      </c>
      <c r="C147" t="s">
        <v>10</v>
      </c>
      <c r="D147">
        <v>0.14349999999999999</v>
      </c>
      <c r="E147">
        <f t="shared" si="12"/>
        <v>10132500</v>
      </c>
      <c r="F147">
        <f t="shared" si="13"/>
        <v>398.15</v>
      </c>
      <c r="G147">
        <f t="shared" si="14"/>
        <v>0.4170168495116468</v>
      </c>
      <c r="H147">
        <f t="shared" si="15"/>
        <v>2.0197368421052631E-2</v>
      </c>
      <c r="I147">
        <f t="shared" si="16"/>
        <v>8.0000000000000002E-3</v>
      </c>
      <c r="J147">
        <f t="shared" si="17"/>
        <v>0.22819736842105265</v>
      </c>
    </row>
    <row r="148" spans="1:10" x14ac:dyDescent="0.25">
      <c r="A148">
        <v>150</v>
      </c>
      <c r="B148">
        <v>125</v>
      </c>
      <c r="C148" t="s">
        <v>10</v>
      </c>
      <c r="D148">
        <v>0.18659999999999999</v>
      </c>
      <c r="E148">
        <f t="shared" si="12"/>
        <v>15198750</v>
      </c>
      <c r="F148">
        <f t="shared" si="13"/>
        <v>398.15</v>
      </c>
      <c r="G148">
        <f t="shared" si="14"/>
        <v>0.62552527426747018</v>
      </c>
      <c r="H148">
        <f t="shared" si="15"/>
        <v>2.0131578947368424E-2</v>
      </c>
      <c r="I148">
        <f t="shared" si="16"/>
        <v>8.0000000000000002E-3</v>
      </c>
      <c r="J148">
        <f t="shared" si="17"/>
        <v>0.22813157894736844</v>
      </c>
    </row>
    <row r="149" spans="1:10" x14ac:dyDescent="0.25">
      <c r="A149">
        <v>200</v>
      </c>
      <c r="B149">
        <v>125</v>
      </c>
      <c r="C149" t="s">
        <v>10</v>
      </c>
      <c r="D149">
        <v>0.2351</v>
      </c>
      <c r="E149">
        <f t="shared" si="12"/>
        <v>20265000</v>
      </c>
      <c r="F149">
        <f t="shared" si="13"/>
        <v>398.15</v>
      </c>
      <c r="G149">
        <f t="shared" si="14"/>
        <v>0.83403369902329361</v>
      </c>
      <c r="H149">
        <f t="shared" si="15"/>
        <v>2.0098684210526317E-2</v>
      </c>
      <c r="I149">
        <f t="shared" si="16"/>
        <v>8.0000000000000002E-3</v>
      </c>
      <c r="J149">
        <f t="shared" si="17"/>
        <v>0.22809868421052634</v>
      </c>
    </row>
    <row r="150" spans="1:10" x14ac:dyDescent="0.25">
      <c r="A150">
        <v>250</v>
      </c>
      <c r="B150">
        <v>125</v>
      </c>
      <c r="C150" t="s">
        <v>10</v>
      </c>
      <c r="D150">
        <v>0.28320000000000001</v>
      </c>
      <c r="E150">
        <f t="shared" si="12"/>
        <v>25331250</v>
      </c>
      <c r="F150">
        <f t="shared" si="13"/>
        <v>398.15</v>
      </c>
      <c r="G150">
        <f t="shared" si="14"/>
        <v>1.042542123779117</v>
      </c>
      <c r="H150">
        <f t="shared" si="15"/>
        <v>2.0078947368421054E-2</v>
      </c>
      <c r="I150">
        <f t="shared" si="16"/>
        <v>8.0000000000000002E-3</v>
      </c>
      <c r="J150">
        <f t="shared" si="17"/>
        <v>0.22807894736842108</v>
      </c>
    </row>
    <row r="151" spans="1:10" x14ac:dyDescent="0.25">
      <c r="A151">
        <v>300</v>
      </c>
      <c r="B151">
        <v>125</v>
      </c>
      <c r="C151" t="s">
        <v>10</v>
      </c>
      <c r="D151">
        <v>0.33</v>
      </c>
      <c r="E151">
        <f t="shared" si="12"/>
        <v>30397500</v>
      </c>
      <c r="F151">
        <f t="shared" si="13"/>
        <v>398.15</v>
      </c>
      <c r="G151">
        <f t="shared" si="14"/>
        <v>1.2510505485349404</v>
      </c>
      <c r="H151">
        <f t="shared" si="15"/>
        <v>2.006578947368421E-2</v>
      </c>
      <c r="I151">
        <f t="shared" si="16"/>
        <v>8.0000000000000002E-3</v>
      </c>
      <c r="J151">
        <f t="shared" si="17"/>
        <v>0.22806578947368422</v>
      </c>
    </row>
    <row r="152" spans="1:10" x14ac:dyDescent="0.25">
      <c r="A152">
        <v>400</v>
      </c>
      <c r="B152">
        <v>125</v>
      </c>
      <c r="C152" t="s">
        <v>10</v>
      </c>
      <c r="D152">
        <v>0.4209</v>
      </c>
      <c r="E152">
        <f t="shared" si="12"/>
        <v>40530000</v>
      </c>
      <c r="F152">
        <f t="shared" si="13"/>
        <v>398.15</v>
      </c>
      <c r="G152">
        <f t="shared" si="14"/>
        <v>1.6680673980465872</v>
      </c>
      <c r="H152">
        <f t="shared" si="15"/>
        <v>2.0049342105263161E-2</v>
      </c>
      <c r="I152">
        <f t="shared" si="16"/>
        <v>8.0000000000000002E-3</v>
      </c>
      <c r="J152">
        <f t="shared" si="17"/>
        <v>0.22804934210526318</v>
      </c>
    </row>
    <row r="153" spans="1:10" x14ac:dyDescent="0.25">
      <c r="A153">
        <v>500</v>
      </c>
      <c r="B153">
        <v>125</v>
      </c>
      <c r="C153" t="s">
        <v>10</v>
      </c>
      <c r="D153">
        <v>0.50880000000000003</v>
      </c>
      <c r="E153">
        <f t="shared" si="12"/>
        <v>50662500</v>
      </c>
      <c r="F153">
        <f t="shared" si="13"/>
        <v>398.15</v>
      </c>
      <c r="G153">
        <f t="shared" si="14"/>
        <v>2.0850842475582341</v>
      </c>
      <c r="H153">
        <f t="shared" si="15"/>
        <v>2.0039473684210527E-2</v>
      </c>
      <c r="I153">
        <f t="shared" si="16"/>
        <v>8.0000000000000002E-3</v>
      </c>
      <c r="J153">
        <f t="shared" si="17"/>
        <v>0.22803947368421054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Duarte Nunes, Catarina</dc:creator>
  <cp:lastModifiedBy>Duarte Nunes, Catarina</cp:lastModifiedBy>
  <dcterms:created xsi:type="dcterms:W3CDTF">2025-10-22T16:40:31Z</dcterms:created>
  <dcterms:modified xsi:type="dcterms:W3CDTF">2025-10-27T13:56:55Z</dcterms:modified>
</cp:coreProperties>
</file>