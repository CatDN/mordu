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cd318_ic_ac_uk/Documents/UNI/PhD/Code/GitHub repos/EOS/dataframes/experimental_data_density/"/>
    </mc:Choice>
  </mc:AlternateContent>
  <xr:revisionPtr revIDLastSave="22" documentId="8_{908FB66B-D971-4CD3-BA9D-F63E519B3F53}" xr6:coauthVersionLast="47" xr6:coauthVersionMax="47" xr10:uidLastSave="{2649DE76-6D5B-4BCD-8964-BA88D60EDA67}"/>
  <bookViews>
    <workbookView xWindow="-120" yWindow="-120" windowWidth="29040" windowHeight="15840" xr2:uid="{4DE2EAF4-2088-492C-959D-3D95DA367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2" i="1"/>
</calcChain>
</file>

<file path=xl/sharedStrings.xml><?xml version="1.0" encoding="utf-8"?>
<sst xmlns="http://schemas.openxmlformats.org/spreadsheetml/2006/main" count="9" uniqueCount="9">
  <si>
    <t>P_raw</t>
  </si>
  <si>
    <t>T_raw</t>
  </si>
  <si>
    <t>rho_raw</t>
  </si>
  <si>
    <t>P_SI</t>
  </si>
  <si>
    <t>T_SI</t>
  </si>
  <si>
    <t>rho_SI</t>
  </si>
  <si>
    <t>delta_P</t>
  </si>
  <si>
    <t>delta_T</t>
  </si>
  <si>
    <t>delta_rho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</si>
</sst>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4EE2-E4E0-4A79-924B-9718EAC03568}">
  <dimension ref="A1:I134"/>
  <sheetViews>
    <sheetView tabSelected="1" workbookViewId="0">
      <selection activeCell="I2" sqref="I2"/>
    </sheetView>
  </sheetViews>
  <sheetFormatPr defaultRowHeight="15" x14ac:dyDescent="0.25"/>
  <cols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29.59</v>
      </c>
      <c r="B2">
        <v>325</v>
      </c>
      <c r="C2">
        <v>95</v>
      </c>
      <c r="D2">
        <f>A2*101325</f>
        <v>2998206.75</v>
      </c>
      <c r="E2">
        <f>B2+273.15</f>
        <v>598.15</v>
      </c>
      <c r="F2">
        <f>1/C2*0.001*1000000</f>
        <v>10.526315789473685</v>
      </c>
      <c r="G2">
        <f>0.01*101325/D2*100</f>
        <v>3.379520108144643E-2</v>
      </c>
      <c r="H2">
        <f>0.001/E2*100</f>
        <v>1.6718214494691969E-4</v>
      </c>
      <c r="I2">
        <f>0.5*0.000000001*F2/(9*0.001)</f>
        <v>5.8479532163742688E-7</v>
      </c>
    </row>
    <row r="3" spans="1:9" x14ac:dyDescent="0.25">
      <c r="A3">
        <v>31.22</v>
      </c>
      <c r="B3">
        <v>325</v>
      </c>
      <c r="C3">
        <v>90</v>
      </c>
      <c r="D3">
        <f t="shared" ref="D3:D66" si="0">A3*101325</f>
        <v>3163366.5</v>
      </c>
      <c r="E3">
        <f t="shared" ref="E3:E66" si="1">B3+273.15</f>
        <v>598.15</v>
      </c>
      <c r="F3">
        <f t="shared" ref="F3:F66" si="2">1/C3*0.001*1000000</f>
        <v>11.111111111111112</v>
      </c>
      <c r="G3">
        <f t="shared" ref="G3:G66" si="3">0.01*101325/D3*100</f>
        <v>3.2030749519538756E-2</v>
      </c>
      <c r="H3">
        <f t="shared" ref="H3:H66" si="4">0.001/E3*100</f>
        <v>1.6718214494691969E-4</v>
      </c>
      <c r="I3">
        <f t="shared" ref="I3:I66" si="5">0.5*0.000000001*F3/(9*0.001)</f>
        <v>6.1728395061728406E-7</v>
      </c>
    </row>
    <row r="4" spans="1:9" x14ac:dyDescent="0.25">
      <c r="A4">
        <v>35.04</v>
      </c>
      <c r="B4">
        <v>325</v>
      </c>
      <c r="C4">
        <v>80</v>
      </c>
      <c r="D4">
        <f t="shared" si="0"/>
        <v>3550428</v>
      </c>
      <c r="E4">
        <f t="shared" si="1"/>
        <v>598.15</v>
      </c>
      <c r="F4">
        <f t="shared" si="2"/>
        <v>12.5</v>
      </c>
      <c r="G4">
        <f t="shared" si="3"/>
        <v>2.8538812785388126E-2</v>
      </c>
      <c r="H4">
        <f t="shared" si="4"/>
        <v>1.6718214494691969E-4</v>
      </c>
      <c r="I4">
        <f t="shared" si="5"/>
        <v>6.9444444444444437E-7</v>
      </c>
    </row>
    <row r="5" spans="1:9" x14ac:dyDescent="0.25">
      <c r="A5">
        <v>39.9</v>
      </c>
      <c r="B5">
        <v>325</v>
      </c>
      <c r="C5">
        <v>70</v>
      </c>
      <c r="D5">
        <f t="shared" si="0"/>
        <v>4042867.5</v>
      </c>
      <c r="E5">
        <f t="shared" si="1"/>
        <v>598.15</v>
      </c>
      <c r="F5">
        <f t="shared" si="2"/>
        <v>14.285714285714285</v>
      </c>
      <c r="G5">
        <f t="shared" si="3"/>
        <v>2.5062656641604009E-2</v>
      </c>
      <c r="H5">
        <f t="shared" si="4"/>
        <v>1.6718214494691969E-4</v>
      </c>
      <c r="I5">
        <f t="shared" si="5"/>
        <v>7.9365079365079355E-7</v>
      </c>
    </row>
    <row r="6" spans="1:9" x14ac:dyDescent="0.25">
      <c r="A6">
        <v>46.34</v>
      </c>
      <c r="B6">
        <v>325</v>
      </c>
      <c r="C6">
        <v>60</v>
      </c>
      <c r="D6">
        <f t="shared" si="0"/>
        <v>4695400.5</v>
      </c>
      <c r="E6">
        <f t="shared" si="1"/>
        <v>598.15</v>
      </c>
      <c r="F6">
        <f t="shared" si="2"/>
        <v>16.666666666666668</v>
      </c>
      <c r="G6">
        <f t="shared" si="3"/>
        <v>2.1579628830384119E-2</v>
      </c>
      <c r="H6">
        <f t="shared" si="4"/>
        <v>1.6718214494691969E-4</v>
      </c>
      <c r="I6">
        <f t="shared" si="5"/>
        <v>9.2592592592592604E-7</v>
      </c>
    </row>
    <row r="7" spans="1:9" x14ac:dyDescent="0.25">
      <c r="A7">
        <v>55.24</v>
      </c>
      <c r="B7">
        <v>325</v>
      </c>
      <c r="C7">
        <v>50</v>
      </c>
      <c r="D7">
        <f t="shared" si="0"/>
        <v>5597193</v>
      </c>
      <c r="E7">
        <f t="shared" si="1"/>
        <v>598.15</v>
      </c>
      <c r="F7">
        <f t="shared" si="2"/>
        <v>20</v>
      </c>
      <c r="G7">
        <f t="shared" si="3"/>
        <v>1.8102824040550324E-2</v>
      </c>
      <c r="H7">
        <f t="shared" si="4"/>
        <v>1.6718214494691969E-4</v>
      </c>
      <c r="I7">
        <f t="shared" si="5"/>
        <v>1.111111111111111E-6</v>
      </c>
    </row>
    <row r="8" spans="1:9" x14ac:dyDescent="0.25">
      <c r="A8">
        <v>61.11</v>
      </c>
      <c r="B8">
        <v>325</v>
      </c>
      <c r="C8">
        <v>45</v>
      </c>
      <c r="D8">
        <f t="shared" si="0"/>
        <v>6191970.75</v>
      </c>
      <c r="E8">
        <f t="shared" si="1"/>
        <v>598.15</v>
      </c>
      <c r="F8">
        <f t="shared" si="2"/>
        <v>22.222222222222225</v>
      </c>
      <c r="G8">
        <f t="shared" si="3"/>
        <v>1.6363933889707083E-2</v>
      </c>
      <c r="H8">
        <f t="shared" si="4"/>
        <v>1.6718214494691969E-4</v>
      </c>
      <c r="I8">
        <f t="shared" si="5"/>
        <v>1.2345679012345681E-6</v>
      </c>
    </row>
    <row r="9" spans="1:9" x14ac:dyDescent="0.25">
      <c r="A9">
        <v>68.36</v>
      </c>
      <c r="B9">
        <v>325</v>
      </c>
      <c r="C9">
        <v>40</v>
      </c>
      <c r="D9">
        <f t="shared" si="0"/>
        <v>6926577</v>
      </c>
      <c r="E9">
        <f t="shared" si="1"/>
        <v>598.15</v>
      </c>
      <c r="F9">
        <f t="shared" si="2"/>
        <v>25</v>
      </c>
      <c r="G9">
        <f t="shared" si="3"/>
        <v>1.4628437682855471E-2</v>
      </c>
      <c r="H9">
        <f t="shared" si="4"/>
        <v>1.6718214494691969E-4</v>
      </c>
      <c r="I9">
        <f t="shared" si="5"/>
        <v>1.3888888888888887E-6</v>
      </c>
    </row>
    <row r="10" spans="1:9" x14ac:dyDescent="0.25">
      <c r="A10">
        <v>77.59</v>
      </c>
      <c r="B10">
        <v>325</v>
      </c>
      <c r="C10">
        <v>35</v>
      </c>
      <c r="D10">
        <f t="shared" si="0"/>
        <v>7861806.75</v>
      </c>
      <c r="E10">
        <f t="shared" si="1"/>
        <v>598.15</v>
      </c>
      <c r="F10">
        <f t="shared" si="2"/>
        <v>28.571428571428569</v>
      </c>
      <c r="G10">
        <f t="shared" si="3"/>
        <v>1.288825879623663E-2</v>
      </c>
      <c r="H10">
        <f t="shared" si="4"/>
        <v>1.6718214494691969E-4</v>
      </c>
      <c r="I10">
        <f t="shared" si="5"/>
        <v>1.5873015873015871E-6</v>
      </c>
    </row>
    <row r="11" spans="1:9" x14ac:dyDescent="0.25">
      <c r="A11">
        <v>89.69</v>
      </c>
      <c r="B11">
        <v>325</v>
      </c>
      <c r="C11">
        <v>30</v>
      </c>
      <c r="D11">
        <f t="shared" si="0"/>
        <v>9087839.25</v>
      </c>
      <c r="E11">
        <f t="shared" si="1"/>
        <v>598.15</v>
      </c>
      <c r="F11">
        <f t="shared" si="2"/>
        <v>33.333333333333336</v>
      </c>
      <c r="G11">
        <f t="shared" si="3"/>
        <v>1.1149514996097671E-2</v>
      </c>
      <c r="H11">
        <f t="shared" si="4"/>
        <v>1.6718214494691969E-4</v>
      </c>
      <c r="I11">
        <f t="shared" si="5"/>
        <v>1.8518518518518521E-6</v>
      </c>
    </row>
    <row r="12" spans="1:9" x14ac:dyDescent="0.25">
      <c r="A12">
        <v>106.25</v>
      </c>
      <c r="B12">
        <v>325</v>
      </c>
      <c r="C12">
        <v>25</v>
      </c>
      <c r="D12">
        <f t="shared" si="0"/>
        <v>10765781.25</v>
      </c>
      <c r="E12">
        <f t="shared" si="1"/>
        <v>598.15</v>
      </c>
      <c r="F12">
        <f t="shared" si="2"/>
        <v>40</v>
      </c>
      <c r="G12">
        <f t="shared" si="3"/>
        <v>9.4117647058823539E-3</v>
      </c>
      <c r="H12">
        <f t="shared" si="4"/>
        <v>1.6718214494691969E-4</v>
      </c>
      <c r="I12">
        <f t="shared" si="5"/>
        <v>2.2222222222222221E-6</v>
      </c>
    </row>
    <row r="13" spans="1:9" x14ac:dyDescent="0.25">
      <c r="A13">
        <v>130.4</v>
      </c>
      <c r="B13">
        <v>325</v>
      </c>
      <c r="C13">
        <v>20</v>
      </c>
      <c r="D13">
        <f t="shared" si="0"/>
        <v>13212780</v>
      </c>
      <c r="E13">
        <f t="shared" si="1"/>
        <v>598.15</v>
      </c>
      <c r="F13">
        <f t="shared" si="2"/>
        <v>50</v>
      </c>
      <c r="G13">
        <f t="shared" si="3"/>
        <v>7.6687116564417186E-3</v>
      </c>
      <c r="H13">
        <f t="shared" si="4"/>
        <v>1.6718214494691969E-4</v>
      </c>
      <c r="I13">
        <f t="shared" si="5"/>
        <v>2.7777777777777775E-6</v>
      </c>
    </row>
    <row r="14" spans="1:9" x14ac:dyDescent="0.25">
      <c r="A14">
        <v>28.29</v>
      </c>
      <c r="B14">
        <v>300</v>
      </c>
      <c r="C14">
        <v>95</v>
      </c>
      <c r="D14">
        <f t="shared" si="0"/>
        <v>2866484.25</v>
      </c>
      <c r="E14">
        <f t="shared" si="1"/>
        <v>573.15</v>
      </c>
      <c r="F14">
        <f t="shared" si="2"/>
        <v>10.526315789473685</v>
      </c>
      <c r="G14">
        <f t="shared" si="3"/>
        <v>3.5348179568752212E-2</v>
      </c>
      <c r="H14">
        <f t="shared" si="4"/>
        <v>1.7447439588240429E-4</v>
      </c>
      <c r="I14">
        <f t="shared" si="5"/>
        <v>5.8479532163742688E-7</v>
      </c>
    </row>
    <row r="15" spans="1:9" x14ac:dyDescent="0.25">
      <c r="A15">
        <v>29.84</v>
      </c>
      <c r="B15">
        <v>300</v>
      </c>
      <c r="C15">
        <v>90</v>
      </c>
      <c r="D15">
        <f t="shared" si="0"/>
        <v>3023538</v>
      </c>
      <c r="E15">
        <f t="shared" si="1"/>
        <v>573.15</v>
      </c>
      <c r="F15">
        <f t="shared" si="2"/>
        <v>11.111111111111112</v>
      </c>
      <c r="G15">
        <f t="shared" si="3"/>
        <v>3.351206434316354E-2</v>
      </c>
      <c r="H15">
        <f t="shared" si="4"/>
        <v>1.7447439588240429E-4</v>
      </c>
      <c r="I15">
        <f t="shared" si="5"/>
        <v>6.1728395061728406E-7</v>
      </c>
    </row>
    <row r="16" spans="1:9" x14ac:dyDescent="0.25">
      <c r="A16">
        <v>33.450000000000003</v>
      </c>
      <c r="B16">
        <v>300</v>
      </c>
      <c r="C16">
        <v>80</v>
      </c>
      <c r="D16">
        <f t="shared" si="0"/>
        <v>3389321.2500000005</v>
      </c>
      <c r="E16">
        <f t="shared" si="1"/>
        <v>573.15</v>
      </c>
      <c r="F16">
        <f t="shared" si="2"/>
        <v>12.5</v>
      </c>
      <c r="G16">
        <f t="shared" si="3"/>
        <v>2.9895366218236172E-2</v>
      </c>
      <c r="H16">
        <f t="shared" si="4"/>
        <v>1.7447439588240429E-4</v>
      </c>
      <c r="I16">
        <f t="shared" si="5"/>
        <v>6.9444444444444437E-7</v>
      </c>
    </row>
    <row r="17" spans="1:9" x14ac:dyDescent="0.25">
      <c r="A17">
        <v>38.08</v>
      </c>
      <c r="B17">
        <v>300</v>
      </c>
      <c r="C17">
        <v>70</v>
      </c>
      <c r="D17">
        <f t="shared" si="0"/>
        <v>3858456</v>
      </c>
      <c r="E17">
        <f t="shared" si="1"/>
        <v>573.15</v>
      </c>
      <c r="F17">
        <f t="shared" si="2"/>
        <v>14.285714285714285</v>
      </c>
      <c r="G17">
        <f t="shared" si="3"/>
        <v>2.6260504201680673E-2</v>
      </c>
      <c r="H17">
        <f t="shared" si="4"/>
        <v>1.7447439588240429E-4</v>
      </c>
      <c r="I17">
        <f t="shared" si="5"/>
        <v>7.9365079365079355E-7</v>
      </c>
    </row>
    <row r="18" spans="1:9" x14ac:dyDescent="0.25">
      <c r="A18">
        <v>44.18</v>
      </c>
      <c r="B18">
        <v>300</v>
      </c>
      <c r="C18">
        <v>60</v>
      </c>
      <c r="D18">
        <f t="shared" si="0"/>
        <v>4476538.5</v>
      </c>
      <c r="E18">
        <f t="shared" si="1"/>
        <v>573.15</v>
      </c>
      <c r="F18">
        <f t="shared" si="2"/>
        <v>16.666666666666668</v>
      </c>
      <c r="G18">
        <f t="shared" si="3"/>
        <v>2.2634676324128564E-2</v>
      </c>
      <c r="H18">
        <f t="shared" si="4"/>
        <v>1.7447439588240429E-4</v>
      </c>
      <c r="I18">
        <f t="shared" si="5"/>
        <v>9.2592592592592604E-7</v>
      </c>
    </row>
    <row r="19" spans="1:9" x14ac:dyDescent="0.25">
      <c r="A19">
        <v>52.62</v>
      </c>
      <c r="B19">
        <v>300</v>
      </c>
      <c r="C19">
        <v>50</v>
      </c>
      <c r="D19">
        <f t="shared" si="0"/>
        <v>5331721.5</v>
      </c>
      <c r="E19">
        <f t="shared" si="1"/>
        <v>573.15</v>
      </c>
      <c r="F19">
        <f t="shared" si="2"/>
        <v>20</v>
      </c>
      <c r="G19">
        <f t="shared" si="3"/>
        <v>1.9004180919802355E-2</v>
      </c>
      <c r="H19">
        <f t="shared" si="4"/>
        <v>1.7447439588240429E-4</v>
      </c>
      <c r="I19">
        <f t="shared" si="5"/>
        <v>1.111111111111111E-6</v>
      </c>
    </row>
    <row r="20" spans="1:9" x14ac:dyDescent="0.25">
      <c r="A20">
        <v>58.16</v>
      </c>
      <c r="B20">
        <v>300</v>
      </c>
      <c r="C20">
        <v>45</v>
      </c>
      <c r="D20">
        <f t="shared" si="0"/>
        <v>5893062</v>
      </c>
      <c r="E20">
        <f t="shared" si="1"/>
        <v>573.15</v>
      </c>
      <c r="F20">
        <f t="shared" si="2"/>
        <v>22.222222222222225</v>
      </c>
      <c r="G20">
        <f t="shared" si="3"/>
        <v>1.7193947730398899E-2</v>
      </c>
      <c r="H20">
        <f t="shared" si="4"/>
        <v>1.7447439588240429E-4</v>
      </c>
      <c r="I20">
        <f t="shared" si="5"/>
        <v>1.2345679012345681E-6</v>
      </c>
    </row>
    <row r="21" spans="1:9" x14ac:dyDescent="0.25">
      <c r="A21">
        <v>65.03</v>
      </c>
      <c r="B21">
        <v>300</v>
      </c>
      <c r="C21">
        <v>40</v>
      </c>
      <c r="D21">
        <f t="shared" si="0"/>
        <v>6589164.75</v>
      </c>
      <c r="E21">
        <f t="shared" si="1"/>
        <v>573.15</v>
      </c>
      <c r="F21">
        <f t="shared" si="2"/>
        <v>25</v>
      </c>
      <c r="G21">
        <f t="shared" si="3"/>
        <v>1.5377518068583732E-2</v>
      </c>
      <c r="H21">
        <f t="shared" si="4"/>
        <v>1.7447439588240429E-4</v>
      </c>
      <c r="I21">
        <f t="shared" si="5"/>
        <v>1.3888888888888887E-6</v>
      </c>
    </row>
    <row r="22" spans="1:9" x14ac:dyDescent="0.25">
      <c r="A22">
        <v>73.680000000000007</v>
      </c>
      <c r="B22">
        <v>300</v>
      </c>
      <c r="C22">
        <v>35</v>
      </c>
      <c r="D22">
        <f t="shared" si="0"/>
        <v>7465626.0000000009</v>
      </c>
      <c r="E22">
        <f t="shared" si="1"/>
        <v>573.15</v>
      </c>
      <c r="F22">
        <f t="shared" si="2"/>
        <v>28.571428571428569</v>
      </c>
      <c r="G22">
        <f t="shared" si="3"/>
        <v>1.3572204125950052E-2</v>
      </c>
      <c r="H22">
        <f t="shared" si="4"/>
        <v>1.7447439588240429E-4</v>
      </c>
      <c r="I22">
        <f t="shared" si="5"/>
        <v>1.5873015873015871E-6</v>
      </c>
    </row>
    <row r="23" spans="1:9" x14ac:dyDescent="0.25">
      <c r="A23">
        <v>85.09</v>
      </c>
      <c r="B23">
        <v>300</v>
      </c>
      <c r="C23">
        <v>30</v>
      </c>
      <c r="D23">
        <f t="shared" si="0"/>
        <v>8621744.25</v>
      </c>
      <c r="E23">
        <f t="shared" si="1"/>
        <v>573.15</v>
      </c>
      <c r="F23">
        <f t="shared" si="2"/>
        <v>33.333333333333336</v>
      </c>
      <c r="G23">
        <f t="shared" si="3"/>
        <v>1.175226231049477E-2</v>
      </c>
      <c r="H23">
        <f t="shared" si="4"/>
        <v>1.7447439588240429E-4</v>
      </c>
      <c r="I23">
        <f t="shared" si="5"/>
        <v>1.8518518518518521E-6</v>
      </c>
    </row>
    <row r="24" spans="1:9" x14ac:dyDescent="0.25">
      <c r="A24">
        <v>100.61</v>
      </c>
      <c r="B24">
        <v>300</v>
      </c>
      <c r="C24">
        <v>25</v>
      </c>
      <c r="D24">
        <f t="shared" si="0"/>
        <v>10194308.25</v>
      </c>
      <c r="E24">
        <f t="shared" si="1"/>
        <v>573.15</v>
      </c>
      <c r="F24">
        <f t="shared" si="2"/>
        <v>40</v>
      </c>
      <c r="G24">
        <f t="shared" si="3"/>
        <v>9.9393698439518945E-3</v>
      </c>
      <c r="H24">
        <f t="shared" si="4"/>
        <v>1.7447439588240429E-4</v>
      </c>
      <c r="I24">
        <f t="shared" si="5"/>
        <v>2.2222222222222221E-6</v>
      </c>
    </row>
    <row r="25" spans="1:9" x14ac:dyDescent="0.25">
      <c r="A25">
        <v>123.1</v>
      </c>
      <c r="B25">
        <v>300</v>
      </c>
      <c r="C25">
        <v>20</v>
      </c>
      <c r="D25">
        <f t="shared" si="0"/>
        <v>12473107.5</v>
      </c>
      <c r="E25">
        <f t="shared" si="1"/>
        <v>573.15</v>
      </c>
      <c r="F25">
        <f t="shared" si="2"/>
        <v>50</v>
      </c>
      <c r="G25">
        <f t="shared" si="3"/>
        <v>8.1234768480909821E-3</v>
      </c>
      <c r="H25">
        <f t="shared" si="4"/>
        <v>1.7447439588240429E-4</v>
      </c>
      <c r="I25">
        <f t="shared" si="5"/>
        <v>2.7777777777777775E-6</v>
      </c>
    </row>
    <row r="26" spans="1:9" x14ac:dyDescent="0.25">
      <c r="A26">
        <v>26.98</v>
      </c>
      <c r="B26">
        <v>275</v>
      </c>
      <c r="C26">
        <v>95</v>
      </c>
      <c r="D26">
        <f t="shared" si="0"/>
        <v>2733748.5</v>
      </c>
      <c r="E26">
        <f t="shared" si="1"/>
        <v>548.15</v>
      </c>
      <c r="F26">
        <f t="shared" si="2"/>
        <v>10.526315789473685</v>
      </c>
      <c r="G26">
        <f t="shared" si="3"/>
        <v>3.7064492216456635E-2</v>
      </c>
      <c r="H26">
        <f t="shared" si="4"/>
        <v>1.8243181610872936E-4</v>
      </c>
      <c r="I26">
        <f t="shared" si="5"/>
        <v>5.8479532163742688E-7</v>
      </c>
    </row>
    <row r="27" spans="1:9" x14ac:dyDescent="0.25">
      <c r="A27">
        <v>28.44</v>
      </c>
      <c r="B27">
        <v>275</v>
      </c>
      <c r="C27">
        <v>90</v>
      </c>
      <c r="D27">
        <f t="shared" si="0"/>
        <v>2881683</v>
      </c>
      <c r="E27">
        <f t="shared" si="1"/>
        <v>548.15</v>
      </c>
      <c r="F27">
        <f t="shared" si="2"/>
        <v>11.111111111111112</v>
      </c>
      <c r="G27">
        <f t="shared" si="3"/>
        <v>3.5161744022503515E-2</v>
      </c>
      <c r="H27">
        <f t="shared" si="4"/>
        <v>1.8243181610872936E-4</v>
      </c>
      <c r="I27">
        <f t="shared" si="5"/>
        <v>6.1728395061728406E-7</v>
      </c>
    </row>
    <row r="28" spans="1:9" x14ac:dyDescent="0.25">
      <c r="A28">
        <v>31.87</v>
      </c>
      <c r="B28">
        <v>275</v>
      </c>
      <c r="C28">
        <v>80</v>
      </c>
      <c r="D28">
        <f t="shared" si="0"/>
        <v>3229227.75</v>
      </c>
      <c r="E28">
        <f t="shared" si="1"/>
        <v>548.15</v>
      </c>
      <c r="F28">
        <f t="shared" si="2"/>
        <v>12.5</v>
      </c>
      <c r="G28">
        <f t="shared" si="3"/>
        <v>3.1377470975839344E-2</v>
      </c>
      <c r="H28">
        <f t="shared" si="4"/>
        <v>1.8243181610872936E-4</v>
      </c>
      <c r="I28">
        <f t="shared" si="5"/>
        <v>6.9444444444444437E-7</v>
      </c>
    </row>
    <row r="29" spans="1:9" x14ac:dyDescent="0.25">
      <c r="A29">
        <v>36.25</v>
      </c>
      <c r="B29">
        <v>275</v>
      </c>
      <c r="C29">
        <v>70</v>
      </c>
      <c r="D29">
        <f t="shared" si="0"/>
        <v>3673031.25</v>
      </c>
      <c r="E29">
        <f t="shared" si="1"/>
        <v>548.15</v>
      </c>
      <c r="F29">
        <f t="shared" si="2"/>
        <v>14.285714285714285</v>
      </c>
      <c r="G29">
        <f t="shared" si="3"/>
        <v>2.7586206896551724E-2</v>
      </c>
      <c r="H29">
        <f t="shared" si="4"/>
        <v>1.8243181610872936E-4</v>
      </c>
      <c r="I29">
        <f t="shared" si="5"/>
        <v>7.9365079365079355E-7</v>
      </c>
    </row>
    <row r="30" spans="1:9" x14ac:dyDescent="0.25">
      <c r="A30">
        <v>42</v>
      </c>
      <c r="B30">
        <v>275</v>
      </c>
      <c r="C30">
        <v>60</v>
      </c>
      <c r="D30">
        <f t="shared" si="0"/>
        <v>4255650</v>
      </c>
      <c r="E30">
        <f t="shared" si="1"/>
        <v>548.15</v>
      </c>
      <c r="F30">
        <f t="shared" si="2"/>
        <v>16.666666666666668</v>
      </c>
      <c r="G30">
        <f t="shared" si="3"/>
        <v>2.3809523809523808E-2</v>
      </c>
      <c r="H30">
        <f t="shared" si="4"/>
        <v>1.8243181610872936E-4</v>
      </c>
      <c r="I30">
        <f t="shared" si="5"/>
        <v>9.2592592592592604E-7</v>
      </c>
    </row>
    <row r="31" spans="1:9" x14ac:dyDescent="0.25">
      <c r="A31">
        <v>49.96</v>
      </c>
      <c r="B31">
        <v>275</v>
      </c>
      <c r="C31">
        <v>50</v>
      </c>
      <c r="D31">
        <f t="shared" si="0"/>
        <v>5062197</v>
      </c>
      <c r="E31">
        <f t="shared" si="1"/>
        <v>548.15</v>
      </c>
      <c r="F31">
        <f t="shared" si="2"/>
        <v>20</v>
      </c>
      <c r="G31">
        <f t="shared" si="3"/>
        <v>2.0016012810248198E-2</v>
      </c>
      <c r="H31">
        <f t="shared" si="4"/>
        <v>1.8243181610872936E-4</v>
      </c>
      <c r="I31">
        <f t="shared" si="5"/>
        <v>1.111111111111111E-6</v>
      </c>
    </row>
    <row r="32" spans="1:9" x14ac:dyDescent="0.25">
      <c r="A32">
        <v>55.18</v>
      </c>
      <c r="B32">
        <v>275</v>
      </c>
      <c r="C32">
        <v>45</v>
      </c>
      <c r="D32">
        <f t="shared" si="0"/>
        <v>5591113.5</v>
      </c>
      <c r="E32">
        <f t="shared" si="1"/>
        <v>548.15</v>
      </c>
      <c r="F32">
        <f t="shared" si="2"/>
        <v>22.222222222222225</v>
      </c>
      <c r="G32">
        <f t="shared" si="3"/>
        <v>1.8122508155128669E-2</v>
      </c>
      <c r="H32">
        <f t="shared" si="4"/>
        <v>1.8243181610872936E-4</v>
      </c>
      <c r="I32">
        <f t="shared" si="5"/>
        <v>1.2345679012345681E-6</v>
      </c>
    </row>
    <row r="33" spans="1:9" x14ac:dyDescent="0.25">
      <c r="A33">
        <v>61.62</v>
      </c>
      <c r="B33">
        <v>275</v>
      </c>
      <c r="C33">
        <v>40</v>
      </c>
      <c r="D33">
        <f t="shared" si="0"/>
        <v>6243646.5</v>
      </c>
      <c r="E33">
        <f t="shared" si="1"/>
        <v>548.15</v>
      </c>
      <c r="F33">
        <f t="shared" si="2"/>
        <v>25</v>
      </c>
      <c r="G33">
        <f t="shared" si="3"/>
        <v>1.6228497241155469E-2</v>
      </c>
      <c r="H33">
        <f t="shared" si="4"/>
        <v>1.8243181610872936E-4</v>
      </c>
      <c r="I33">
        <f t="shared" si="5"/>
        <v>1.3888888888888887E-6</v>
      </c>
    </row>
    <row r="34" spans="1:9" x14ac:dyDescent="0.25">
      <c r="A34">
        <v>69.77</v>
      </c>
      <c r="B34">
        <v>275</v>
      </c>
      <c r="C34">
        <v>35</v>
      </c>
      <c r="D34">
        <f t="shared" si="0"/>
        <v>7069445.25</v>
      </c>
      <c r="E34">
        <f t="shared" si="1"/>
        <v>548.15</v>
      </c>
      <c r="F34">
        <f t="shared" si="2"/>
        <v>28.571428571428569</v>
      </c>
      <c r="G34">
        <f t="shared" si="3"/>
        <v>1.4332807797047441E-2</v>
      </c>
      <c r="H34">
        <f t="shared" si="4"/>
        <v>1.8243181610872936E-4</v>
      </c>
      <c r="I34">
        <f t="shared" si="5"/>
        <v>1.5873015873015871E-6</v>
      </c>
    </row>
    <row r="35" spans="1:9" x14ac:dyDescent="0.25">
      <c r="A35">
        <v>80.45</v>
      </c>
      <c r="B35">
        <v>275</v>
      </c>
      <c r="C35">
        <v>30</v>
      </c>
      <c r="D35">
        <f t="shared" si="0"/>
        <v>8151596.25</v>
      </c>
      <c r="E35">
        <f t="shared" si="1"/>
        <v>548.15</v>
      </c>
      <c r="F35">
        <f t="shared" si="2"/>
        <v>33.333333333333336</v>
      </c>
      <c r="G35">
        <f t="shared" si="3"/>
        <v>1.2430080795525171E-2</v>
      </c>
      <c r="H35">
        <f t="shared" si="4"/>
        <v>1.8243181610872936E-4</v>
      </c>
      <c r="I35">
        <f t="shared" si="5"/>
        <v>1.8518518518518521E-6</v>
      </c>
    </row>
    <row r="36" spans="1:9" x14ac:dyDescent="0.25">
      <c r="A36">
        <v>94.88</v>
      </c>
      <c r="B36">
        <v>275</v>
      </c>
      <c r="C36">
        <v>25</v>
      </c>
      <c r="D36">
        <f t="shared" si="0"/>
        <v>9613716</v>
      </c>
      <c r="E36">
        <f t="shared" si="1"/>
        <v>548.15</v>
      </c>
      <c r="F36">
        <f t="shared" si="2"/>
        <v>40</v>
      </c>
      <c r="G36">
        <f t="shared" si="3"/>
        <v>1.0539629005059021E-2</v>
      </c>
      <c r="H36">
        <f t="shared" si="4"/>
        <v>1.8243181610872936E-4</v>
      </c>
      <c r="I36">
        <f t="shared" si="5"/>
        <v>2.2222222222222221E-6</v>
      </c>
    </row>
    <row r="37" spans="1:9" x14ac:dyDescent="0.25">
      <c r="A37">
        <v>115.67</v>
      </c>
      <c r="B37">
        <v>275</v>
      </c>
      <c r="C37">
        <v>20</v>
      </c>
      <c r="D37">
        <f t="shared" si="0"/>
        <v>11720262.75</v>
      </c>
      <c r="E37">
        <f t="shared" si="1"/>
        <v>548.15</v>
      </c>
      <c r="F37">
        <f t="shared" si="2"/>
        <v>50</v>
      </c>
      <c r="G37">
        <f t="shared" si="3"/>
        <v>8.6452839975793196E-3</v>
      </c>
      <c r="H37">
        <f t="shared" si="4"/>
        <v>1.8243181610872936E-4</v>
      </c>
      <c r="I37">
        <f t="shared" si="5"/>
        <v>2.7777777777777775E-6</v>
      </c>
    </row>
    <row r="38" spans="1:9" x14ac:dyDescent="0.25">
      <c r="A38">
        <v>25.64</v>
      </c>
      <c r="B38">
        <v>250</v>
      </c>
      <c r="C38">
        <v>95</v>
      </c>
      <c r="D38">
        <f t="shared" si="0"/>
        <v>2597973</v>
      </c>
      <c r="E38">
        <f t="shared" si="1"/>
        <v>523.15</v>
      </c>
      <c r="F38">
        <f t="shared" si="2"/>
        <v>10.526315789473685</v>
      </c>
      <c r="G38">
        <f t="shared" si="3"/>
        <v>3.9001560062402497E-2</v>
      </c>
      <c r="H38">
        <f t="shared" si="4"/>
        <v>1.9114976584153686E-4</v>
      </c>
      <c r="I38">
        <f t="shared" si="5"/>
        <v>5.8479532163742688E-7</v>
      </c>
    </row>
    <row r="39" spans="1:9" x14ac:dyDescent="0.25">
      <c r="A39">
        <v>27.01</v>
      </c>
      <c r="B39">
        <v>250</v>
      </c>
      <c r="C39">
        <v>90</v>
      </c>
      <c r="D39">
        <f t="shared" si="0"/>
        <v>2736788.25</v>
      </c>
      <c r="E39">
        <f t="shared" si="1"/>
        <v>523.15</v>
      </c>
      <c r="F39">
        <f t="shared" si="2"/>
        <v>11.111111111111112</v>
      </c>
      <c r="G39">
        <f t="shared" si="3"/>
        <v>3.7023324694557574E-2</v>
      </c>
      <c r="H39">
        <f t="shared" si="4"/>
        <v>1.9114976584153686E-4</v>
      </c>
      <c r="I39">
        <f t="shared" si="5"/>
        <v>6.1728395061728406E-7</v>
      </c>
    </row>
    <row r="40" spans="1:9" x14ac:dyDescent="0.25">
      <c r="A40">
        <v>30.27</v>
      </c>
      <c r="B40">
        <v>250</v>
      </c>
      <c r="C40">
        <v>80</v>
      </c>
      <c r="D40">
        <f t="shared" si="0"/>
        <v>3067107.75</v>
      </c>
      <c r="E40">
        <f t="shared" si="1"/>
        <v>523.15</v>
      </c>
      <c r="F40">
        <f t="shared" si="2"/>
        <v>12.5</v>
      </c>
      <c r="G40">
        <f t="shared" si="3"/>
        <v>3.3036009250082585E-2</v>
      </c>
      <c r="H40">
        <f t="shared" si="4"/>
        <v>1.9114976584153686E-4</v>
      </c>
      <c r="I40">
        <f t="shared" si="5"/>
        <v>6.9444444444444437E-7</v>
      </c>
    </row>
    <row r="41" spans="1:9" x14ac:dyDescent="0.25">
      <c r="A41">
        <v>34.39</v>
      </c>
      <c r="B41">
        <v>250</v>
      </c>
      <c r="C41">
        <v>70</v>
      </c>
      <c r="D41">
        <f t="shared" si="0"/>
        <v>3484566.75</v>
      </c>
      <c r="E41">
        <f t="shared" si="1"/>
        <v>523.15</v>
      </c>
      <c r="F41">
        <f t="shared" si="2"/>
        <v>14.285714285714285</v>
      </c>
      <c r="G41">
        <f t="shared" si="3"/>
        <v>2.9078220412910728E-2</v>
      </c>
      <c r="H41">
        <f t="shared" si="4"/>
        <v>1.9114976584153686E-4</v>
      </c>
      <c r="I41">
        <f t="shared" si="5"/>
        <v>7.9365079365079355E-7</v>
      </c>
    </row>
    <row r="42" spans="1:9" x14ac:dyDescent="0.25">
      <c r="A42">
        <v>39.83</v>
      </c>
      <c r="B42">
        <v>250</v>
      </c>
      <c r="C42">
        <v>60</v>
      </c>
      <c r="D42">
        <f t="shared" si="0"/>
        <v>4035774.75</v>
      </c>
      <c r="E42">
        <f t="shared" si="1"/>
        <v>523.15</v>
      </c>
      <c r="F42">
        <f t="shared" si="2"/>
        <v>16.666666666666668</v>
      </c>
      <c r="G42">
        <f t="shared" si="3"/>
        <v>2.5106703489831784E-2</v>
      </c>
      <c r="H42">
        <f t="shared" si="4"/>
        <v>1.9114976584153686E-4</v>
      </c>
      <c r="I42">
        <f t="shared" si="5"/>
        <v>9.2592592592592604E-7</v>
      </c>
    </row>
    <row r="43" spans="1:9" x14ac:dyDescent="0.25">
      <c r="A43">
        <v>47.33</v>
      </c>
      <c r="B43">
        <v>250</v>
      </c>
      <c r="C43">
        <v>50</v>
      </c>
      <c r="D43">
        <f t="shared" si="0"/>
        <v>4795712.25</v>
      </c>
      <c r="E43">
        <f t="shared" si="1"/>
        <v>523.15</v>
      </c>
      <c r="F43">
        <f t="shared" si="2"/>
        <v>20</v>
      </c>
      <c r="G43">
        <f t="shared" si="3"/>
        <v>2.1128248468201986E-2</v>
      </c>
      <c r="H43">
        <f t="shared" si="4"/>
        <v>1.9114976584153686E-4</v>
      </c>
      <c r="I43">
        <f t="shared" si="5"/>
        <v>1.111111111111111E-6</v>
      </c>
    </row>
    <row r="44" spans="1:9" x14ac:dyDescent="0.25">
      <c r="A44">
        <v>52.22</v>
      </c>
      <c r="B44">
        <v>250</v>
      </c>
      <c r="C44">
        <v>45</v>
      </c>
      <c r="D44">
        <f t="shared" si="0"/>
        <v>5291191.5</v>
      </c>
      <c r="E44">
        <f t="shared" si="1"/>
        <v>523.15</v>
      </c>
      <c r="F44">
        <f t="shared" si="2"/>
        <v>22.222222222222225</v>
      </c>
      <c r="G44">
        <f t="shared" si="3"/>
        <v>1.9149751053236307E-2</v>
      </c>
      <c r="H44">
        <f t="shared" si="4"/>
        <v>1.9114976584153686E-4</v>
      </c>
      <c r="I44">
        <f t="shared" si="5"/>
        <v>1.2345679012345681E-6</v>
      </c>
    </row>
    <row r="45" spans="1:9" x14ac:dyDescent="0.25">
      <c r="A45">
        <v>58.26</v>
      </c>
      <c r="B45">
        <v>250</v>
      </c>
      <c r="C45">
        <v>40</v>
      </c>
      <c r="D45">
        <f t="shared" si="0"/>
        <v>5903194.5</v>
      </c>
      <c r="E45">
        <f t="shared" si="1"/>
        <v>523.15</v>
      </c>
      <c r="F45">
        <f t="shared" si="2"/>
        <v>25</v>
      </c>
      <c r="G45">
        <f t="shared" si="3"/>
        <v>1.7164435290078956E-2</v>
      </c>
      <c r="H45">
        <f t="shared" si="4"/>
        <v>1.9114976584153686E-4</v>
      </c>
      <c r="I45">
        <f t="shared" si="5"/>
        <v>1.3888888888888887E-6</v>
      </c>
    </row>
    <row r="46" spans="1:9" x14ac:dyDescent="0.25">
      <c r="A46">
        <v>65.86</v>
      </c>
      <c r="B46">
        <v>250</v>
      </c>
      <c r="C46">
        <v>35</v>
      </c>
      <c r="D46">
        <f t="shared" si="0"/>
        <v>6673264.5</v>
      </c>
      <c r="E46">
        <f t="shared" si="1"/>
        <v>523.15</v>
      </c>
      <c r="F46">
        <f t="shared" si="2"/>
        <v>28.571428571428569</v>
      </c>
      <c r="G46">
        <f t="shared" si="3"/>
        <v>1.518372304889159E-2</v>
      </c>
      <c r="H46">
        <f t="shared" si="4"/>
        <v>1.9114976584153686E-4</v>
      </c>
      <c r="I46">
        <f t="shared" si="5"/>
        <v>1.5873015873015871E-6</v>
      </c>
    </row>
    <row r="47" spans="1:9" x14ac:dyDescent="0.25">
      <c r="A47">
        <v>75.739999999999995</v>
      </c>
      <c r="B47">
        <v>250</v>
      </c>
      <c r="C47">
        <v>30</v>
      </c>
      <c r="D47">
        <f t="shared" si="0"/>
        <v>7674355.4999999991</v>
      </c>
      <c r="E47">
        <f t="shared" si="1"/>
        <v>523.15</v>
      </c>
      <c r="F47">
        <f t="shared" si="2"/>
        <v>33.333333333333336</v>
      </c>
      <c r="G47">
        <f t="shared" si="3"/>
        <v>1.3203063110641672E-2</v>
      </c>
      <c r="H47">
        <f t="shared" si="4"/>
        <v>1.9114976584153686E-4</v>
      </c>
      <c r="I47">
        <f t="shared" si="5"/>
        <v>1.8518518518518521E-6</v>
      </c>
    </row>
    <row r="48" spans="1:9" x14ac:dyDescent="0.25">
      <c r="A48">
        <v>89.11</v>
      </c>
      <c r="B48">
        <v>250</v>
      </c>
      <c r="C48">
        <v>25</v>
      </c>
      <c r="D48">
        <f t="shared" si="0"/>
        <v>9029070.75</v>
      </c>
      <c r="E48">
        <f t="shared" si="1"/>
        <v>523.15</v>
      </c>
      <c r="F48">
        <f t="shared" si="2"/>
        <v>40</v>
      </c>
      <c r="G48">
        <f t="shared" si="3"/>
        <v>1.1222085063404781E-2</v>
      </c>
      <c r="H48">
        <f t="shared" si="4"/>
        <v>1.9114976584153686E-4</v>
      </c>
      <c r="I48">
        <f t="shared" si="5"/>
        <v>2.2222222222222221E-6</v>
      </c>
    </row>
    <row r="49" spans="1:9" x14ac:dyDescent="0.25">
      <c r="A49">
        <v>108.18</v>
      </c>
      <c r="B49">
        <v>250</v>
      </c>
      <c r="C49">
        <v>20</v>
      </c>
      <c r="D49">
        <f t="shared" si="0"/>
        <v>10961338.5</v>
      </c>
      <c r="E49">
        <f t="shared" si="1"/>
        <v>523.15</v>
      </c>
      <c r="F49">
        <f t="shared" si="2"/>
        <v>50</v>
      </c>
      <c r="G49">
        <f t="shared" si="3"/>
        <v>9.2438528378628211E-3</v>
      </c>
      <c r="H49">
        <f t="shared" si="4"/>
        <v>1.9114976584153686E-4</v>
      </c>
      <c r="I49">
        <f t="shared" si="5"/>
        <v>2.7777777777777775E-6</v>
      </c>
    </row>
    <row r="50" spans="1:9" x14ac:dyDescent="0.25">
      <c r="A50">
        <v>24.3</v>
      </c>
      <c r="B50">
        <v>225</v>
      </c>
      <c r="C50">
        <v>95</v>
      </c>
      <c r="D50">
        <f t="shared" si="0"/>
        <v>2462197.5</v>
      </c>
      <c r="E50">
        <f t="shared" si="1"/>
        <v>498.15</v>
      </c>
      <c r="F50">
        <f t="shared" si="2"/>
        <v>10.526315789473685</v>
      </c>
      <c r="G50">
        <f t="shared" si="3"/>
        <v>4.1152263374485597E-2</v>
      </c>
      <c r="H50">
        <f t="shared" si="4"/>
        <v>2.0074274816822245E-4</v>
      </c>
      <c r="I50">
        <f t="shared" si="5"/>
        <v>5.8479532163742688E-7</v>
      </c>
    </row>
    <row r="51" spans="1:9" x14ac:dyDescent="0.25">
      <c r="A51">
        <v>25.59</v>
      </c>
      <c r="B51">
        <v>225</v>
      </c>
      <c r="C51">
        <v>90</v>
      </c>
      <c r="D51">
        <f t="shared" si="0"/>
        <v>2592906.75</v>
      </c>
      <c r="E51">
        <f t="shared" si="1"/>
        <v>498.15</v>
      </c>
      <c r="F51">
        <f t="shared" si="2"/>
        <v>11.111111111111112</v>
      </c>
      <c r="G51">
        <f t="shared" si="3"/>
        <v>3.9077764751856196E-2</v>
      </c>
      <c r="H51">
        <f t="shared" si="4"/>
        <v>2.0074274816822245E-4</v>
      </c>
      <c r="I51">
        <f t="shared" si="5"/>
        <v>6.1728395061728406E-7</v>
      </c>
    </row>
    <row r="52" spans="1:9" x14ac:dyDescent="0.25">
      <c r="A52">
        <v>28.64</v>
      </c>
      <c r="B52">
        <v>225</v>
      </c>
      <c r="C52">
        <v>80</v>
      </c>
      <c r="D52">
        <f t="shared" si="0"/>
        <v>2901948</v>
      </c>
      <c r="E52">
        <f t="shared" si="1"/>
        <v>498.15</v>
      </c>
      <c r="F52">
        <f t="shared" si="2"/>
        <v>12.5</v>
      </c>
      <c r="G52">
        <f t="shared" si="3"/>
        <v>3.4916201117318434E-2</v>
      </c>
      <c r="H52">
        <f t="shared" si="4"/>
        <v>2.0074274816822245E-4</v>
      </c>
      <c r="I52">
        <f t="shared" si="5"/>
        <v>6.9444444444444437E-7</v>
      </c>
    </row>
    <row r="53" spans="1:9" x14ac:dyDescent="0.25">
      <c r="A53">
        <v>32.54</v>
      </c>
      <c r="B53">
        <v>225</v>
      </c>
      <c r="C53">
        <v>70</v>
      </c>
      <c r="D53">
        <f t="shared" si="0"/>
        <v>3297115.5</v>
      </c>
      <c r="E53">
        <f t="shared" si="1"/>
        <v>498.15</v>
      </c>
      <c r="F53">
        <f t="shared" si="2"/>
        <v>14.285714285714285</v>
      </c>
      <c r="G53">
        <f t="shared" si="3"/>
        <v>3.0731407498463426E-2</v>
      </c>
      <c r="H53">
        <f t="shared" si="4"/>
        <v>2.0074274816822245E-4</v>
      </c>
      <c r="I53">
        <f t="shared" si="5"/>
        <v>7.9365079365079355E-7</v>
      </c>
    </row>
    <row r="54" spans="1:9" x14ac:dyDescent="0.25">
      <c r="A54">
        <v>37.64</v>
      </c>
      <c r="B54">
        <v>225</v>
      </c>
      <c r="C54">
        <v>60</v>
      </c>
      <c r="D54">
        <f t="shared" si="0"/>
        <v>3813873</v>
      </c>
      <c r="E54">
        <f t="shared" si="1"/>
        <v>498.15</v>
      </c>
      <c r="F54">
        <f t="shared" si="2"/>
        <v>16.666666666666668</v>
      </c>
      <c r="G54">
        <f t="shared" si="3"/>
        <v>2.6567481402763018E-2</v>
      </c>
      <c r="H54">
        <f t="shared" si="4"/>
        <v>2.0074274816822245E-4</v>
      </c>
      <c r="I54">
        <f t="shared" si="5"/>
        <v>9.2592592592592604E-7</v>
      </c>
    </row>
    <row r="55" spans="1:9" x14ac:dyDescent="0.25">
      <c r="A55">
        <v>44.63</v>
      </c>
      <c r="B55">
        <v>225</v>
      </c>
      <c r="C55">
        <v>50</v>
      </c>
      <c r="D55">
        <f t="shared" si="0"/>
        <v>4522134.75</v>
      </c>
      <c r="E55">
        <f t="shared" si="1"/>
        <v>498.15</v>
      </c>
      <c r="F55">
        <f t="shared" si="2"/>
        <v>20</v>
      </c>
      <c r="G55">
        <f t="shared" si="3"/>
        <v>2.2406453058480841E-2</v>
      </c>
      <c r="H55">
        <f t="shared" si="4"/>
        <v>2.0074274816822245E-4</v>
      </c>
      <c r="I55">
        <f t="shared" si="5"/>
        <v>1.111111111111111E-6</v>
      </c>
    </row>
    <row r="56" spans="1:9" x14ac:dyDescent="0.25">
      <c r="A56">
        <v>49.2</v>
      </c>
      <c r="B56">
        <v>225</v>
      </c>
      <c r="C56">
        <v>45</v>
      </c>
      <c r="D56">
        <f t="shared" si="0"/>
        <v>4985190</v>
      </c>
      <c r="E56">
        <f t="shared" si="1"/>
        <v>498.15</v>
      </c>
      <c r="F56">
        <f t="shared" si="2"/>
        <v>22.222222222222225</v>
      </c>
      <c r="G56">
        <f t="shared" si="3"/>
        <v>2.032520325203252E-2</v>
      </c>
      <c r="H56">
        <f t="shared" si="4"/>
        <v>2.0074274816822245E-4</v>
      </c>
      <c r="I56">
        <f t="shared" si="5"/>
        <v>1.2345679012345681E-6</v>
      </c>
    </row>
    <row r="57" spans="1:9" x14ac:dyDescent="0.25">
      <c r="A57">
        <v>54.81</v>
      </c>
      <c r="B57">
        <v>225</v>
      </c>
      <c r="C57">
        <v>40</v>
      </c>
      <c r="D57">
        <f t="shared" si="0"/>
        <v>5553623.25</v>
      </c>
      <c r="E57">
        <f t="shared" si="1"/>
        <v>498.15</v>
      </c>
      <c r="F57">
        <f t="shared" si="2"/>
        <v>25</v>
      </c>
      <c r="G57">
        <f t="shared" si="3"/>
        <v>1.8244845831052726E-2</v>
      </c>
      <c r="H57">
        <f t="shared" si="4"/>
        <v>2.0074274816822245E-4</v>
      </c>
      <c r="I57">
        <f t="shared" si="5"/>
        <v>1.3888888888888887E-6</v>
      </c>
    </row>
    <row r="58" spans="1:9" x14ac:dyDescent="0.25">
      <c r="A58">
        <v>61.85</v>
      </c>
      <c r="B58">
        <v>225</v>
      </c>
      <c r="C58">
        <v>35</v>
      </c>
      <c r="D58">
        <f t="shared" si="0"/>
        <v>6266951.25</v>
      </c>
      <c r="E58">
        <f t="shared" si="1"/>
        <v>498.15</v>
      </c>
      <c r="F58">
        <f t="shared" si="2"/>
        <v>28.571428571428569</v>
      </c>
      <c r="G58">
        <f t="shared" si="3"/>
        <v>1.6168148746968473E-2</v>
      </c>
      <c r="H58">
        <f t="shared" si="4"/>
        <v>2.0074274816822245E-4</v>
      </c>
      <c r="I58">
        <f t="shared" si="5"/>
        <v>1.5873015873015871E-6</v>
      </c>
    </row>
    <row r="59" spans="1:9" x14ac:dyDescent="0.25">
      <c r="A59">
        <v>70.97</v>
      </c>
      <c r="B59">
        <v>225</v>
      </c>
      <c r="C59">
        <v>30</v>
      </c>
      <c r="D59">
        <f t="shared" si="0"/>
        <v>7191035.25</v>
      </c>
      <c r="E59">
        <f t="shared" si="1"/>
        <v>498.15</v>
      </c>
      <c r="F59">
        <f t="shared" si="2"/>
        <v>33.333333333333336</v>
      </c>
      <c r="G59">
        <f t="shared" si="3"/>
        <v>1.4090460758066789E-2</v>
      </c>
      <c r="H59">
        <f t="shared" si="4"/>
        <v>2.0074274816822245E-4</v>
      </c>
      <c r="I59">
        <f t="shared" si="5"/>
        <v>1.8518518518518521E-6</v>
      </c>
    </row>
    <row r="60" spans="1:9" x14ac:dyDescent="0.25">
      <c r="A60">
        <v>83.21</v>
      </c>
      <c r="B60">
        <v>225</v>
      </c>
      <c r="C60">
        <v>25</v>
      </c>
      <c r="D60">
        <f t="shared" si="0"/>
        <v>8431253.25</v>
      </c>
      <c r="E60">
        <f t="shared" si="1"/>
        <v>498.15</v>
      </c>
      <c r="F60">
        <f t="shared" si="2"/>
        <v>40</v>
      </c>
      <c r="G60">
        <f t="shared" si="3"/>
        <v>1.2017786323759164E-2</v>
      </c>
      <c r="H60">
        <f t="shared" si="4"/>
        <v>2.0074274816822245E-4</v>
      </c>
      <c r="I60">
        <f t="shared" si="5"/>
        <v>2.2222222222222221E-6</v>
      </c>
    </row>
    <row r="61" spans="1:9" x14ac:dyDescent="0.25">
      <c r="A61">
        <v>100.51</v>
      </c>
      <c r="B61">
        <v>225</v>
      </c>
      <c r="C61">
        <v>20</v>
      </c>
      <c r="D61">
        <f t="shared" si="0"/>
        <v>10184175.75</v>
      </c>
      <c r="E61">
        <f t="shared" si="1"/>
        <v>498.15</v>
      </c>
      <c r="F61">
        <f t="shared" si="2"/>
        <v>50</v>
      </c>
      <c r="G61">
        <f t="shared" si="3"/>
        <v>9.949258780220873E-3</v>
      </c>
      <c r="H61">
        <f t="shared" si="4"/>
        <v>2.0074274816822245E-4</v>
      </c>
      <c r="I61">
        <f t="shared" si="5"/>
        <v>2.7777777777777775E-6</v>
      </c>
    </row>
    <row r="62" spans="1:9" x14ac:dyDescent="0.25">
      <c r="A62">
        <v>22.93</v>
      </c>
      <c r="B62">
        <v>200</v>
      </c>
      <c r="C62">
        <v>95</v>
      </c>
      <c r="D62">
        <f t="shared" si="0"/>
        <v>2323382.25</v>
      </c>
      <c r="E62">
        <f t="shared" si="1"/>
        <v>473.15</v>
      </c>
      <c r="F62">
        <f t="shared" si="2"/>
        <v>10.526315789473685</v>
      </c>
      <c r="G62">
        <f t="shared" si="3"/>
        <v>4.3610989969472311E-2</v>
      </c>
      <c r="H62">
        <f t="shared" si="4"/>
        <v>2.1134946634259749E-4</v>
      </c>
      <c r="I62">
        <f t="shared" si="5"/>
        <v>5.8479532163742688E-7</v>
      </c>
    </row>
    <row r="63" spans="1:9" x14ac:dyDescent="0.25">
      <c r="A63">
        <v>24.15</v>
      </c>
      <c r="B63">
        <v>200</v>
      </c>
      <c r="C63">
        <v>90</v>
      </c>
      <c r="D63">
        <f t="shared" si="0"/>
        <v>2446998.75</v>
      </c>
      <c r="E63">
        <f t="shared" si="1"/>
        <v>473.15</v>
      </c>
      <c r="F63">
        <f t="shared" si="2"/>
        <v>11.111111111111112</v>
      </c>
      <c r="G63">
        <f t="shared" si="3"/>
        <v>4.1407867494824016E-2</v>
      </c>
      <c r="H63">
        <f t="shared" si="4"/>
        <v>2.1134946634259749E-4</v>
      </c>
      <c r="I63">
        <f t="shared" si="5"/>
        <v>6.1728395061728406E-7</v>
      </c>
    </row>
    <row r="64" spans="1:9" x14ac:dyDescent="0.25">
      <c r="A64">
        <v>27.01</v>
      </c>
      <c r="B64">
        <v>200</v>
      </c>
      <c r="C64">
        <v>80</v>
      </c>
      <c r="D64">
        <f t="shared" si="0"/>
        <v>2736788.25</v>
      </c>
      <c r="E64">
        <f t="shared" si="1"/>
        <v>473.15</v>
      </c>
      <c r="F64">
        <f t="shared" si="2"/>
        <v>12.5</v>
      </c>
      <c r="G64">
        <f t="shared" si="3"/>
        <v>3.7023324694557574E-2</v>
      </c>
      <c r="H64">
        <f t="shared" si="4"/>
        <v>2.1134946634259749E-4</v>
      </c>
      <c r="I64">
        <f t="shared" si="5"/>
        <v>6.9444444444444437E-7</v>
      </c>
    </row>
    <row r="65" spans="1:9" x14ac:dyDescent="0.25">
      <c r="A65">
        <v>30.64</v>
      </c>
      <c r="B65">
        <v>200</v>
      </c>
      <c r="C65">
        <v>70</v>
      </c>
      <c r="D65">
        <f t="shared" si="0"/>
        <v>3104598</v>
      </c>
      <c r="E65">
        <f t="shared" si="1"/>
        <v>473.15</v>
      </c>
      <c r="F65">
        <f t="shared" si="2"/>
        <v>14.285714285714285</v>
      </c>
      <c r="G65">
        <f t="shared" si="3"/>
        <v>3.2637075718015669E-2</v>
      </c>
      <c r="H65">
        <f t="shared" si="4"/>
        <v>2.1134946634259749E-4</v>
      </c>
      <c r="I65">
        <f t="shared" si="5"/>
        <v>7.9365079365079355E-7</v>
      </c>
    </row>
    <row r="66" spans="1:9" x14ac:dyDescent="0.25">
      <c r="A66">
        <v>35.4</v>
      </c>
      <c r="B66">
        <v>200</v>
      </c>
      <c r="C66">
        <v>60</v>
      </c>
      <c r="D66">
        <f t="shared" si="0"/>
        <v>3586905</v>
      </c>
      <c r="E66">
        <f t="shared" si="1"/>
        <v>473.15</v>
      </c>
      <c r="F66">
        <f t="shared" si="2"/>
        <v>16.666666666666668</v>
      </c>
      <c r="G66">
        <f t="shared" si="3"/>
        <v>2.8248587570621469E-2</v>
      </c>
      <c r="H66">
        <f t="shared" si="4"/>
        <v>2.1134946634259749E-4</v>
      </c>
      <c r="I66">
        <f t="shared" si="5"/>
        <v>9.2592592592592604E-7</v>
      </c>
    </row>
    <row r="67" spans="1:9" x14ac:dyDescent="0.25">
      <c r="A67">
        <v>41.89</v>
      </c>
      <c r="B67">
        <v>200</v>
      </c>
      <c r="C67">
        <v>50</v>
      </c>
      <c r="D67">
        <f t="shared" ref="D67:D130" si="6">A67*101325</f>
        <v>4244504.25</v>
      </c>
      <c r="E67">
        <f t="shared" ref="E67:E130" si="7">B67+273.15</f>
        <v>473.15</v>
      </c>
      <c r="F67">
        <f t="shared" ref="F67:F130" si="8">1/C67*0.001*1000000</f>
        <v>20</v>
      </c>
      <c r="G67">
        <f t="shared" ref="G67:G130" si="9">0.01*101325/D67*100</f>
        <v>2.3872045834328001E-2</v>
      </c>
      <c r="H67">
        <f t="shared" ref="H67:H130" si="10">0.001/E67*100</f>
        <v>2.1134946634259749E-4</v>
      </c>
      <c r="I67">
        <f t="shared" ref="I67:I130" si="11">0.5*0.000000001*F67/(9*0.001)</f>
        <v>1.111111111111111E-6</v>
      </c>
    </row>
    <row r="68" spans="1:9" x14ac:dyDescent="0.25">
      <c r="A68">
        <v>46.12</v>
      </c>
      <c r="B68">
        <v>200</v>
      </c>
      <c r="C68">
        <v>45</v>
      </c>
      <c r="D68">
        <f t="shared" si="6"/>
        <v>4673109</v>
      </c>
      <c r="E68">
        <f t="shared" si="7"/>
        <v>473.15</v>
      </c>
      <c r="F68">
        <f t="shared" si="8"/>
        <v>22.222222222222225</v>
      </c>
      <c r="G68">
        <f t="shared" si="9"/>
        <v>2.1682567215958369E-2</v>
      </c>
      <c r="H68">
        <f t="shared" si="10"/>
        <v>2.1134946634259749E-4</v>
      </c>
      <c r="I68">
        <f t="shared" si="11"/>
        <v>1.2345679012345681E-6</v>
      </c>
    </row>
    <row r="69" spans="1:9" x14ac:dyDescent="0.25">
      <c r="A69">
        <v>51.29</v>
      </c>
      <c r="B69">
        <v>200</v>
      </c>
      <c r="C69">
        <v>40</v>
      </c>
      <c r="D69">
        <f t="shared" si="6"/>
        <v>5196959.25</v>
      </c>
      <c r="E69">
        <f t="shared" si="7"/>
        <v>473.15</v>
      </c>
      <c r="F69">
        <f t="shared" si="8"/>
        <v>25</v>
      </c>
      <c r="G69">
        <f t="shared" si="9"/>
        <v>1.9496977968414896E-2</v>
      </c>
      <c r="H69">
        <f t="shared" si="10"/>
        <v>2.1134946634259749E-4</v>
      </c>
      <c r="I69">
        <f t="shared" si="11"/>
        <v>1.3888888888888887E-6</v>
      </c>
    </row>
    <row r="70" spans="1:9" x14ac:dyDescent="0.25">
      <c r="A70">
        <v>57.74</v>
      </c>
      <c r="B70">
        <v>200</v>
      </c>
      <c r="C70">
        <v>35</v>
      </c>
      <c r="D70">
        <f t="shared" si="6"/>
        <v>5850505.5</v>
      </c>
      <c r="E70">
        <f t="shared" si="7"/>
        <v>473.15</v>
      </c>
      <c r="F70">
        <f t="shared" si="8"/>
        <v>28.571428571428569</v>
      </c>
      <c r="G70">
        <f t="shared" si="9"/>
        <v>1.7319016279875303E-2</v>
      </c>
      <c r="H70">
        <f t="shared" si="10"/>
        <v>2.1134946634259749E-4</v>
      </c>
      <c r="I70">
        <f t="shared" si="11"/>
        <v>1.5873015873015871E-6</v>
      </c>
    </row>
    <row r="71" spans="1:9" x14ac:dyDescent="0.25">
      <c r="A71">
        <v>66.05</v>
      </c>
      <c r="B71">
        <v>200</v>
      </c>
      <c r="C71">
        <v>30</v>
      </c>
      <c r="D71">
        <f t="shared" si="6"/>
        <v>6692516.25</v>
      </c>
      <c r="E71">
        <f t="shared" si="7"/>
        <v>473.15</v>
      </c>
      <c r="F71">
        <f t="shared" si="8"/>
        <v>33.333333333333336</v>
      </c>
      <c r="G71">
        <f t="shared" si="9"/>
        <v>1.514004542013626E-2</v>
      </c>
      <c r="H71">
        <f t="shared" si="10"/>
        <v>2.1134946634259749E-4</v>
      </c>
      <c r="I71">
        <f t="shared" si="11"/>
        <v>1.8518518518518521E-6</v>
      </c>
    </row>
    <row r="72" spans="1:9" x14ac:dyDescent="0.25">
      <c r="A72">
        <v>77.13</v>
      </c>
      <c r="B72">
        <v>200</v>
      </c>
      <c r="C72">
        <v>25</v>
      </c>
      <c r="D72">
        <f t="shared" si="6"/>
        <v>7815197.25</v>
      </c>
      <c r="E72">
        <f t="shared" si="7"/>
        <v>473.15</v>
      </c>
      <c r="F72">
        <f t="shared" si="8"/>
        <v>40</v>
      </c>
      <c r="G72">
        <f t="shared" si="9"/>
        <v>1.2965123816932451E-2</v>
      </c>
      <c r="H72">
        <f t="shared" si="10"/>
        <v>2.1134946634259749E-4</v>
      </c>
      <c r="I72">
        <f t="shared" si="11"/>
        <v>2.2222222222222221E-6</v>
      </c>
    </row>
    <row r="73" spans="1:9" x14ac:dyDescent="0.25">
      <c r="A73">
        <v>92.57</v>
      </c>
      <c r="B73">
        <v>200</v>
      </c>
      <c r="C73">
        <v>20</v>
      </c>
      <c r="D73">
        <f t="shared" si="6"/>
        <v>9379655.25</v>
      </c>
      <c r="E73">
        <f t="shared" si="7"/>
        <v>473.15</v>
      </c>
      <c r="F73">
        <f t="shared" si="8"/>
        <v>50</v>
      </c>
      <c r="G73">
        <f t="shared" si="9"/>
        <v>1.0802635843145727E-2</v>
      </c>
      <c r="H73">
        <f t="shared" si="10"/>
        <v>2.1134946634259749E-4</v>
      </c>
      <c r="I73">
        <f t="shared" si="11"/>
        <v>2.7777777777777775E-6</v>
      </c>
    </row>
    <row r="74" spans="1:9" x14ac:dyDescent="0.25">
      <c r="A74">
        <v>21.56</v>
      </c>
      <c r="B74">
        <v>175</v>
      </c>
      <c r="C74">
        <v>95</v>
      </c>
      <c r="D74">
        <f t="shared" si="6"/>
        <v>2184567</v>
      </c>
      <c r="E74">
        <f t="shared" si="7"/>
        <v>448.15</v>
      </c>
      <c r="F74">
        <f t="shared" si="8"/>
        <v>10.526315789473685</v>
      </c>
      <c r="G74">
        <f t="shared" si="9"/>
        <v>4.63821892393321E-2</v>
      </c>
      <c r="H74">
        <f t="shared" si="10"/>
        <v>2.2313957380341404E-4</v>
      </c>
      <c r="I74">
        <f t="shared" si="11"/>
        <v>5.8479532163742688E-7</v>
      </c>
    </row>
    <row r="75" spans="1:9" x14ac:dyDescent="0.25">
      <c r="A75">
        <v>22.7</v>
      </c>
      <c r="B75">
        <v>175</v>
      </c>
      <c r="C75">
        <v>90</v>
      </c>
      <c r="D75">
        <f t="shared" si="6"/>
        <v>2300077.5</v>
      </c>
      <c r="E75">
        <f t="shared" si="7"/>
        <v>448.15</v>
      </c>
      <c r="F75">
        <f t="shared" si="8"/>
        <v>11.111111111111112</v>
      </c>
      <c r="G75">
        <f t="shared" si="9"/>
        <v>4.405286343612335E-2</v>
      </c>
      <c r="H75">
        <f t="shared" si="10"/>
        <v>2.2313957380341404E-4</v>
      </c>
      <c r="I75">
        <f t="shared" si="11"/>
        <v>6.1728395061728406E-7</v>
      </c>
    </row>
    <row r="76" spans="1:9" x14ac:dyDescent="0.25">
      <c r="A76">
        <v>25.36</v>
      </c>
      <c r="B76">
        <v>175</v>
      </c>
      <c r="C76">
        <v>80</v>
      </c>
      <c r="D76">
        <f t="shared" si="6"/>
        <v>2569602</v>
      </c>
      <c r="E76">
        <f t="shared" si="7"/>
        <v>448.15</v>
      </c>
      <c r="F76">
        <f t="shared" si="8"/>
        <v>12.5</v>
      </c>
      <c r="G76">
        <f t="shared" si="9"/>
        <v>3.9432176656151417E-2</v>
      </c>
      <c r="H76">
        <f t="shared" si="10"/>
        <v>2.2313957380341404E-4</v>
      </c>
      <c r="I76">
        <f t="shared" si="11"/>
        <v>6.9444444444444437E-7</v>
      </c>
    </row>
    <row r="77" spans="1:9" x14ac:dyDescent="0.25">
      <c r="A77">
        <v>28.74</v>
      </c>
      <c r="B77">
        <v>175</v>
      </c>
      <c r="C77">
        <v>70</v>
      </c>
      <c r="D77">
        <f t="shared" si="6"/>
        <v>2912080.5</v>
      </c>
      <c r="E77">
        <f t="shared" si="7"/>
        <v>448.15</v>
      </c>
      <c r="F77">
        <f t="shared" si="8"/>
        <v>14.285714285714285</v>
      </c>
      <c r="G77">
        <f t="shared" si="9"/>
        <v>3.4794711203897009E-2</v>
      </c>
      <c r="H77">
        <f t="shared" si="10"/>
        <v>2.2313957380341404E-4</v>
      </c>
      <c r="I77">
        <f t="shared" si="11"/>
        <v>7.9365079365079355E-7</v>
      </c>
    </row>
    <row r="78" spans="1:9" x14ac:dyDescent="0.25">
      <c r="A78">
        <v>33.14</v>
      </c>
      <c r="B78">
        <v>175</v>
      </c>
      <c r="C78">
        <v>60</v>
      </c>
      <c r="D78">
        <f t="shared" si="6"/>
        <v>3357910.5</v>
      </c>
      <c r="E78">
        <f t="shared" si="7"/>
        <v>448.15</v>
      </c>
      <c r="F78">
        <f t="shared" si="8"/>
        <v>16.666666666666668</v>
      </c>
      <c r="G78">
        <f t="shared" si="9"/>
        <v>3.0175015087507546E-2</v>
      </c>
      <c r="H78">
        <f t="shared" si="10"/>
        <v>2.2313957380341404E-4</v>
      </c>
      <c r="I78">
        <f t="shared" si="11"/>
        <v>9.2592592592592604E-7</v>
      </c>
    </row>
    <row r="79" spans="1:9" x14ac:dyDescent="0.25">
      <c r="A79">
        <v>39.130000000000003</v>
      </c>
      <c r="B79">
        <v>175</v>
      </c>
      <c r="C79">
        <v>50</v>
      </c>
      <c r="D79">
        <f t="shared" si="6"/>
        <v>3964847.2500000005</v>
      </c>
      <c r="E79">
        <f t="shared" si="7"/>
        <v>448.15</v>
      </c>
      <c r="F79">
        <f t="shared" si="8"/>
        <v>20</v>
      </c>
      <c r="G79">
        <f t="shared" si="9"/>
        <v>2.5555839509327882E-2</v>
      </c>
      <c r="H79">
        <f t="shared" si="10"/>
        <v>2.2313957380341404E-4</v>
      </c>
      <c r="I79">
        <f t="shared" si="11"/>
        <v>1.111111111111111E-6</v>
      </c>
    </row>
    <row r="80" spans="1:9" x14ac:dyDescent="0.25">
      <c r="A80">
        <v>43.01</v>
      </c>
      <c r="B80">
        <v>175</v>
      </c>
      <c r="C80">
        <v>45</v>
      </c>
      <c r="D80">
        <f t="shared" si="6"/>
        <v>4357988.25</v>
      </c>
      <c r="E80">
        <f t="shared" si="7"/>
        <v>448.15</v>
      </c>
      <c r="F80">
        <f t="shared" si="8"/>
        <v>22.222222222222225</v>
      </c>
      <c r="G80">
        <f t="shared" si="9"/>
        <v>2.3250406882120437E-2</v>
      </c>
      <c r="H80">
        <f t="shared" si="10"/>
        <v>2.2313957380341404E-4</v>
      </c>
      <c r="I80">
        <f t="shared" si="11"/>
        <v>1.2345679012345681E-6</v>
      </c>
    </row>
    <row r="81" spans="1:9" x14ac:dyDescent="0.25">
      <c r="A81">
        <v>47.73</v>
      </c>
      <c r="B81">
        <v>175</v>
      </c>
      <c r="C81">
        <v>40</v>
      </c>
      <c r="D81">
        <f t="shared" si="6"/>
        <v>4836242.25</v>
      </c>
      <c r="E81">
        <f t="shared" si="7"/>
        <v>448.15</v>
      </c>
      <c r="F81">
        <f t="shared" si="8"/>
        <v>25</v>
      </c>
      <c r="G81">
        <f t="shared" si="9"/>
        <v>2.0951183741881416E-2</v>
      </c>
      <c r="H81">
        <f t="shared" si="10"/>
        <v>2.2313957380341404E-4</v>
      </c>
      <c r="I81">
        <f t="shared" si="11"/>
        <v>1.3888888888888887E-6</v>
      </c>
    </row>
    <row r="82" spans="1:9" x14ac:dyDescent="0.25">
      <c r="A82">
        <v>53.61</v>
      </c>
      <c r="B82">
        <v>175</v>
      </c>
      <c r="C82">
        <v>35</v>
      </c>
      <c r="D82">
        <f t="shared" si="6"/>
        <v>5432033.25</v>
      </c>
      <c r="E82">
        <f t="shared" si="7"/>
        <v>448.15</v>
      </c>
      <c r="F82">
        <f t="shared" si="8"/>
        <v>28.571428571428569</v>
      </c>
      <c r="G82">
        <f t="shared" si="9"/>
        <v>1.8653236336504384E-2</v>
      </c>
      <c r="H82">
        <f t="shared" si="10"/>
        <v>2.2313957380341404E-4</v>
      </c>
      <c r="I82">
        <f t="shared" si="11"/>
        <v>1.5873015873015871E-6</v>
      </c>
    </row>
    <row r="83" spans="1:9" x14ac:dyDescent="0.25">
      <c r="A83">
        <v>61.11</v>
      </c>
      <c r="B83">
        <v>175</v>
      </c>
      <c r="C83">
        <v>30</v>
      </c>
      <c r="D83">
        <f t="shared" si="6"/>
        <v>6191970.75</v>
      </c>
      <c r="E83">
        <f t="shared" si="7"/>
        <v>448.15</v>
      </c>
      <c r="F83">
        <f t="shared" si="8"/>
        <v>33.333333333333336</v>
      </c>
      <c r="G83">
        <f t="shared" si="9"/>
        <v>1.6363933889707083E-2</v>
      </c>
      <c r="H83">
        <f t="shared" si="10"/>
        <v>2.2313957380341404E-4</v>
      </c>
      <c r="I83">
        <f t="shared" si="11"/>
        <v>1.8518518518518521E-6</v>
      </c>
    </row>
    <row r="84" spans="1:9" x14ac:dyDescent="0.25">
      <c r="A84">
        <v>70.98</v>
      </c>
      <c r="B84">
        <v>175</v>
      </c>
      <c r="C84">
        <v>25</v>
      </c>
      <c r="D84">
        <f t="shared" si="6"/>
        <v>7192048.5</v>
      </c>
      <c r="E84">
        <f t="shared" si="7"/>
        <v>448.15</v>
      </c>
      <c r="F84">
        <f t="shared" si="8"/>
        <v>40</v>
      </c>
      <c r="G84">
        <f t="shared" si="9"/>
        <v>1.4088475626937165E-2</v>
      </c>
      <c r="H84">
        <f t="shared" si="10"/>
        <v>2.2313957380341404E-4</v>
      </c>
      <c r="I84">
        <f t="shared" si="11"/>
        <v>2.2222222222222221E-6</v>
      </c>
    </row>
    <row r="85" spans="1:9" x14ac:dyDescent="0.25">
      <c r="A85">
        <v>84.54</v>
      </c>
      <c r="B85">
        <v>175</v>
      </c>
      <c r="C85">
        <v>20</v>
      </c>
      <c r="D85">
        <f t="shared" si="6"/>
        <v>8566015.5</v>
      </c>
      <c r="E85">
        <f t="shared" si="7"/>
        <v>448.15</v>
      </c>
      <c r="F85">
        <f t="shared" si="8"/>
        <v>50</v>
      </c>
      <c r="G85">
        <f t="shared" si="9"/>
        <v>1.1828720132481665E-2</v>
      </c>
      <c r="H85">
        <f t="shared" si="10"/>
        <v>2.2313957380341404E-4</v>
      </c>
      <c r="I85">
        <f t="shared" si="11"/>
        <v>2.7777777777777775E-6</v>
      </c>
    </row>
    <row r="86" spans="1:9" x14ac:dyDescent="0.25">
      <c r="A86">
        <v>20.18</v>
      </c>
      <c r="B86">
        <v>150</v>
      </c>
      <c r="C86">
        <v>95</v>
      </c>
      <c r="D86">
        <f t="shared" si="6"/>
        <v>2044738.5</v>
      </c>
      <c r="E86">
        <f t="shared" si="7"/>
        <v>423.15</v>
      </c>
      <c r="F86">
        <f t="shared" si="8"/>
        <v>10.526315789473685</v>
      </c>
      <c r="G86">
        <f t="shared" si="9"/>
        <v>4.9554013875123884E-2</v>
      </c>
      <c r="H86">
        <f t="shared" si="10"/>
        <v>2.3632281696797826E-4</v>
      </c>
      <c r="I86">
        <f t="shared" si="11"/>
        <v>5.8479532163742688E-7</v>
      </c>
    </row>
    <row r="87" spans="1:9" x14ac:dyDescent="0.25">
      <c r="A87">
        <v>21.23</v>
      </c>
      <c r="B87">
        <v>150</v>
      </c>
      <c r="C87">
        <v>90</v>
      </c>
      <c r="D87">
        <f t="shared" si="6"/>
        <v>2151129.75</v>
      </c>
      <c r="E87">
        <f t="shared" si="7"/>
        <v>423.15</v>
      </c>
      <c r="F87">
        <f t="shared" si="8"/>
        <v>11.111111111111112</v>
      </c>
      <c r="G87">
        <f t="shared" si="9"/>
        <v>4.7103155911446065E-2</v>
      </c>
      <c r="H87">
        <f t="shared" si="10"/>
        <v>2.3632281696797826E-4</v>
      </c>
      <c r="I87">
        <f t="shared" si="11"/>
        <v>6.1728395061728406E-7</v>
      </c>
    </row>
    <row r="88" spans="1:9" x14ac:dyDescent="0.25">
      <c r="A88">
        <v>23.7</v>
      </c>
      <c r="B88">
        <v>150</v>
      </c>
      <c r="C88">
        <v>80</v>
      </c>
      <c r="D88">
        <f t="shared" si="6"/>
        <v>2401402.5</v>
      </c>
      <c r="E88">
        <f t="shared" si="7"/>
        <v>423.15</v>
      </c>
      <c r="F88">
        <f t="shared" si="8"/>
        <v>12.5</v>
      </c>
      <c r="G88">
        <f t="shared" si="9"/>
        <v>4.2194092827004218E-2</v>
      </c>
      <c r="H88">
        <f t="shared" si="10"/>
        <v>2.3632281696797826E-4</v>
      </c>
      <c r="I88">
        <f t="shared" si="11"/>
        <v>6.9444444444444437E-7</v>
      </c>
    </row>
    <row r="89" spans="1:9" x14ac:dyDescent="0.25">
      <c r="A89">
        <v>26.81</v>
      </c>
      <c r="B89">
        <v>150</v>
      </c>
      <c r="C89">
        <v>70</v>
      </c>
      <c r="D89">
        <f t="shared" si="6"/>
        <v>2716523.25</v>
      </c>
      <c r="E89">
        <f t="shared" si="7"/>
        <v>423.15</v>
      </c>
      <c r="F89">
        <f t="shared" si="8"/>
        <v>14.285714285714285</v>
      </c>
      <c r="G89">
        <f t="shared" si="9"/>
        <v>3.7299515106303617E-2</v>
      </c>
      <c r="H89">
        <f t="shared" si="10"/>
        <v>2.3632281696797826E-4</v>
      </c>
      <c r="I89">
        <f t="shared" si="11"/>
        <v>7.9365079365079355E-7</v>
      </c>
    </row>
    <row r="90" spans="1:9" x14ac:dyDescent="0.25">
      <c r="A90">
        <v>30.86</v>
      </c>
      <c r="B90">
        <v>150</v>
      </c>
      <c r="C90">
        <v>60</v>
      </c>
      <c r="D90">
        <f t="shared" si="6"/>
        <v>3126889.5</v>
      </c>
      <c r="E90">
        <f t="shared" si="7"/>
        <v>423.15</v>
      </c>
      <c r="F90">
        <f t="shared" si="8"/>
        <v>16.666666666666668</v>
      </c>
      <c r="G90">
        <f t="shared" si="9"/>
        <v>3.240440699935191E-2</v>
      </c>
      <c r="H90">
        <f t="shared" si="10"/>
        <v>2.3632281696797826E-4</v>
      </c>
      <c r="I90">
        <f t="shared" si="11"/>
        <v>9.2592592592592604E-7</v>
      </c>
    </row>
    <row r="91" spans="1:9" x14ac:dyDescent="0.25">
      <c r="A91">
        <v>36.33</v>
      </c>
      <c r="B91">
        <v>150</v>
      </c>
      <c r="C91">
        <v>50</v>
      </c>
      <c r="D91">
        <f t="shared" si="6"/>
        <v>3681137.25</v>
      </c>
      <c r="E91">
        <f t="shared" si="7"/>
        <v>423.15</v>
      </c>
      <c r="F91">
        <f t="shared" si="8"/>
        <v>20</v>
      </c>
      <c r="G91">
        <f t="shared" si="9"/>
        <v>2.7525461051472612E-2</v>
      </c>
      <c r="H91">
        <f t="shared" si="10"/>
        <v>2.3632281696797826E-4</v>
      </c>
      <c r="I91">
        <f t="shared" si="11"/>
        <v>1.111111111111111E-6</v>
      </c>
    </row>
    <row r="92" spans="1:9" x14ac:dyDescent="0.25">
      <c r="A92">
        <v>39.85</v>
      </c>
      <c r="B92">
        <v>150</v>
      </c>
      <c r="C92">
        <v>45</v>
      </c>
      <c r="D92">
        <f t="shared" si="6"/>
        <v>4037801.25</v>
      </c>
      <c r="E92">
        <f t="shared" si="7"/>
        <v>423.15</v>
      </c>
      <c r="F92">
        <f t="shared" si="8"/>
        <v>22.222222222222225</v>
      </c>
      <c r="G92">
        <f t="shared" si="9"/>
        <v>2.5094102885821829E-2</v>
      </c>
      <c r="H92">
        <f t="shared" si="10"/>
        <v>2.3632281696797826E-4</v>
      </c>
      <c r="I92">
        <f t="shared" si="11"/>
        <v>1.2345679012345681E-6</v>
      </c>
    </row>
    <row r="93" spans="1:9" x14ac:dyDescent="0.25">
      <c r="A93">
        <v>44.11</v>
      </c>
      <c r="B93">
        <v>150</v>
      </c>
      <c r="C93">
        <v>40</v>
      </c>
      <c r="D93">
        <f t="shared" si="6"/>
        <v>4469445.75</v>
      </c>
      <c r="E93">
        <f t="shared" si="7"/>
        <v>423.15</v>
      </c>
      <c r="F93">
        <f t="shared" si="8"/>
        <v>25</v>
      </c>
      <c r="G93">
        <f t="shared" si="9"/>
        <v>2.2670596236681023E-2</v>
      </c>
      <c r="H93">
        <f t="shared" si="10"/>
        <v>2.3632281696797826E-4</v>
      </c>
      <c r="I93">
        <f t="shared" si="11"/>
        <v>1.3888888888888887E-6</v>
      </c>
    </row>
    <row r="94" spans="1:9" x14ac:dyDescent="0.25">
      <c r="A94">
        <v>49.36</v>
      </c>
      <c r="B94">
        <v>150</v>
      </c>
      <c r="C94">
        <v>35</v>
      </c>
      <c r="D94">
        <f t="shared" si="6"/>
        <v>5001402</v>
      </c>
      <c r="E94">
        <f t="shared" si="7"/>
        <v>423.15</v>
      </c>
      <c r="F94">
        <f t="shared" si="8"/>
        <v>28.571428571428569</v>
      </c>
      <c r="G94">
        <f t="shared" si="9"/>
        <v>2.0259319286871962E-2</v>
      </c>
      <c r="H94">
        <f t="shared" si="10"/>
        <v>2.3632281696797826E-4</v>
      </c>
      <c r="I94">
        <f t="shared" si="11"/>
        <v>1.5873015873015871E-6</v>
      </c>
    </row>
    <row r="95" spans="1:9" x14ac:dyDescent="0.25">
      <c r="A95">
        <v>56.01</v>
      </c>
      <c r="B95">
        <v>150</v>
      </c>
      <c r="C95">
        <v>30</v>
      </c>
      <c r="D95">
        <f t="shared" si="6"/>
        <v>5675213.25</v>
      </c>
      <c r="E95">
        <f t="shared" si="7"/>
        <v>423.15</v>
      </c>
      <c r="F95">
        <f t="shared" si="8"/>
        <v>33.333333333333336</v>
      </c>
      <c r="G95">
        <f t="shared" si="9"/>
        <v>1.7853954650955184E-2</v>
      </c>
      <c r="H95">
        <f t="shared" si="10"/>
        <v>2.3632281696797826E-4</v>
      </c>
      <c r="I95">
        <f t="shared" si="11"/>
        <v>1.8518518518518521E-6</v>
      </c>
    </row>
    <row r="96" spans="1:9" x14ac:dyDescent="0.25">
      <c r="A96">
        <v>64.650000000000006</v>
      </c>
      <c r="B96">
        <v>150</v>
      </c>
      <c r="C96">
        <v>25</v>
      </c>
      <c r="D96">
        <f t="shared" si="6"/>
        <v>6550661.2500000009</v>
      </c>
      <c r="E96">
        <f t="shared" si="7"/>
        <v>423.15</v>
      </c>
      <c r="F96">
        <f t="shared" si="8"/>
        <v>40</v>
      </c>
      <c r="G96">
        <f t="shared" si="9"/>
        <v>1.5467904098994583E-2</v>
      </c>
      <c r="H96">
        <f t="shared" si="10"/>
        <v>2.3632281696797826E-4</v>
      </c>
      <c r="I96">
        <f t="shared" si="11"/>
        <v>2.2222222222222221E-6</v>
      </c>
    </row>
    <row r="97" spans="1:9" x14ac:dyDescent="0.25">
      <c r="A97">
        <v>76.239999999999995</v>
      </c>
      <c r="B97">
        <v>150</v>
      </c>
      <c r="C97">
        <v>20</v>
      </c>
      <c r="D97">
        <f t="shared" si="6"/>
        <v>7725017.9999999991</v>
      </c>
      <c r="E97">
        <f t="shared" si="7"/>
        <v>423.15</v>
      </c>
      <c r="F97">
        <f t="shared" si="8"/>
        <v>50</v>
      </c>
      <c r="G97">
        <f t="shared" si="9"/>
        <v>1.3116474291710388E-2</v>
      </c>
      <c r="H97">
        <f t="shared" si="10"/>
        <v>2.3632281696797826E-4</v>
      </c>
      <c r="I97">
        <f t="shared" si="11"/>
        <v>2.7777777777777775E-6</v>
      </c>
    </row>
    <row r="98" spans="1:9" x14ac:dyDescent="0.25">
      <c r="A98">
        <v>18.78</v>
      </c>
      <c r="B98">
        <v>125</v>
      </c>
      <c r="C98">
        <v>95</v>
      </c>
      <c r="D98">
        <f t="shared" si="6"/>
        <v>1902883.5</v>
      </c>
      <c r="E98">
        <f t="shared" si="7"/>
        <v>398.15</v>
      </c>
      <c r="F98">
        <f t="shared" si="8"/>
        <v>10.526315789473685</v>
      </c>
      <c r="G98">
        <f t="shared" si="9"/>
        <v>5.3248136315228969E-2</v>
      </c>
      <c r="H98">
        <f t="shared" si="10"/>
        <v>2.5116162250408139E-4</v>
      </c>
      <c r="I98">
        <f t="shared" si="11"/>
        <v>5.8479532163742688E-7</v>
      </c>
    </row>
    <row r="99" spans="1:9" x14ac:dyDescent="0.25">
      <c r="A99">
        <v>19.75</v>
      </c>
      <c r="B99">
        <v>125</v>
      </c>
      <c r="C99">
        <v>90</v>
      </c>
      <c r="D99">
        <f t="shared" si="6"/>
        <v>2001168.75</v>
      </c>
      <c r="E99">
        <f t="shared" si="7"/>
        <v>398.15</v>
      </c>
      <c r="F99">
        <f t="shared" si="8"/>
        <v>11.111111111111112</v>
      </c>
      <c r="G99">
        <f t="shared" si="9"/>
        <v>5.0632911392405069E-2</v>
      </c>
      <c r="H99">
        <f t="shared" si="10"/>
        <v>2.5116162250408139E-4</v>
      </c>
      <c r="I99">
        <f t="shared" si="11"/>
        <v>6.1728395061728406E-7</v>
      </c>
    </row>
    <row r="100" spans="1:9" x14ac:dyDescent="0.25">
      <c r="A100">
        <v>22</v>
      </c>
      <c r="B100">
        <v>125</v>
      </c>
      <c r="C100">
        <v>80</v>
      </c>
      <c r="D100">
        <f t="shared" si="6"/>
        <v>2229150</v>
      </c>
      <c r="E100">
        <f t="shared" si="7"/>
        <v>398.15</v>
      </c>
      <c r="F100">
        <f t="shared" si="8"/>
        <v>12.5</v>
      </c>
      <c r="G100">
        <f t="shared" si="9"/>
        <v>4.5454545454545456E-2</v>
      </c>
      <c r="H100">
        <f t="shared" si="10"/>
        <v>2.5116162250408139E-4</v>
      </c>
      <c r="I100">
        <f t="shared" si="11"/>
        <v>6.9444444444444437E-7</v>
      </c>
    </row>
    <row r="101" spans="1:9" x14ac:dyDescent="0.25">
      <c r="A101">
        <v>24.85</v>
      </c>
      <c r="B101">
        <v>125</v>
      </c>
      <c r="C101">
        <v>70</v>
      </c>
      <c r="D101">
        <f t="shared" si="6"/>
        <v>2517926.25</v>
      </c>
      <c r="E101">
        <f t="shared" si="7"/>
        <v>398.15</v>
      </c>
      <c r="F101">
        <f t="shared" si="8"/>
        <v>14.285714285714285</v>
      </c>
      <c r="G101">
        <f t="shared" si="9"/>
        <v>4.0241448692152917E-2</v>
      </c>
      <c r="H101">
        <f t="shared" si="10"/>
        <v>2.5116162250408139E-4</v>
      </c>
      <c r="I101">
        <f t="shared" si="11"/>
        <v>7.9365079365079355E-7</v>
      </c>
    </row>
    <row r="102" spans="1:9" x14ac:dyDescent="0.25">
      <c r="A102">
        <v>28.51</v>
      </c>
      <c r="B102">
        <v>125</v>
      </c>
      <c r="C102">
        <v>60</v>
      </c>
      <c r="D102">
        <f t="shared" si="6"/>
        <v>2888775.75</v>
      </c>
      <c r="E102">
        <f t="shared" si="7"/>
        <v>398.15</v>
      </c>
      <c r="F102">
        <f t="shared" si="8"/>
        <v>16.666666666666668</v>
      </c>
      <c r="G102">
        <f t="shared" si="9"/>
        <v>3.5075412136092596E-2</v>
      </c>
      <c r="H102">
        <f t="shared" si="10"/>
        <v>2.5116162250408139E-4</v>
      </c>
      <c r="I102">
        <f t="shared" si="11"/>
        <v>9.2592592592592604E-7</v>
      </c>
    </row>
    <row r="103" spans="1:9" x14ac:dyDescent="0.25">
      <c r="A103">
        <v>33.44</v>
      </c>
      <c r="B103">
        <v>125</v>
      </c>
      <c r="C103">
        <v>50</v>
      </c>
      <c r="D103">
        <f t="shared" si="6"/>
        <v>3388308</v>
      </c>
      <c r="E103">
        <f t="shared" si="7"/>
        <v>398.15</v>
      </c>
      <c r="F103">
        <f t="shared" si="8"/>
        <v>20</v>
      </c>
      <c r="G103">
        <f t="shared" si="9"/>
        <v>2.9904306220095694E-2</v>
      </c>
      <c r="H103">
        <f t="shared" si="10"/>
        <v>2.5116162250408139E-4</v>
      </c>
      <c r="I103">
        <f t="shared" si="11"/>
        <v>1.111111111111111E-6</v>
      </c>
    </row>
    <row r="104" spans="1:9" x14ac:dyDescent="0.25">
      <c r="A104">
        <v>36.590000000000003</v>
      </c>
      <c r="B104">
        <v>125</v>
      </c>
      <c r="C104">
        <v>45</v>
      </c>
      <c r="D104">
        <f t="shared" si="6"/>
        <v>3707481.7500000005</v>
      </c>
      <c r="E104">
        <f t="shared" si="7"/>
        <v>398.15</v>
      </c>
      <c r="F104">
        <f t="shared" si="8"/>
        <v>22.222222222222225</v>
      </c>
      <c r="G104">
        <f t="shared" si="9"/>
        <v>2.7329871549603715E-2</v>
      </c>
      <c r="H104">
        <f t="shared" si="10"/>
        <v>2.5116162250408139E-4</v>
      </c>
      <c r="I104">
        <f t="shared" si="11"/>
        <v>1.2345679012345681E-6</v>
      </c>
    </row>
    <row r="105" spans="1:9" x14ac:dyDescent="0.25">
      <c r="A105">
        <v>40.36</v>
      </c>
      <c r="B105">
        <v>125</v>
      </c>
      <c r="C105">
        <v>40</v>
      </c>
      <c r="D105">
        <f t="shared" si="6"/>
        <v>4089477</v>
      </c>
      <c r="E105">
        <f t="shared" si="7"/>
        <v>398.15</v>
      </c>
      <c r="F105">
        <f t="shared" si="8"/>
        <v>25</v>
      </c>
      <c r="G105">
        <f t="shared" si="9"/>
        <v>2.4777006937561942E-2</v>
      </c>
      <c r="H105">
        <f t="shared" si="10"/>
        <v>2.5116162250408139E-4</v>
      </c>
      <c r="I105">
        <f t="shared" si="11"/>
        <v>1.3888888888888887E-6</v>
      </c>
    </row>
    <row r="106" spans="1:9" x14ac:dyDescent="0.25">
      <c r="A106">
        <v>44.99</v>
      </c>
      <c r="B106">
        <v>125</v>
      </c>
      <c r="C106">
        <v>35</v>
      </c>
      <c r="D106">
        <f t="shared" si="6"/>
        <v>4558611.75</v>
      </c>
      <c r="E106">
        <f t="shared" si="7"/>
        <v>398.15</v>
      </c>
      <c r="F106">
        <f t="shared" si="8"/>
        <v>28.571428571428569</v>
      </c>
      <c r="G106">
        <f t="shared" si="9"/>
        <v>2.2227161591464768E-2</v>
      </c>
      <c r="H106">
        <f t="shared" si="10"/>
        <v>2.5116162250408139E-4</v>
      </c>
      <c r="I106">
        <f t="shared" si="11"/>
        <v>1.5873015873015871E-6</v>
      </c>
    </row>
    <row r="107" spans="1:9" x14ac:dyDescent="0.25">
      <c r="A107">
        <v>50.74</v>
      </c>
      <c r="B107">
        <v>125</v>
      </c>
      <c r="C107">
        <v>30</v>
      </c>
      <c r="D107">
        <f t="shared" si="6"/>
        <v>5141230.5</v>
      </c>
      <c r="E107">
        <f t="shared" si="7"/>
        <v>398.15</v>
      </c>
      <c r="F107">
        <f t="shared" si="8"/>
        <v>33.333333333333336</v>
      </c>
      <c r="G107">
        <f t="shared" si="9"/>
        <v>1.9708316909735908E-2</v>
      </c>
      <c r="H107">
        <f t="shared" si="10"/>
        <v>2.5116162250408139E-4</v>
      </c>
      <c r="I107">
        <f t="shared" si="11"/>
        <v>1.8518518518518521E-6</v>
      </c>
    </row>
    <row r="108" spans="1:9" x14ac:dyDescent="0.25">
      <c r="A108">
        <v>58.06</v>
      </c>
      <c r="B108">
        <v>125</v>
      </c>
      <c r="C108">
        <v>25</v>
      </c>
      <c r="D108">
        <f t="shared" si="6"/>
        <v>5882929.5</v>
      </c>
      <c r="E108">
        <f t="shared" si="7"/>
        <v>398.15</v>
      </c>
      <c r="F108">
        <f t="shared" si="8"/>
        <v>40</v>
      </c>
      <c r="G108">
        <f t="shared" si="9"/>
        <v>1.722356183258698E-2</v>
      </c>
      <c r="H108">
        <f t="shared" si="10"/>
        <v>2.5116162250408139E-4</v>
      </c>
      <c r="I108">
        <f t="shared" si="11"/>
        <v>2.2222222222222221E-6</v>
      </c>
    </row>
    <row r="109" spans="1:9" x14ac:dyDescent="0.25">
      <c r="A109">
        <v>67.56</v>
      </c>
      <c r="B109">
        <v>125</v>
      </c>
      <c r="C109">
        <v>20</v>
      </c>
      <c r="D109">
        <f t="shared" si="6"/>
        <v>6845517</v>
      </c>
      <c r="E109">
        <f t="shared" si="7"/>
        <v>398.15</v>
      </c>
      <c r="F109">
        <f t="shared" si="8"/>
        <v>50</v>
      </c>
      <c r="G109">
        <f t="shared" si="9"/>
        <v>1.4801657785671994E-2</v>
      </c>
      <c r="H109">
        <f t="shared" si="10"/>
        <v>2.5116162250408139E-4</v>
      </c>
      <c r="I109">
        <f t="shared" si="11"/>
        <v>2.7777777777777775E-6</v>
      </c>
    </row>
    <row r="110" spans="1:9" x14ac:dyDescent="0.25">
      <c r="A110">
        <v>17.36</v>
      </c>
      <c r="B110">
        <v>100</v>
      </c>
      <c r="C110">
        <v>95</v>
      </c>
      <c r="D110">
        <f t="shared" si="6"/>
        <v>1759002</v>
      </c>
      <c r="E110">
        <f t="shared" si="7"/>
        <v>373.15</v>
      </c>
      <c r="F110">
        <f t="shared" si="8"/>
        <v>10.526315789473685</v>
      </c>
      <c r="G110">
        <f t="shared" si="9"/>
        <v>5.7603686635944701E-2</v>
      </c>
      <c r="H110">
        <f t="shared" si="10"/>
        <v>2.6798874447273214E-4</v>
      </c>
      <c r="I110">
        <f t="shared" si="11"/>
        <v>5.8479532163742688E-7</v>
      </c>
    </row>
    <row r="111" spans="1:9" x14ac:dyDescent="0.25">
      <c r="A111">
        <v>18.239999999999998</v>
      </c>
      <c r="B111">
        <v>100</v>
      </c>
      <c r="C111">
        <v>90</v>
      </c>
      <c r="D111">
        <f t="shared" si="6"/>
        <v>1848167.9999999998</v>
      </c>
      <c r="E111">
        <f t="shared" si="7"/>
        <v>373.15</v>
      </c>
      <c r="F111">
        <f t="shared" si="8"/>
        <v>11.111111111111112</v>
      </c>
      <c r="G111">
        <f t="shared" si="9"/>
        <v>5.4824561403508783E-2</v>
      </c>
      <c r="H111">
        <f t="shared" si="10"/>
        <v>2.6798874447273214E-4</v>
      </c>
      <c r="I111">
        <f t="shared" si="11"/>
        <v>6.1728395061728406E-7</v>
      </c>
    </row>
    <row r="112" spans="1:9" x14ac:dyDescent="0.25">
      <c r="A112">
        <v>20.28</v>
      </c>
      <c r="B112">
        <v>100</v>
      </c>
      <c r="C112">
        <v>80</v>
      </c>
      <c r="D112">
        <f t="shared" si="6"/>
        <v>2054871</v>
      </c>
      <c r="E112">
        <f t="shared" si="7"/>
        <v>373.15</v>
      </c>
      <c r="F112">
        <f t="shared" si="8"/>
        <v>12.5</v>
      </c>
      <c r="G112">
        <f t="shared" si="9"/>
        <v>4.9309664694280081E-2</v>
      </c>
      <c r="H112">
        <f t="shared" si="10"/>
        <v>2.6798874447273214E-4</v>
      </c>
      <c r="I112">
        <f t="shared" si="11"/>
        <v>6.9444444444444437E-7</v>
      </c>
    </row>
    <row r="113" spans="1:9" x14ac:dyDescent="0.25">
      <c r="A113">
        <v>22.84</v>
      </c>
      <c r="B113">
        <v>100</v>
      </c>
      <c r="C113">
        <v>70</v>
      </c>
      <c r="D113">
        <f t="shared" si="6"/>
        <v>2314263</v>
      </c>
      <c r="E113">
        <f t="shared" si="7"/>
        <v>373.15</v>
      </c>
      <c r="F113">
        <f t="shared" si="8"/>
        <v>14.285714285714285</v>
      </c>
      <c r="G113">
        <f t="shared" si="9"/>
        <v>4.3782837127845885E-2</v>
      </c>
      <c r="H113">
        <f t="shared" si="10"/>
        <v>2.6798874447273214E-4</v>
      </c>
      <c r="I113">
        <f t="shared" si="11"/>
        <v>7.9365079365079355E-7</v>
      </c>
    </row>
    <row r="114" spans="1:9" x14ac:dyDescent="0.25">
      <c r="A114">
        <v>26.12</v>
      </c>
      <c r="B114">
        <v>100</v>
      </c>
      <c r="C114">
        <v>60</v>
      </c>
      <c r="D114">
        <f t="shared" si="6"/>
        <v>2646609</v>
      </c>
      <c r="E114">
        <f t="shared" si="7"/>
        <v>373.15</v>
      </c>
      <c r="F114">
        <f t="shared" si="8"/>
        <v>16.666666666666668</v>
      </c>
      <c r="G114">
        <f t="shared" si="9"/>
        <v>3.8284839203675348E-2</v>
      </c>
      <c r="H114">
        <f t="shared" si="10"/>
        <v>2.6798874447273214E-4</v>
      </c>
      <c r="I114">
        <f t="shared" si="11"/>
        <v>9.2592592592592604E-7</v>
      </c>
    </row>
    <row r="115" spans="1:9" x14ac:dyDescent="0.25">
      <c r="A115">
        <v>30.47</v>
      </c>
      <c r="B115">
        <v>100</v>
      </c>
      <c r="C115">
        <v>50</v>
      </c>
      <c r="D115">
        <f t="shared" si="6"/>
        <v>3087372.75</v>
      </c>
      <c r="E115">
        <f t="shared" si="7"/>
        <v>373.15</v>
      </c>
      <c r="F115">
        <f t="shared" si="8"/>
        <v>20</v>
      </c>
      <c r="G115">
        <f t="shared" si="9"/>
        <v>3.2819166393173609E-2</v>
      </c>
      <c r="H115">
        <f t="shared" si="10"/>
        <v>2.6798874447273214E-4</v>
      </c>
      <c r="I115">
        <f t="shared" si="11"/>
        <v>1.111111111111111E-6</v>
      </c>
    </row>
    <row r="116" spans="1:9" x14ac:dyDescent="0.25">
      <c r="A116">
        <v>33.21</v>
      </c>
      <c r="B116">
        <v>100</v>
      </c>
      <c r="C116">
        <v>45</v>
      </c>
      <c r="D116">
        <f t="shared" si="6"/>
        <v>3365003.25</v>
      </c>
      <c r="E116">
        <f t="shared" si="7"/>
        <v>373.15</v>
      </c>
      <c r="F116">
        <f t="shared" si="8"/>
        <v>22.222222222222225</v>
      </c>
      <c r="G116">
        <f t="shared" si="9"/>
        <v>3.0111412225233364E-2</v>
      </c>
      <c r="H116">
        <f t="shared" si="10"/>
        <v>2.6798874447273214E-4</v>
      </c>
      <c r="I116">
        <f t="shared" si="11"/>
        <v>1.2345679012345681E-6</v>
      </c>
    </row>
    <row r="117" spans="1:9" x14ac:dyDescent="0.25">
      <c r="A117">
        <v>36.47</v>
      </c>
      <c r="B117">
        <v>100</v>
      </c>
      <c r="C117">
        <v>40</v>
      </c>
      <c r="D117">
        <f t="shared" si="6"/>
        <v>3695322.75</v>
      </c>
      <c r="E117">
        <f t="shared" si="7"/>
        <v>373.15</v>
      </c>
      <c r="F117">
        <f t="shared" si="8"/>
        <v>25</v>
      </c>
      <c r="G117">
        <f t="shared" si="9"/>
        <v>2.7419797093501508E-2</v>
      </c>
      <c r="H117">
        <f t="shared" si="10"/>
        <v>2.6798874447273214E-4</v>
      </c>
      <c r="I117">
        <f t="shared" si="11"/>
        <v>1.3888888888888887E-6</v>
      </c>
    </row>
    <row r="118" spans="1:9" x14ac:dyDescent="0.25">
      <c r="A118">
        <v>40.409999999999997</v>
      </c>
      <c r="B118">
        <v>100</v>
      </c>
      <c r="C118">
        <v>35</v>
      </c>
      <c r="D118">
        <f t="shared" si="6"/>
        <v>4094543.2499999995</v>
      </c>
      <c r="E118">
        <f t="shared" si="7"/>
        <v>373.15</v>
      </c>
      <c r="F118">
        <f t="shared" si="8"/>
        <v>28.571428571428569</v>
      </c>
      <c r="G118">
        <f t="shared" si="9"/>
        <v>2.4746349913387779E-2</v>
      </c>
      <c r="H118">
        <f t="shared" si="10"/>
        <v>2.6798874447273214E-4</v>
      </c>
      <c r="I118">
        <f t="shared" si="11"/>
        <v>1.5873015873015871E-6</v>
      </c>
    </row>
    <row r="119" spans="1:9" x14ac:dyDescent="0.25">
      <c r="A119">
        <v>45.19</v>
      </c>
      <c r="B119">
        <v>100</v>
      </c>
      <c r="C119">
        <v>30</v>
      </c>
      <c r="D119">
        <f t="shared" si="6"/>
        <v>4578876.75</v>
      </c>
      <c r="E119">
        <f t="shared" si="7"/>
        <v>373.15</v>
      </c>
      <c r="F119">
        <f t="shared" si="8"/>
        <v>33.333333333333336</v>
      </c>
      <c r="G119">
        <f t="shared" si="9"/>
        <v>2.2128789555211331E-2</v>
      </c>
      <c r="H119">
        <f t="shared" si="10"/>
        <v>2.6798874447273214E-4</v>
      </c>
      <c r="I119">
        <f t="shared" si="11"/>
        <v>1.8518518518518521E-6</v>
      </c>
    </row>
    <row r="120" spans="1:9" x14ac:dyDescent="0.25">
      <c r="A120">
        <v>51.09</v>
      </c>
      <c r="B120">
        <v>100</v>
      </c>
      <c r="C120">
        <v>25</v>
      </c>
      <c r="D120">
        <f t="shared" si="6"/>
        <v>5176694.25</v>
      </c>
      <c r="E120">
        <f t="shared" si="7"/>
        <v>373.15</v>
      </c>
      <c r="F120">
        <f t="shared" si="8"/>
        <v>40</v>
      </c>
      <c r="G120">
        <f t="shared" si="9"/>
        <v>1.9573302016050106E-2</v>
      </c>
      <c r="H120">
        <f t="shared" si="10"/>
        <v>2.6798874447273214E-4</v>
      </c>
      <c r="I120">
        <f t="shared" si="11"/>
        <v>2.2222222222222221E-6</v>
      </c>
    </row>
    <row r="121" spans="1:9" x14ac:dyDescent="0.25">
      <c r="A121">
        <v>58.28</v>
      </c>
      <c r="B121">
        <v>100</v>
      </c>
      <c r="C121">
        <v>20</v>
      </c>
      <c r="D121">
        <f t="shared" si="6"/>
        <v>5905221</v>
      </c>
      <c r="E121">
        <f t="shared" si="7"/>
        <v>373.15</v>
      </c>
      <c r="F121">
        <f t="shared" si="8"/>
        <v>50</v>
      </c>
      <c r="G121">
        <f t="shared" si="9"/>
        <v>1.7158544955387784E-2</v>
      </c>
      <c r="H121">
        <f t="shared" si="10"/>
        <v>2.6798874447273214E-4</v>
      </c>
      <c r="I121">
        <f t="shared" si="11"/>
        <v>2.7777777777777775E-6</v>
      </c>
    </row>
    <row r="122" spans="1:9" x14ac:dyDescent="0.25">
      <c r="A122">
        <v>15.9</v>
      </c>
      <c r="B122">
        <v>75</v>
      </c>
      <c r="C122">
        <v>95</v>
      </c>
      <c r="D122">
        <f t="shared" si="6"/>
        <v>1611067.5</v>
      </c>
      <c r="E122">
        <f t="shared" si="7"/>
        <v>348.15</v>
      </c>
      <c r="F122">
        <f t="shared" si="8"/>
        <v>10.526315789473685</v>
      </c>
      <c r="G122">
        <f t="shared" si="9"/>
        <v>6.2893081761006289E-2</v>
      </c>
      <c r="H122">
        <f t="shared" si="10"/>
        <v>2.8723251472066643E-4</v>
      </c>
      <c r="I122">
        <f t="shared" si="11"/>
        <v>5.8479532163742688E-7</v>
      </c>
    </row>
    <row r="123" spans="1:9" x14ac:dyDescent="0.25">
      <c r="A123">
        <v>16.68</v>
      </c>
      <c r="B123">
        <v>75</v>
      </c>
      <c r="C123">
        <v>90</v>
      </c>
      <c r="D123">
        <f t="shared" si="6"/>
        <v>1690101</v>
      </c>
      <c r="E123">
        <f t="shared" si="7"/>
        <v>348.15</v>
      </c>
      <c r="F123">
        <f t="shared" si="8"/>
        <v>11.111111111111112</v>
      </c>
      <c r="G123">
        <f t="shared" si="9"/>
        <v>5.9952038369304551E-2</v>
      </c>
      <c r="H123">
        <f t="shared" si="10"/>
        <v>2.8723251472066643E-4</v>
      </c>
      <c r="I123">
        <f t="shared" si="11"/>
        <v>6.1728395061728406E-7</v>
      </c>
    </row>
    <row r="124" spans="1:9" x14ac:dyDescent="0.25">
      <c r="A124">
        <v>18.5</v>
      </c>
      <c r="B124">
        <v>75</v>
      </c>
      <c r="C124">
        <v>80</v>
      </c>
      <c r="D124">
        <f t="shared" si="6"/>
        <v>1874512.5</v>
      </c>
      <c r="E124">
        <f t="shared" si="7"/>
        <v>348.15</v>
      </c>
      <c r="F124">
        <f t="shared" si="8"/>
        <v>12.5</v>
      </c>
      <c r="G124">
        <f t="shared" si="9"/>
        <v>5.4054054054054057E-2</v>
      </c>
      <c r="H124">
        <f t="shared" si="10"/>
        <v>2.8723251472066643E-4</v>
      </c>
      <c r="I124">
        <f t="shared" si="11"/>
        <v>6.9444444444444437E-7</v>
      </c>
    </row>
    <row r="125" spans="1:9" x14ac:dyDescent="0.25">
      <c r="A125">
        <v>20.76</v>
      </c>
      <c r="B125">
        <v>75</v>
      </c>
      <c r="C125">
        <v>70</v>
      </c>
      <c r="D125">
        <f t="shared" si="6"/>
        <v>2103507</v>
      </c>
      <c r="E125">
        <f t="shared" si="7"/>
        <v>348.15</v>
      </c>
      <c r="F125">
        <f t="shared" si="8"/>
        <v>14.285714285714285</v>
      </c>
      <c r="G125">
        <f t="shared" si="9"/>
        <v>4.8169556840077073E-2</v>
      </c>
      <c r="H125">
        <f t="shared" si="10"/>
        <v>2.8723251472066643E-4</v>
      </c>
      <c r="I125">
        <f t="shared" si="11"/>
        <v>7.9365079365079355E-7</v>
      </c>
    </row>
    <row r="126" spans="1:9" x14ac:dyDescent="0.25">
      <c r="A126">
        <v>23.61</v>
      </c>
      <c r="B126">
        <v>75</v>
      </c>
      <c r="C126">
        <v>60</v>
      </c>
      <c r="D126">
        <f t="shared" si="6"/>
        <v>2392283.25</v>
      </c>
      <c r="E126">
        <f t="shared" si="7"/>
        <v>348.15</v>
      </c>
      <c r="F126">
        <f t="shared" si="8"/>
        <v>16.666666666666668</v>
      </c>
      <c r="G126">
        <f t="shared" si="9"/>
        <v>4.2354934349851756E-2</v>
      </c>
      <c r="H126">
        <f t="shared" si="10"/>
        <v>2.8723251472066643E-4</v>
      </c>
      <c r="I126">
        <f t="shared" si="11"/>
        <v>9.2592592592592604E-7</v>
      </c>
    </row>
    <row r="127" spans="1:9" x14ac:dyDescent="0.25">
      <c r="A127">
        <v>27.34</v>
      </c>
      <c r="B127">
        <v>75</v>
      </c>
      <c r="C127">
        <v>50</v>
      </c>
      <c r="D127">
        <f t="shared" si="6"/>
        <v>2770225.5</v>
      </c>
      <c r="E127">
        <f t="shared" si="7"/>
        <v>348.15</v>
      </c>
      <c r="F127">
        <f t="shared" si="8"/>
        <v>20</v>
      </c>
      <c r="G127">
        <f t="shared" si="9"/>
        <v>3.6576444769568402E-2</v>
      </c>
      <c r="H127">
        <f t="shared" si="10"/>
        <v>2.8723251472066643E-4</v>
      </c>
      <c r="I127">
        <f t="shared" si="11"/>
        <v>1.111111111111111E-6</v>
      </c>
    </row>
    <row r="128" spans="1:9" x14ac:dyDescent="0.25">
      <c r="A128">
        <v>29.65</v>
      </c>
      <c r="B128">
        <v>75</v>
      </c>
      <c r="C128">
        <v>45</v>
      </c>
      <c r="D128">
        <f t="shared" si="6"/>
        <v>3004286.25</v>
      </c>
      <c r="E128">
        <f t="shared" si="7"/>
        <v>348.15</v>
      </c>
      <c r="F128">
        <f t="shared" si="8"/>
        <v>22.222222222222225</v>
      </c>
      <c r="G128">
        <f t="shared" si="9"/>
        <v>3.3726812816188868E-2</v>
      </c>
      <c r="H128">
        <f t="shared" si="10"/>
        <v>2.8723251472066643E-4</v>
      </c>
      <c r="I128">
        <f t="shared" si="11"/>
        <v>1.2345679012345681E-6</v>
      </c>
    </row>
    <row r="129" spans="1:9" x14ac:dyDescent="0.25">
      <c r="A129">
        <v>32.35</v>
      </c>
      <c r="B129">
        <v>75</v>
      </c>
      <c r="C129">
        <v>40</v>
      </c>
      <c r="D129">
        <f t="shared" si="6"/>
        <v>3277863.75</v>
      </c>
      <c r="E129">
        <f t="shared" si="7"/>
        <v>348.15</v>
      </c>
      <c r="F129">
        <f t="shared" si="8"/>
        <v>25</v>
      </c>
      <c r="G129">
        <f t="shared" si="9"/>
        <v>3.0911901081916538E-2</v>
      </c>
      <c r="H129">
        <f t="shared" si="10"/>
        <v>2.8723251472066643E-4</v>
      </c>
      <c r="I129">
        <f t="shared" si="11"/>
        <v>1.3888888888888887E-6</v>
      </c>
    </row>
    <row r="130" spans="1:9" x14ac:dyDescent="0.25">
      <c r="A130">
        <v>35.520000000000003</v>
      </c>
      <c r="B130">
        <v>75</v>
      </c>
      <c r="C130">
        <v>35</v>
      </c>
      <c r="D130">
        <f t="shared" si="6"/>
        <v>3599064.0000000005</v>
      </c>
      <c r="E130">
        <f t="shared" si="7"/>
        <v>348.15</v>
      </c>
      <c r="F130">
        <f t="shared" si="8"/>
        <v>28.571428571428569</v>
      </c>
      <c r="G130">
        <f t="shared" si="9"/>
        <v>2.8153153153153147E-2</v>
      </c>
      <c r="H130">
        <f t="shared" si="10"/>
        <v>2.8723251472066643E-4</v>
      </c>
      <c r="I130">
        <f t="shared" si="11"/>
        <v>1.5873015873015871E-6</v>
      </c>
    </row>
    <row r="131" spans="1:9" x14ac:dyDescent="0.25">
      <c r="A131">
        <v>14.37</v>
      </c>
      <c r="B131">
        <v>50</v>
      </c>
      <c r="C131">
        <v>95</v>
      </c>
      <c r="D131">
        <f t="shared" ref="D131:D134" si="12">A131*101325</f>
        <v>1456040.25</v>
      </c>
      <c r="E131">
        <f t="shared" ref="E131:E134" si="13">B131+273.15</f>
        <v>323.14999999999998</v>
      </c>
      <c r="F131">
        <f t="shared" ref="F131:F134" si="14">1/C131*0.001*1000000</f>
        <v>10.526315789473685</v>
      </c>
      <c r="G131">
        <f t="shared" ref="G131:G134" si="15">0.01*101325/D131*100</f>
        <v>6.9589422407794019E-2</v>
      </c>
      <c r="H131">
        <f t="shared" ref="H131:H134" si="16">0.001/E131*100</f>
        <v>3.0945381401825781E-4</v>
      </c>
      <c r="I131">
        <f t="shared" ref="I131:I134" si="17">0.5*0.000000001*F131/(9*0.001)</f>
        <v>5.8479532163742688E-7</v>
      </c>
    </row>
    <row r="132" spans="1:9" x14ac:dyDescent="0.25">
      <c r="A132">
        <v>15.05</v>
      </c>
      <c r="B132">
        <v>50</v>
      </c>
      <c r="C132">
        <v>90</v>
      </c>
      <c r="D132">
        <f t="shared" si="12"/>
        <v>1524941.25</v>
      </c>
      <c r="E132">
        <f t="shared" si="13"/>
        <v>323.14999999999998</v>
      </c>
      <c r="F132">
        <f t="shared" si="14"/>
        <v>11.111111111111112</v>
      </c>
      <c r="G132">
        <f t="shared" si="15"/>
        <v>6.6445182724252497E-2</v>
      </c>
      <c r="H132">
        <f t="shared" si="16"/>
        <v>3.0945381401825781E-4</v>
      </c>
      <c r="I132">
        <f t="shared" si="17"/>
        <v>6.1728395061728406E-7</v>
      </c>
    </row>
    <row r="133" spans="1:9" x14ac:dyDescent="0.25">
      <c r="A133">
        <v>16.62</v>
      </c>
      <c r="B133">
        <v>50</v>
      </c>
      <c r="C133">
        <v>80</v>
      </c>
      <c r="D133">
        <f t="shared" si="12"/>
        <v>1684021.5</v>
      </c>
      <c r="E133">
        <f t="shared" si="13"/>
        <v>323.14999999999998</v>
      </c>
      <c r="F133">
        <f t="shared" si="14"/>
        <v>12.5</v>
      </c>
      <c r="G133">
        <f t="shared" si="15"/>
        <v>6.0168471720818295E-2</v>
      </c>
      <c r="H133">
        <f t="shared" si="16"/>
        <v>3.0945381401825781E-4</v>
      </c>
      <c r="I133">
        <f t="shared" si="17"/>
        <v>6.9444444444444437E-7</v>
      </c>
    </row>
    <row r="134" spans="1:9" x14ac:dyDescent="0.25">
      <c r="A134">
        <v>18.54</v>
      </c>
      <c r="B134">
        <v>50</v>
      </c>
      <c r="C134">
        <v>70</v>
      </c>
      <c r="D134">
        <f t="shared" si="12"/>
        <v>1878565.5</v>
      </c>
      <c r="E134">
        <f t="shared" si="13"/>
        <v>323.14999999999998</v>
      </c>
      <c r="F134">
        <f t="shared" si="14"/>
        <v>14.285714285714285</v>
      </c>
      <c r="G134">
        <f t="shared" si="15"/>
        <v>5.3937432578209273E-2</v>
      </c>
      <c r="H134">
        <f t="shared" si="16"/>
        <v>3.0945381401825781E-4</v>
      </c>
      <c r="I134">
        <f t="shared" si="17"/>
        <v>7.9365079365079355E-7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Nunes, Catarina</dc:creator>
  <cp:lastModifiedBy>Duarte Nunes, Catarina</cp:lastModifiedBy>
  <dcterms:created xsi:type="dcterms:W3CDTF">2025-10-22T16:07:26Z</dcterms:created>
  <dcterms:modified xsi:type="dcterms:W3CDTF">2025-10-22T16:40:23Z</dcterms:modified>
</cp:coreProperties>
</file>