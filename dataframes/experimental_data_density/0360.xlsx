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d318_ic_ac_uk/Documents/UNI/PhD/Code/GitHub repos/EOS/dataframes/experimental_data_density/"/>
    </mc:Choice>
  </mc:AlternateContent>
  <xr:revisionPtr revIDLastSave="7" documentId="14_{4AF32F37-5251-4420-8EC9-3A30C127D883}" xr6:coauthVersionLast="47" xr6:coauthVersionMax="47" xr10:uidLastSave="{F8E2AB78-3A70-4D57-91DF-A352B7881AB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I2" i="1" s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E2" i="1"/>
  <c r="H2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D2" i="1"/>
  <c r="G2" i="1" s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</calcChain>
</file>

<file path=xl/sharedStrings.xml><?xml version="1.0" encoding="utf-8"?>
<sst xmlns="http://schemas.openxmlformats.org/spreadsheetml/2006/main" count="9" uniqueCount="9">
  <si>
    <t>P_raw</t>
  </si>
  <si>
    <t>T_raw</t>
  </si>
  <si>
    <t>rho_raw</t>
  </si>
  <si>
    <t>P_SI</t>
  </si>
  <si>
    <t>T_SI</t>
  </si>
  <si>
    <t>rho_SI</t>
  </si>
  <si>
    <t>delta_P</t>
  </si>
  <si>
    <t>delta_T</t>
  </si>
  <si>
    <t>delta_rho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</si>
</sst>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S12" sqref="S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6.8760000000000003</v>
      </c>
      <c r="B2">
        <v>379.12</v>
      </c>
      <c r="C2">
        <v>6.1600000000000002E-2</v>
      </c>
      <c r="D2">
        <f t="shared" ref="D2:D31" si="0">A2*1000000</f>
        <v>6876000</v>
      </c>
      <c r="E2">
        <f t="shared" ref="E2:E31" si="1">B2</f>
        <v>379.12</v>
      </c>
      <c r="F2">
        <f t="shared" ref="F2:F31" si="2">C2*0.001/0.000001</f>
        <v>61.600000000000009</v>
      </c>
      <c r="G2">
        <f t="shared" ref="G2:G31" si="3">3.5*1000/D2*100</f>
        <v>5.0901687027341477E-2</v>
      </c>
      <c r="H2">
        <f t="shared" ref="H2:H31" si="4">0.05/E2*100</f>
        <v>1.3188436378982907E-2</v>
      </c>
      <c r="I2">
        <f t="shared" ref="I2:I31" si="5">0.0005*0.001/0.000001/F2*100</f>
        <v>0.81168831168831157</v>
      </c>
    </row>
    <row r="3" spans="1:9" x14ac:dyDescent="0.25">
      <c r="A3">
        <v>8.5969999999999995</v>
      </c>
      <c r="B3">
        <v>390.95</v>
      </c>
      <c r="C3">
        <v>8.6699999999999999E-2</v>
      </c>
      <c r="D3">
        <f t="shared" si="0"/>
        <v>8597000</v>
      </c>
      <c r="E3">
        <f t="shared" si="1"/>
        <v>390.95</v>
      </c>
      <c r="F3">
        <f t="shared" si="2"/>
        <v>86.700000000000017</v>
      </c>
      <c r="G3">
        <f t="shared" si="3"/>
        <v>4.0711876235896241E-2</v>
      </c>
      <c r="H3">
        <f t="shared" si="4"/>
        <v>1.278935925310142E-2</v>
      </c>
      <c r="I3">
        <f t="shared" si="5"/>
        <v>0.57670126874279104</v>
      </c>
    </row>
    <row r="4" spans="1:9" x14ac:dyDescent="0.25">
      <c r="A4">
        <v>0.55800000000000005</v>
      </c>
      <c r="B4">
        <v>279.37</v>
      </c>
      <c r="C4">
        <v>0.62960000000000005</v>
      </c>
      <c r="D4">
        <f t="shared" si="0"/>
        <v>558000</v>
      </c>
      <c r="E4">
        <f t="shared" si="1"/>
        <v>279.37</v>
      </c>
      <c r="F4">
        <f t="shared" si="2"/>
        <v>629.6</v>
      </c>
      <c r="G4">
        <f t="shared" si="3"/>
        <v>0.62724014336917566</v>
      </c>
      <c r="H4">
        <f t="shared" si="4"/>
        <v>1.7897412034219854E-2</v>
      </c>
      <c r="I4">
        <f t="shared" si="5"/>
        <v>7.9415501905972047E-2</v>
      </c>
    </row>
    <row r="5" spans="1:9" x14ac:dyDescent="0.25">
      <c r="A5">
        <v>0.55800000000000005</v>
      </c>
      <c r="B5">
        <v>279.68</v>
      </c>
      <c r="C5">
        <v>0.62919999999999998</v>
      </c>
      <c r="D5">
        <f t="shared" si="0"/>
        <v>558000</v>
      </c>
      <c r="E5">
        <f t="shared" si="1"/>
        <v>279.68</v>
      </c>
      <c r="F5">
        <f t="shared" si="2"/>
        <v>629.20000000000005</v>
      </c>
      <c r="G5">
        <f t="shared" si="3"/>
        <v>0.62724014336917566</v>
      </c>
      <c r="H5">
        <f t="shared" si="4"/>
        <v>1.787757437070938E-2</v>
      </c>
      <c r="I5">
        <f t="shared" si="5"/>
        <v>7.946598855689764E-2</v>
      </c>
    </row>
    <row r="6" spans="1:9" x14ac:dyDescent="0.25">
      <c r="A6">
        <v>0.57699999999999996</v>
      </c>
      <c r="B6">
        <v>280.60000000000002</v>
      </c>
      <c r="C6">
        <v>0.62809999999999999</v>
      </c>
      <c r="D6">
        <f t="shared" si="0"/>
        <v>577000</v>
      </c>
      <c r="E6">
        <f t="shared" si="1"/>
        <v>280.60000000000002</v>
      </c>
      <c r="F6">
        <f t="shared" si="2"/>
        <v>628.1</v>
      </c>
      <c r="G6">
        <f t="shared" si="3"/>
        <v>0.60658578856152512</v>
      </c>
      <c r="H6">
        <f t="shared" si="4"/>
        <v>1.7818959372772628E-2</v>
      </c>
      <c r="I6">
        <f t="shared" si="5"/>
        <v>7.9605158414265242E-2</v>
      </c>
    </row>
    <row r="7" spans="1:9" x14ac:dyDescent="0.25">
      <c r="A7">
        <v>0.61299999999999999</v>
      </c>
      <c r="B7">
        <v>282.52999999999997</v>
      </c>
      <c r="C7">
        <v>0.62509999999999999</v>
      </c>
      <c r="D7">
        <f t="shared" si="0"/>
        <v>613000</v>
      </c>
      <c r="E7">
        <f t="shared" si="1"/>
        <v>282.52999999999997</v>
      </c>
      <c r="F7">
        <f t="shared" si="2"/>
        <v>625.1</v>
      </c>
      <c r="G7">
        <f t="shared" si="3"/>
        <v>0.5709624796084829</v>
      </c>
      <c r="H7">
        <f t="shared" si="4"/>
        <v>1.7697235691784944E-2</v>
      </c>
      <c r="I7">
        <f t="shared" si="5"/>
        <v>7.9987202047672373E-2</v>
      </c>
    </row>
    <row r="8" spans="1:9" x14ac:dyDescent="0.25">
      <c r="A8">
        <v>1.0209999999999999</v>
      </c>
      <c r="B8">
        <v>297.39</v>
      </c>
      <c r="C8">
        <v>0.60399999999999998</v>
      </c>
      <c r="D8">
        <f t="shared" si="0"/>
        <v>1020999.9999999999</v>
      </c>
      <c r="E8">
        <f t="shared" si="1"/>
        <v>297.39</v>
      </c>
      <c r="F8">
        <f t="shared" si="2"/>
        <v>604.00000000000011</v>
      </c>
      <c r="G8">
        <f t="shared" si="3"/>
        <v>0.34280117531831544</v>
      </c>
      <c r="H8">
        <f t="shared" si="4"/>
        <v>1.6812939238037596E-2</v>
      </c>
      <c r="I8">
        <f t="shared" si="5"/>
        <v>8.2781456953642377E-2</v>
      </c>
    </row>
    <row r="9" spans="1:9" x14ac:dyDescent="0.25">
      <c r="A9">
        <v>1.0549999999999999</v>
      </c>
      <c r="B9">
        <v>299.07</v>
      </c>
      <c r="C9">
        <v>0.60170000000000001</v>
      </c>
      <c r="D9">
        <f t="shared" si="0"/>
        <v>1055000</v>
      </c>
      <c r="E9">
        <f t="shared" si="1"/>
        <v>299.07</v>
      </c>
      <c r="F9">
        <f t="shared" si="2"/>
        <v>601.70000000000005</v>
      </c>
      <c r="G9">
        <f t="shared" si="3"/>
        <v>0.33175355450236965</v>
      </c>
      <c r="H9">
        <f t="shared" si="4"/>
        <v>1.6718493998060656E-2</v>
      </c>
      <c r="I9">
        <f t="shared" si="5"/>
        <v>8.3097889313611423E-2</v>
      </c>
    </row>
    <row r="10" spans="1:9" x14ac:dyDescent="0.25">
      <c r="A10">
        <v>1.071</v>
      </c>
      <c r="B10">
        <v>299.39999999999998</v>
      </c>
      <c r="C10">
        <v>0.60140000000000005</v>
      </c>
      <c r="D10">
        <f t="shared" si="0"/>
        <v>1071000</v>
      </c>
      <c r="E10">
        <f t="shared" si="1"/>
        <v>299.39999999999998</v>
      </c>
      <c r="F10">
        <f t="shared" si="2"/>
        <v>601.40000000000009</v>
      </c>
      <c r="G10">
        <f t="shared" si="3"/>
        <v>0.32679738562091504</v>
      </c>
      <c r="H10">
        <f t="shared" si="4"/>
        <v>1.6700066800267203E-2</v>
      </c>
      <c r="I10">
        <f t="shared" si="5"/>
        <v>8.3139341536415029E-2</v>
      </c>
    </row>
    <row r="11" spans="1:9" x14ac:dyDescent="0.25">
      <c r="A11">
        <v>1.115</v>
      </c>
      <c r="B11">
        <v>300.74</v>
      </c>
      <c r="C11">
        <v>0.59909999999999997</v>
      </c>
      <c r="D11">
        <f t="shared" si="0"/>
        <v>1115000</v>
      </c>
      <c r="E11">
        <f t="shared" si="1"/>
        <v>300.74</v>
      </c>
      <c r="F11">
        <f t="shared" si="2"/>
        <v>599.1</v>
      </c>
      <c r="G11">
        <f t="shared" si="3"/>
        <v>0.31390134529147978</v>
      </c>
      <c r="H11">
        <f t="shared" si="4"/>
        <v>1.6625656713440181E-2</v>
      </c>
      <c r="I11">
        <f t="shared" si="5"/>
        <v>8.3458521115005832E-2</v>
      </c>
    </row>
    <row r="12" spans="1:9" x14ac:dyDescent="0.25">
      <c r="A12">
        <v>1.764</v>
      </c>
      <c r="B12">
        <v>316.94</v>
      </c>
      <c r="C12">
        <v>0.57410000000000005</v>
      </c>
      <c r="D12">
        <f t="shared" si="0"/>
        <v>1764000</v>
      </c>
      <c r="E12">
        <f t="shared" si="1"/>
        <v>316.94</v>
      </c>
      <c r="F12">
        <f t="shared" si="2"/>
        <v>574.1</v>
      </c>
      <c r="G12">
        <f t="shared" si="3"/>
        <v>0.1984126984126984</v>
      </c>
      <c r="H12">
        <f t="shared" si="4"/>
        <v>1.5775856629014956E-2</v>
      </c>
      <c r="I12">
        <f t="shared" si="5"/>
        <v>8.709284096847239E-2</v>
      </c>
    </row>
    <row r="13" spans="1:9" x14ac:dyDescent="0.25">
      <c r="A13">
        <v>1.855</v>
      </c>
      <c r="B13">
        <v>319.48</v>
      </c>
      <c r="C13">
        <v>0.56950000000000001</v>
      </c>
      <c r="D13">
        <f t="shared" si="0"/>
        <v>1855000</v>
      </c>
      <c r="E13">
        <f t="shared" si="1"/>
        <v>319.48</v>
      </c>
      <c r="F13">
        <f t="shared" si="2"/>
        <v>569.5</v>
      </c>
      <c r="G13">
        <f t="shared" si="3"/>
        <v>0.18867924528301888</v>
      </c>
      <c r="H13">
        <f t="shared" si="4"/>
        <v>1.5650431951921871E-2</v>
      </c>
      <c r="I13">
        <f t="shared" si="5"/>
        <v>8.7796312554872691E-2</v>
      </c>
    </row>
    <row r="14" spans="1:9" x14ac:dyDescent="0.25">
      <c r="A14">
        <v>1.8660000000000001</v>
      </c>
      <c r="B14">
        <v>319.85000000000002</v>
      </c>
      <c r="C14">
        <v>0.56769999999999998</v>
      </c>
      <c r="D14">
        <f t="shared" si="0"/>
        <v>1866000</v>
      </c>
      <c r="E14">
        <f t="shared" si="1"/>
        <v>319.85000000000002</v>
      </c>
      <c r="F14">
        <f t="shared" si="2"/>
        <v>567.70000000000005</v>
      </c>
      <c r="G14">
        <f t="shared" si="3"/>
        <v>0.18756698821007503</v>
      </c>
      <c r="H14">
        <f t="shared" si="4"/>
        <v>1.5632327653587619E-2</v>
      </c>
      <c r="I14">
        <f t="shared" si="5"/>
        <v>8.8074687334859958E-2</v>
      </c>
    </row>
    <row r="15" spans="1:9" x14ac:dyDescent="0.25">
      <c r="A15">
        <v>1.9</v>
      </c>
      <c r="B15">
        <v>319.89999999999998</v>
      </c>
      <c r="C15">
        <v>0.56889999999999996</v>
      </c>
      <c r="D15">
        <f t="shared" si="0"/>
        <v>1900000</v>
      </c>
      <c r="E15">
        <f t="shared" si="1"/>
        <v>319.89999999999998</v>
      </c>
      <c r="F15">
        <f t="shared" si="2"/>
        <v>568.9</v>
      </c>
      <c r="G15">
        <f t="shared" si="3"/>
        <v>0.18421052631578946</v>
      </c>
      <c r="H15">
        <f t="shared" si="4"/>
        <v>1.5629884338855895E-2</v>
      </c>
      <c r="I15">
        <f t="shared" si="5"/>
        <v>8.7888908419757425E-2</v>
      </c>
    </row>
    <row r="16" spans="1:9" x14ac:dyDescent="0.25">
      <c r="A16">
        <v>1.931</v>
      </c>
      <c r="B16">
        <v>320.89</v>
      </c>
      <c r="C16">
        <v>0.56730000000000003</v>
      </c>
      <c r="D16">
        <f t="shared" si="0"/>
        <v>1931000</v>
      </c>
      <c r="E16">
        <f t="shared" si="1"/>
        <v>320.89</v>
      </c>
      <c r="F16">
        <f t="shared" si="2"/>
        <v>567.30000000000007</v>
      </c>
      <c r="G16">
        <f t="shared" si="3"/>
        <v>0.18125323666494045</v>
      </c>
      <c r="H16">
        <f t="shared" si="4"/>
        <v>1.558166349839509E-2</v>
      </c>
      <c r="I16">
        <f t="shared" si="5"/>
        <v>8.8136788295434504E-2</v>
      </c>
    </row>
    <row r="17" spans="1:9" x14ac:dyDescent="0.25">
      <c r="A17">
        <v>2.0470000000000002</v>
      </c>
      <c r="B17">
        <v>323.27999999999997</v>
      </c>
      <c r="C17">
        <v>0.56359999999999999</v>
      </c>
      <c r="D17">
        <f t="shared" si="0"/>
        <v>2047000.0000000002</v>
      </c>
      <c r="E17">
        <f t="shared" si="1"/>
        <v>323.27999999999997</v>
      </c>
      <c r="F17">
        <f t="shared" si="2"/>
        <v>563.6</v>
      </c>
      <c r="G17">
        <f t="shared" si="3"/>
        <v>0.17098192476795307</v>
      </c>
      <c r="H17">
        <f t="shared" si="4"/>
        <v>1.5466468695867361E-2</v>
      </c>
      <c r="I17">
        <f t="shared" si="5"/>
        <v>8.8715400993612484E-2</v>
      </c>
    </row>
    <row r="18" spans="1:9" x14ac:dyDescent="0.25">
      <c r="A18">
        <v>2.915</v>
      </c>
      <c r="B18">
        <v>336.17</v>
      </c>
      <c r="C18">
        <v>0.54120000000000001</v>
      </c>
      <c r="D18">
        <f t="shared" si="0"/>
        <v>2915000</v>
      </c>
      <c r="E18">
        <f t="shared" si="1"/>
        <v>336.17</v>
      </c>
      <c r="F18">
        <f t="shared" si="2"/>
        <v>541.20000000000005</v>
      </c>
      <c r="G18">
        <f t="shared" si="3"/>
        <v>0.12006861063464838</v>
      </c>
      <c r="H18">
        <f t="shared" si="4"/>
        <v>1.4873427135080466E-2</v>
      </c>
      <c r="I18">
        <f t="shared" si="5"/>
        <v>9.2387287509238719E-2</v>
      </c>
    </row>
    <row r="19" spans="1:9" x14ac:dyDescent="0.25">
      <c r="A19">
        <v>3.069</v>
      </c>
      <c r="B19">
        <v>339.54</v>
      </c>
      <c r="C19">
        <v>0.53439999999999999</v>
      </c>
      <c r="D19">
        <f t="shared" si="0"/>
        <v>3069000</v>
      </c>
      <c r="E19">
        <f t="shared" si="1"/>
        <v>339.54</v>
      </c>
      <c r="F19">
        <f t="shared" si="2"/>
        <v>534.4</v>
      </c>
      <c r="G19">
        <f t="shared" si="3"/>
        <v>0.11404366243075921</v>
      </c>
      <c r="H19">
        <f t="shared" si="4"/>
        <v>1.4725805501560935E-2</v>
      </c>
      <c r="I19">
        <f t="shared" si="5"/>
        <v>9.3562874251497008E-2</v>
      </c>
    </row>
    <row r="20" spans="1:9" x14ac:dyDescent="0.25">
      <c r="A20">
        <v>3.0659999999999998</v>
      </c>
      <c r="B20">
        <v>339.62</v>
      </c>
      <c r="C20">
        <v>0.53400000000000003</v>
      </c>
      <c r="D20">
        <f t="shared" si="0"/>
        <v>3066000</v>
      </c>
      <c r="E20">
        <f t="shared" si="1"/>
        <v>339.62</v>
      </c>
      <c r="F20">
        <f t="shared" si="2"/>
        <v>534.00000000000011</v>
      </c>
      <c r="G20">
        <f t="shared" si="3"/>
        <v>0.11415525114155251</v>
      </c>
      <c r="H20">
        <f t="shared" si="4"/>
        <v>1.4722336729285673E-2</v>
      </c>
      <c r="I20">
        <f t="shared" si="5"/>
        <v>9.3632958801498106E-2</v>
      </c>
    </row>
    <row r="21" spans="1:9" x14ac:dyDescent="0.25">
      <c r="A21">
        <v>3.3149999999999999</v>
      </c>
      <c r="B21">
        <v>342.99</v>
      </c>
      <c r="C21">
        <v>0.52810000000000001</v>
      </c>
      <c r="D21">
        <f t="shared" si="0"/>
        <v>3315000</v>
      </c>
      <c r="E21">
        <f t="shared" si="1"/>
        <v>342.99</v>
      </c>
      <c r="F21">
        <f t="shared" si="2"/>
        <v>528.1</v>
      </c>
      <c r="G21">
        <f t="shared" si="3"/>
        <v>0.10558069381598793</v>
      </c>
      <c r="H21">
        <f t="shared" si="4"/>
        <v>1.4577684480597103E-2</v>
      </c>
      <c r="I21">
        <f t="shared" si="5"/>
        <v>9.4679038060973289E-2</v>
      </c>
    </row>
    <row r="22" spans="1:9" x14ac:dyDescent="0.25">
      <c r="A22">
        <v>4.5830000000000002</v>
      </c>
      <c r="B22">
        <v>356.33</v>
      </c>
      <c r="C22">
        <v>0.50109999999999999</v>
      </c>
      <c r="D22">
        <f t="shared" si="0"/>
        <v>4583000</v>
      </c>
      <c r="E22">
        <f t="shared" si="1"/>
        <v>356.33</v>
      </c>
      <c r="F22">
        <f t="shared" si="2"/>
        <v>501.1</v>
      </c>
      <c r="G22">
        <f t="shared" si="3"/>
        <v>7.6369190486580835E-2</v>
      </c>
      <c r="H22">
        <f t="shared" si="4"/>
        <v>1.4031936687901666E-2</v>
      </c>
      <c r="I22">
        <f t="shared" si="5"/>
        <v>9.9780482937537412E-2</v>
      </c>
    </row>
    <row r="23" spans="1:9" x14ac:dyDescent="0.25">
      <c r="A23">
        <v>4.665</v>
      </c>
      <c r="B23">
        <v>358.31</v>
      </c>
      <c r="C23">
        <v>0.49619999999999997</v>
      </c>
      <c r="D23">
        <f t="shared" si="0"/>
        <v>4665000</v>
      </c>
      <c r="E23">
        <f t="shared" si="1"/>
        <v>358.31</v>
      </c>
      <c r="F23">
        <f t="shared" si="2"/>
        <v>496.20000000000005</v>
      </c>
      <c r="G23">
        <f t="shared" si="3"/>
        <v>7.5026795284030015E-2</v>
      </c>
      <c r="H23">
        <f t="shared" si="4"/>
        <v>1.3954397030504313E-2</v>
      </c>
      <c r="I23">
        <f t="shared" si="5"/>
        <v>0.1007658202337767</v>
      </c>
    </row>
    <row r="24" spans="1:9" x14ac:dyDescent="0.25">
      <c r="A24">
        <v>5.1029999999999998</v>
      </c>
      <c r="B24">
        <v>362.17</v>
      </c>
      <c r="C24">
        <v>0.48770000000000002</v>
      </c>
      <c r="D24">
        <f t="shared" si="0"/>
        <v>5103000</v>
      </c>
      <c r="E24">
        <f t="shared" si="1"/>
        <v>362.17</v>
      </c>
      <c r="F24">
        <f t="shared" si="2"/>
        <v>487.70000000000005</v>
      </c>
      <c r="G24">
        <f t="shared" si="3"/>
        <v>6.858710562414265E-2</v>
      </c>
      <c r="H24">
        <f t="shared" si="4"/>
        <v>1.3805671369798714E-2</v>
      </c>
      <c r="I24">
        <f t="shared" si="5"/>
        <v>0.1025220422390814</v>
      </c>
    </row>
    <row r="25" spans="1:9" x14ac:dyDescent="0.25">
      <c r="A25">
        <v>5.1050000000000004</v>
      </c>
      <c r="B25">
        <v>362.17</v>
      </c>
      <c r="C25">
        <v>0.48770000000000002</v>
      </c>
      <c r="D25">
        <f t="shared" si="0"/>
        <v>5105000</v>
      </c>
      <c r="E25">
        <f t="shared" si="1"/>
        <v>362.17</v>
      </c>
      <c r="F25">
        <f t="shared" si="2"/>
        <v>487.70000000000005</v>
      </c>
      <c r="G25">
        <f t="shared" si="3"/>
        <v>6.8560235063663072E-2</v>
      </c>
      <c r="H25">
        <f t="shared" si="4"/>
        <v>1.3805671369798714E-2</v>
      </c>
      <c r="I25">
        <f t="shared" si="5"/>
        <v>0.1025220422390814</v>
      </c>
    </row>
    <row r="26" spans="1:9" x14ac:dyDescent="0.25">
      <c r="A26">
        <v>6.8760000000000003</v>
      </c>
      <c r="B26">
        <v>377.03</v>
      </c>
      <c r="C26">
        <v>0.44919999999999999</v>
      </c>
      <c r="D26">
        <f t="shared" si="0"/>
        <v>6876000</v>
      </c>
      <c r="E26">
        <f t="shared" si="1"/>
        <v>377.03</v>
      </c>
      <c r="F26">
        <f t="shared" si="2"/>
        <v>449.20000000000005</v>
      </c>
      <c r="G26">
        <f t="shared" si="3"/>
        <v>5.0901687027341477E-2</v>
      </c>
      <c r="H26">
        <f t="shared" si="4"/>
        <v>1.3261544174203646E-2</v>
      </c>
      <c r="I26">
        <f t="shared" si="5"/>
        <v>0.11130899376669634</v>
      </c>
    </row>
    <row r="27" spans="1:9" x14ac:dyDescent="0.25">
      <c r="A27">
        <v>7.2569999999999997</v>
      </c>
      <c r="B27">
        <v>379.25</v>
      </c>
      <c r="C27">
        <v>0.44359999999999999</v>
      </c>
      <c r="D27">
        <f t="shared" si="0"/>
        <v>7257000</v>
      </c>
      <c r="E27">
        <f t="shared" si="1"/>
        <v>379.25</v>
      </c>
      <c r="F27">
        <f t="shared" si="2"/>
        <v>443.6</v>
      </c>
      <c r="G27">
        <f t="shared" si="3"/>
        <v>4.8229295852280557E-2</v>
      </c>
      <c r="H27">
        <f t="shared" si="4"/>
        <v>1.3183915622940013E-2</v>
      </c>
      <c r="I27">
        <f t="shared" si="5"/>
        <v>0.1127141568981064</v>
      </c>
    </row>
    <row r="28" spans="1:9" x14ac:dyDescent="0.25">
      <c r="A28">
        <v>7.2560000000000002</v>
      </c>
      <c r="B28">
        <v>379.28</v>
      </c>
      <c r="C28">
        <v>0.44330000000000003</v>
      </c>
      <c r="D28">
        <f t="shared" si="0"/>
        <v>7256000</v>
      </c>
      <c r="E28">
        <f t="shared" si="1"/>
        <v>379.28</v>
      </c>
      <c r="F28">
        <f t="shared" si="2"/>
        <v>443.30000000000007</v>
      </c>
      <c r="G28">
        <f t="shared" si="3"/>
        <v>4.823594266813671E-2</v>
      </c>
      <c r="H28">
        <f t="shared" si="4"/>
        <v>1.3182872811643116E-2</v>
      </c>
      <c r="I28">
        <f t="shared" si="5"/>
        <v>0.11279043537108051</v>
      </c>
    </row>
    <row r="29" spans="1:9" x14ac:dyDescent="0.25">
      <c r="A29">
        <v>8.5969999999999995</v>
      </c>
      <c r="B29">
        <v>388.05</v>
      </c>
      <c r="C29">
        <v>0.4153</v>
      </c>
      <c r="D29">
        <f t="shared" si="0"/>
        <v>8597000</v>
      </c>
      <c r="E29">
        <f t="shared" si="1"/>
        <v>388.05</v>
      </c>
      <c r="F29">
        <f t="shared" si="2"/>
        <v>415.3</v>
      </c>
      <c r="G29">
        <f t="shared" si="3"/>
        <v>4.0711876235896241E-2</v>
      </c>
      <c r="H29">
        <f t="shared" si="4"/>
        <v>1.2884937508053087E-2</v>
      </c>
      <c r="I29">
        <f t="shared" si="5"/>
        <v>0.12039489525644113</v>
      </c>
    </row>
    <row r="30" spans="1:9" x14ac:dyDescent="0.25">
      <c r="A30">
        <v>8.532</v>
      </c>
      <c r="B30">
        <v>388.16</v>
      </c>
      <c r="C30">
        <v>0.41349999999999998</v>
      </c>
      <c r="D30">
        <f t="shared" si="0"/>
        <v>8532000</v>
      </c>
      <c r="E30">
        <f t="shared" si="1"/>
        <v>388.16</v>
      </c>
      <c r="F30">
        <f t="shared" si="2"/>
        <v>413.5</v>
      </c>
      <c r="G30">
        <f t="shared" si="3"/>
        <v>4.1022034692920768E-2</v>
      </c>
      <c r="H30">
        <f t="shared" si="4"/>
        <v>1.2881286067600988E-2</v>
      </c>
      <c r="I30">
        <f t="shared" si="5"/>
        <v>0.12091898428053204</v>
      </c>
    </row>
    <row r="31" spans="1:9" x14ac:dyDescent="0.25">
      <c r="A31">
        <v>8.5419999999999998</v>
      </c>
      <c r="B31">
        <v>388.16</v>
      </c>
      <c r="C31">
        <v>0.41370000000000001</v>
      </c>
      <c r="D31">
        <f t="shared" si="0"/>
        <v>8542000</v>
      </c>
      <c r="E31">
        <f t="shared" si="1"/>
        <v>388.16</v>
      </c>
      <c r="F31">
        <f t="shared" si="2"/>
        <v>413.70000000000005</v>
      </c>
      <c r="G31">
        <f t="shared" si="3"/>
        <v>4.0974010770311403E-2</v>
      </c>
      <c r="H31">
        <f t="shared" si="4"/>
        <v>1.2881286067600988E-2</v>
      </c>
      <c r="I31">
        <f t="shared" si="5"/>
        <v>0.1208605269518975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Nunes, Catarina</dc:creator>
  <cp:lastModifiedBy>Duarte Nunes, Catarina</cp:lastModifiedBy>
  <dcterms:created xsi:type="dcterms:W3CDTF">2015-06-05T18:17:20Z</dcterms:created>
  <dcterms:modified xsi:type="dcterms:W3CDTF">2025-10-28T11:21:24Z</dcterms:modified>
</cp:coreProperties>
</file>