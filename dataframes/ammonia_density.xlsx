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cd318_ic_ac_uk/Documents/UNI/PhD/Code/dataframes/"/>
    </mc:Choice>
  </mc:AlternateContent>
  <xr:revisionPtr revIDLastSave="6996" documentId="11_F25DC773A252ABDACC1048DB095B7B685ADE58F5" xr6:coauthVersionLast="47" xr6:coauthVersionMax="47" xr10:uidLastSave="{866569EA-D75A-44BF-B112-8B913D996B86}"/>
  <bookViews>
    <workbookView xWindow="-110" yWindow="-110" windowWidth="19420" windowHeight="12420" xr2:uid="{00000000-000D-0000-FFFF-FFFF00000000}"/>
  </bookViews>
  <sheets>
    <sheet name="Sheet1" sheetId="1" r:id="rId1"/>
    <sheet name="0377 table 1" sheetId="24" r:id="rId2"/>
    <sheet name="0376 page 464" sheetId="23" r:id="rId3"/>
    <sheet name="0374 table 5" sheetId="22" r:id="rId4"/>
    <sheet name="0373 table 4" sheetId="21" r:id="rId5"/>
    <sheet name="0372 table 1" sheetId="19" r:id="rId6"/>
    <sheet name="0371 table 2" sheetId="20" r:id="rId7"/>
    <sheet name="0370 table 2" sheetId="18" r:id="rId8"/>
    <sheet name="0369" sheetId="17" r:id="rId9"/>
    <sheet name="0368 table 1" sheetId="16" r:id="rId10"/>
    <sheet name="0367 table 1" sheetId="15" r:id="rId11"/>
    <sheet name="0365 table 1" sheetId="14" r:id="rId12"/>
    <sheet name="0364 table 1" sheetId="13" r:id="rId13"/>
    <sheet name="0363 table 2" sheetId="12" r:id="rId14"/>
    <sheet name="0363 table1" sheetId="11" r:id="rId15"/>
    <sheet name="0362 table 2" sheetId="10" r:id="rId16"/>
    <sheet name="0361 table 2" sheetId="9" r:id="rId17"/>
    <sheet name="0360 table 4" sheetId="8" r:id="rId18"/>
    <sheet name="0360 table 3" sheetId="7" r:id="rId19"/>
    <sheet name="359 table 1" sheetId="6" r:id="rId20"/>
    <sheet name="0358 table 5" sheetId="25" r:id="rId21"/>
    <sheet name="0358 table 2" sheetId="4" r:id="rId22"/>
    <sheet name="0358 table 1" sheetId="3" r:id="rId23"/>
    <sheet name="0357 table 2" sheetId="2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4" l="1"/>
  <c r="G46" i="4"/>
  <c r="F3" i="7"/>
  <c r="F4" i="7"/>
  <c r="F5" i="7"/>
  <c r="F6" i="7"/>
  <c r="F7" i="7"/>
  <c r="F8" i="7"/>
  <c r="F9" i="7"/>
  <c r="F2" i="7"/>
  <c r="F3" i="8"/>
  <c r="F4" i="8"/>
  <c r="F5" i="8"/>
  <c r="F6" i="8"/>
  <c r="F7" i="8"/>
  <c r="F8" i="8"/>
  <c r="F9" i="8"/>
  <c r="F10" i="8"/>
  <c r="D458" i="1" s="1"/>
  <c r="F11" i="8"/>
  <c r="F12" i="8"/>
  <c r="F13" i="8"/>
  <c r="F14" i="8"/>
  <c r="F15" i="8"/>
  <c r="F16" i="8"/>
  <c r="F17" i="8"/>
  <c r="F18" i="8"/>
  <c r="D466" i="1" s="1"/>
  <c r="F19" i="8"/>
  <c r="F20" i="8"/>
  <c r="F21" i="8"/>
  <c r="F22" i="8"/>
  <c r="F23" i="8"/>
  <c r="F24" i="8"/>
  <c r="F25" i="8"/>
  <c r="F26" i="8"/>
  <c r="D474" i="1" s="1"/>
  <c r="F27" i="8"/>
  <c r="F28" i="8"/>
  <c r="F29" i="8"/>
  <c r="F2" i="8"/>
  <c r="G2" i="12"/>
  <c r="E3" i="11"/>
  <c r="E4" i="11"/>
  <c r="E5" i="11"/>
  <c r="E6" i="11"/>
  <c r="E7" i="11"/>
  <c r="E8" i="11"/>
  <c r="E9" i="11"/>
  <c r="C849" i="1" s="1"/>
  <c r="E10" i="11"/>
  <c r="C850" i="1" s="1"/>
  <c r="E11" i="11"/>
  <c r="E12" i="11"/>
  <c r="E13" i="11"/>
  <c r="E14" i="11"/>
  <c r="E15" i="11"/>
  <c r="E16" i="11"/>
  <c r="E17" i="11"/>
  <c r="C857" i="1" s="1"/>
  <c r="E18" i="11"/>
  <c r="C858" i="1" s="1"/>
  <c r="E19" i="11"/>
  <c r="E20" i="11"/>
  <c r="E21" i="11"/>
  <c r="E22" i="11"/>
  <c r="E23" i="11"/>
  <c r="E24" i="11"/>
  <c r="E25" i="11"/>
  <c r="C865" i="1" s="1"/>
  <c r="E26" i="11"/>
  <c r="C866" i="1" s="1"/>
  <c r="E27" i="11"/>
  <c r="E28" i="11"/>
  <c r="E29" i="11"/>
  <c r="E30" i="11"/>
  <c r="E31" i="11"/>
  <c r="E32" i="11"/>
  <c r="E33" i="11"/>
  <c r="C873" i="1" s="1"/>
  <c r="E34" i="11"/>
  <c r="C874" i="1" s="1"/>
  <c r="E35" i="11"/>
  <c r="E36" i="11"/>
  <c r="E37" i="11"/>
  <c r="E38" i="11"/>
  <c r="E39" i="11"/>
  <c r="E40" i="11"/>
  <c r="E41" i="11"/>
  <c r="C881" i="1" s="1"/>
  <c r="E42" i="11"/>
  <c r="C882" i="1" s="1"/>
  <c r="E43" i="11"/>
  <c r="E44" i="11"/>
  <c r="E45" i="11"/>
  <c r="E46" i="11"/>
  <c r="E47" i="11"/>
  <c r="E48" i="11"/>
  <c r="E49" i="11"/>
  <c r="C889" i="1" s="1"/>
  <c r="E50" i="11"/>
  <c r="C890" i="1" s="1"/>
  <c r="E51" i="11"/>
  <c r="E52" i="11"/>
  <c r="E53" i="11"/>
  <c r="E54" i="11"/>
  <c r="E55" i="11"/>
  <c r="E56" i="11"/>
  <c r="E57" i="11"/>
  <c r="C897" i="1" s="1"/>
  <c r="E58" i="11"/>
  <c r="C898" i="1" s="1"/>
  <c r="E59" i="11"/>
  <c r="E60" i="11"/>
  <c r="E61" i="11"/>
  <c r="E62" i="11"/>
  <c r="E63" i="11"/>
  <c r="E64" i="11"/>
  <c r="E65" i="11"/>
  <c r="C905" i="1" s="1"/>
  <c r="E66" i="11"/>
  <c r="C906" i="1" s="1"/>
  <c r="E67" i="11"/>
  <c r="E68" i="11"/>
  <c r="E69" i="11"/>
  <c r="E70" i="11"/>
  <c r="E71" i="11"/>
  <c r="E72" i="11"/>
  <c r="E73" i="11"/>
  <c r="C913" i="1" s="1"/>
  <c r="E74" i="11"/>
  <c r="C914" i="1" s="1"/>
  <c r="E75" i="11"/>
  <c r="E76" i="11"/>
  <c r="E77" i="11"/>
  <c r="E78" i="11"/>
  <c r="E79" i="11"/>
  <c r="E80" i="11"/>
  <c r="E81" i="11"/>
  <c r="C921" i="1" s="1"/>
  <c r="E82" i="11"/>
  <c r="C922" i="1" s="1"/>
  <c r="E83" i="11"/>
  <c r="E84" i="11"/>
  <c r="E85" i="11"/>
  <c r="E86" i="11"/>
  <c r="E87" i="11"/>
  <c r="E88" i="11"/>
  <c r="E89" i="11"/>
  <c r="C929" i="1" s="1"/>
  <c r="E90" i="11"/>
  <c r="C930" i="1" s="1"/>
  <c r="E91" i="11"/>
  <c r="E92" i="11"/>
  <c r="E93" i="11"/>
  <c r="E94" i="11"/>
  <c r="E95" i="11"/>
  <c r="E96" i="11"/>
  <c r="E97" i="11"/>
  <c r="C937" i="1" s="1"/>
  <c r="E98" i="11"/>
  <c r="C938" i="1" s="1"/>
  <c r="E99" i="11"/>
  <c r="E100" i="11"/>
  <c r="E101" i="11"/>
  <c r="E102" i="11"/>
  <c r="E103" i="11"/>
  <c r="E104" i="11"/>
  <c r="E105" i="11"/>
  <c r="C945" i="1" s="1"/>
  <c r="E106" i="11"/>
  <c r="C946" i="1" s="1"/>
  <c r="E107" i="11"/>
  <c r="E108" i="11"/>
  <c r="E109" i="11"/>
  <c r="E110" i="11"/>
  <c r="E111" i="11"/>
  <c r="E112" i="11"/>
  <c r="E113" i="11"/>
  <c r="C953" i="1" s="1"/>
  <c r="E114" i="11"/>
  <c r="C954" i="1" s="1"/>
  <c r="E115" i="11"/>
  <c r="E116" i="11"/>
  <c r="E117" i="11"/>
  <c r="E118" i="11"/>
  <c r="E119" i="11"/>
  <c r="E120" i="11"/>
  <c r="E121" i="11"/>
  <c r="C961" i="1" s="1"/>
  <c r="E122" i="11"/>
  <c r="C962" i="1" s="1"/>
  <c r="E123" i="11"/>
  <c r="E124" i="11"/>
  <c r="E125" i="11"/>
  <c r="E126" i="11"/>
  <c r="E127" i="11"/>
  <c r="E128" i="11"/>
  <c r="E129" i="11"/>
  <c r="C969" i="1" s="1"/>
  <c r="E130" i="11"/>
  <c r="C970" i="1" s="1"/>
  <c r="E131" i="11"/>
  <c r="E132" i="11"/>
  <c r="E133" i="11"/>
  <c r="E134" i="11"/>
  <c r="E135" i="11"/>
  <c r="E136" i="11"/>
  <c r="E137" i="11"/>
  <c r="C977" i="1" s="1"/>
  <c r="E138" i="11"/>
  <c r="C978" i="1" s="1"/>
  <c r="E139" i="11"/>
  <c r="E140" i="11"/>
  <c r="E141" i="11"/>
  <c r="E142" i="11"/>
  <c r="E143" i="11"/>
  <c r="E144" i="11"/>
  <c r="E145" i="11"/>
  <c r="C985" i="1" s="1"/>
  <c r="E146" i="11"/>
  <c r="C986" i="1" s="1"/>
  <c r="E147" i="11"/>
  <c r="E148" i="11"/>
  <c r="E2" i="11"/>
  <c r="E39" i="4"/>
  <c r="G39" i="4"/>
  <c r="C300" i="1"/>
  <c r="D300" i="1"/>
  <c r="E300" i="1"/>
  <c r="C301" i="1"/>
  <c r="D301" i="1"/>
  <c r="E301" i="1"/>
  <c r="C302" i="1"/>
  <c r="D302" i="1"/>
  <c r="E302" i="1"/>
  <c r="C303" i="1"/>
  <c r="D303" i="1"/>
  <c r="E303" i="1"/>
  <c r="C304" i="1"/>
  <c r="D304" i="1"/>
  <c r="E304" i="1"/>
  <c r="C305" i="1"/>
  <c r="D305" i="1"/>
  <c r="E305" i="1"/>
  <c r="C306" i="1"/>
  <c r="D306" i="1"/>
  <c r="E306" i="1"/>
  <c r="C307" i="1"/>
  <c r="D307" i="1"/>
  <c r="E307" i="1"/>
  <c r="C308" i="1"/>
  <c r="D308" i="1"/>
  <c r="E308" i="1"/>
  <c r="C309" i="1"/>
  <c r="D309" i="1"/>
  <c r="E309" i="1"/>
  <c r="C310" i="1"/>
  <c r="D310" i="1"/>
  <c r="E310" i="1"/>
  <c r="C311" i="1"/>
  <c r="D311" i="1"/>
  <c r="E311" i="1"/>
  <c r="C312" i="1"/>
  <c r="D312" i="1"/>
  <c r="E312" i="1"/>
  <c r="C313" i="1"/>
  <c r="D313" i="1"/>
  <c r="E313" i="1"/>
  <c r="C314" i="1"/>
  <c r="D314" i="1"/>
  <c r="E314" i="1"/>
  <c r="C315" i="1"/>
  <c r="D315" i="1"/>
  <c r="E315" i="1"/>
  <c r="C316" i="1"/>
  <c r="D316" i="1"/>
  <c r="E316" i="1"/>
  <c r="C317" i="1"/>
  <c r="D317" i="1"/>
  <c r="E317" i="1"/>
  <c r="C318" i="1"/>
  <c r="D318" i="1"/>
  <c r="E318" i="1"/>
  <c r="C319" i="1"/>
  <c r="D319" i="1"/>
  <c r="E319" i="1"/>
  <c r="C320" i="1"/>
  <c r="D320" i="1"/>
  <c r="E320" i="1"/>
  <c r="C321" i="1"/>
  <c r="D321" i="1"/>
  <c r="E321" i="1"/>
  <c r="C322" i="1"/>
  <c r="D322" i="1"/>
  <c r="E322" i="1"/>
  <c r="C323" i="1"/>
  <c r="D323" i="1"/>
  <c r="E323" i="1"/>
  <c r="C324" i="1"/>
  <c r="D324" i="1"/>
  <c r="E324" i="1"/>
  <c r="C325" i="1"/>
  <c r="D325" i="1"/>
  <c r="E325" i="1"/>
  <c r="C326" i="1"/>
  <c r="D326" i="1"/>
  <c r="E326" i="1"/>
  <c r="C327" i="1"/>
  <c r="D327" i="1"/>
  <c r="E327" i="1"/>
  <c r="C328" i="1"/>
  <c r="D328" i="1"/>
  <c r="E328" i="1"/>
  <c r="C329" i="1"/>
  <c r="D329" i="1"/>
  <c r="E329" i="1"/>
  <c r="C330" i="1"/>
  <c r="D330" i="1"/>
  <c r="E330" i="1"/>
  <c r="C331" i="1"/>
  <c r="D331" i="1"/>
  <c r="E331" i="1"/>
  <c r="C332" i="1"/>
  <c r="D332" i="1"/>
  <c r="E332" i="1"/>
  <c r="C333" i="1"/>
  <c r="D333" i="1"/>
  <c r="E333" i="1"/>
  <c r="C334" i="1"/>
  <c r="D334" i="1"/>
  <c r="E334" i="1"/>
  <c r="C335" i="1"/>
  <c r="D335" i="1"/>
  <c r="C336" i="1"/>
  <c r="D336" i="1"/>
  <c r="C337" i="1"/>
  <c r="D337" i="1"/>
  <c r="C338" i="1"/>
  <c r="D338" i="1"/>
  <c r="C339" i="1"/>
  <c r="D339" i="1"/>
  <c r="E339" i="1"/>
  <c r="C340" i="1"/>
  <c r="D340" i="1"/>
  <c r="E340" i="1"/>
  <c r="C341" i="1"/>
  <c r="D341" i="1"/>
  <c r="E341" i="1"/>
  <c r="G3" i="25"/>
  <c r="G4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E335" i="1" s="1"/>
  <c r="G38" i="25"/>
  <c r="E336" i="1" s="1"/>
  <c r="G39" i="25"/>
  <c r="E337" i="1" s="1"/>
  <c r="G40" i="25"/>
  <c r="E338" i="1" s="1"/>
  <c r="G41" i="25"/>
  <c r="G42" i="25"/>
  <c r="G43" i="25"/>
  <c r="F3" i="25"/>
  <c r="F4" i="25"/>
  <c r="F5" i="25"/>
  <c r="F6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27" i="25"/>
  <c r="F28" i="25"/>
  <c r="F29" i="25"/>
  <c r="F30" i="25"/>
  <c r="F31" i="25"/>
  <c r="F32" i="25"/>
  <c r="F33" i="25"/>
  <c r="F34" i="25"/>
  <c r="F35" i="25"/>
  <c r="F36" i="25"/>
  <c r="F37" i="25"/>
  <c r="F38" i="25"/>
  <c r="F39" i="25"/>
  <c r="F40" i="25"/>
  <c r="F41" i="25"/>
  <c r="F42" i="25"/>
  <c r="F43" i="25"/>
  <c r="E43" i="25"/>
  <c r="E3" i="25"/>
  <c r="E4" i="25"/>
  <c r="E5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39" i="25"/>
  <c r="E40" i="25"/>
  <c r="E41" i="25"/>
  <c r="E42" i="25"/>
  <c r="F2" i="25"/>
  <c r="E2" i="25"/>
  <c r="G2" i="25" s="1"/>
  <c r="E3" i="4"/>
  <c r="E4" i="4"/>
  <c r="E5" i="4"/>
  <c r="E6" i="4"/>
  <c r="E7" i="4"/>
  <c r="E8" i="4"/>
  <c r="C255" i="1" s="1"/>
  <c r="E9" i="4"/>
  <c r="E10" i="4"/>
  <c r="E11" i="4"/>
  <c r="E12" i="4"/>
  <c r="E13" i="4"/>
  <c r="E14" i="4"/>
  <c r="E15" i="4"/>
  <c r="E16" i="4"/>
  <c r="C263" i="1" s="1"/>
  <c r="E17" i="4"/>
  <c r="E18" i="4"/>
  <c r="E19" i="4"/>
  <c r="E20" i="4"/>
  <c r="E21" i="4"/>
  <c r="E22" i="4"/>
  <c r="E23" i="4"/>
  <c r="E24" i="4"/>
  <c r="C271" i="1" s="1"/>
  <c r="E25" i="4"/>
  <c r="E26" i="4"/>
  <c r="E27" i="4"/>
  <c r="E28" i="4"/>
  <c r="E29" i="4"/>
  <c r="E30" i="4"/>
  <c r="E31" i="4"/>
  <c r="E32" i="4"/>
  <c r="C279" i="1" s="1"/>
  <c r="E33" i="4"/>
  <c r="E34" i="4"/>
  <c r="E35" i="4"/>
  <c r="E36" i="4"/>
  <c r="E37" i="4"/>
  <c r="E38" i="4"/>
  <c r="E40" i="4"/>
  <c r="C287" i="1" s="1"/>
  <c r="E41" i="4"/>
  <c r="E42" i="4"/>
  <c r="E46" i="4"/>
  <c r="E47" i="4"/>
  <c r="E48" i="4"/>
  <c r="C295" i="1" s="1"/>
  <c r="E49" i="4"/>
  <c r="E50" i="4"/>
  <c r="E51" i="4"/>
  <c r="E52" i="4"/>
  <c r="E2" i="4"/>
  <c r="G3" i="4"/>
  <c r="G10" i="4"/>
  <c r="E257" i="1" s="1"/>
  <c r="G18" i="4"/>
  <c r="E265" i="1" s="1"/>
  <c r="G23" i="4"/>
  <c r="G25" i="4"/>
  <c r="G26" i="4"/>
  <c r="G27" i="4"/>
  <c r="G28" i="4"/>
  <c r="G31" i="4"/>
  <c r="G33" i="4"/>
  <c r="G34" i="4"/>
  <c r="G35" i="4"/>
  <c r="G36" i="4"/>
  <c r="E283" i="1" s="1"/>
  <c r="E286" i="1"/>
  <c r="G41" i="4"/>
  <c r="G42" i="4"/>
  <c r="E289" i="1" s="1"/>
  <c r="G43" i="4"/>
  <c r="E43" i="4" s="1"/>
  <c r="C290" i="1" s="1"/>
  <c r="G44" i="4"/>
  <c r="E44" i="4" s="1"/>
  <c r="C291" i="1" s="1"/>
  <c r="G49" i="4"/>
  <c r="E296" i="1" s="1"/>
  <c r="G50" i="4"/>
  <c r="E297" i="1" s="1"/>
  <c r="G51" i="4"/>
  <c r="E298" i="1" s="1"/>
  <c r="G52" i="4"/>
  <c r="E3" i="3"/>
  <c r="E4" i="3"/>
  <c r="E5" i="3"/>
  <c r="E6" i="3"/>
  <c r="G6" i="3" s="1"/>
  <c r="E194" i="1" s="1"/>
  <c r="E7" i="3"/>
  <c r="E8" i="3"/>
  <c r="C196" i="1" s="1"/>
  <c r="E9" i="3"/>
  <c r="E10" i="3"/>
  <c r="G10" i="3" s="1"/>
  <c r="E198" i="1" s="1"/>
  <c r="E11" i="3"/>
  <c r="E12" i="3"/>
  <c r="E13" i="3"/>
  <c r="E14" i="3"/>
  <c r="C202" i="1" s="1"/>
  <c r="E15" i="3"/>
  <c r="C203" i="1" s="1"/>
  <c r="E16" i="3"/>
  <c r="E17" i="3"/>
  <c r="G17" i="3" s="1"/>
  <c r="E205" i="1" s="1"/>
  <c r="E18" i="3"/>
  <c r="C206" i="1" s="1"/>
  <c r="E19" i="3"/>
  <c r="E20" i="3"/>
  <c r="E21" i="3"/>
  <c r="E22" i="3"/>
  <c r="C210" i="1" s="1"/>
  <c r="E23" i="3"/>
  <c r="E24" i="3"/>
  <c r="C212" i="1" s="1"/>
  <c r="E25" i="3"/>
  <c r="E26" i="3"/>
  <c r="E27" i="3"/>
  <c r="E28" i="3"/>
  <c r="E29" i="3"/>
  <c r="C217" i="1" s="1"/>
  <c r="E30" i="3"/>
  <c r="E31" i="3"/>
  <c r="E32" i="3"/>
  <c r="G32" i="3" s="1"/>
  <c r="E220" i="1" s="1"/>
  <c r="E33" i="3"/>
  <c r="E34" i="3"/>
  <c r="E35" i="3"/>
  <c r="E36" i="3"/>
  <c r="E37" i="3"/>
  <c r="C225" i="1" s="1"/>
  <c r="E38" i="3"/>
  <c r="E39" i="3"/>
  <c r="C227" i="1" s="1"/>
  <c r="E40" i="3"/>
  <c r="C228" i="1" s="1"/>
  <c r="E41" i="3"/>
  <c r="E42" i="3"/>
  <c r="E43" i="3"/>
  <c r="E44" i="3"/>
  <c r="C232" i="1" s="1"/>
  <c r="E45" i="3"/>
  <c r="E46" i="3"/>
  <c r="E47" i="3"/>
  <c r="E48" i="3"/>
  <c r="E49" i="3"/>
  <c r="E50" i="3"/>
  <c r="E51" i="3"/>
  <c r="E52" i="3"/>
  <c r="C240" i="1" s="1"/>
  <c r="E53" i="3"/>
  <c r="E54" i="3"/>
  <c r="E55" i="3"/>
  <c r="E56" i="3"/>
  <c r="G56" i="3" s="1"/>
  <c r="E244" i="1" s="1"/>
  <c r="E57" i="3"/>
  <c r="E58" i="3"/>
  <c r="E59" i="3"/>
  <c r="E60" i="3"/>
  <c r="G60" i="3" s="1"/>
  <c r="E248" i="1" s="1"/>
  <c r="E2" i="3"/>
  <c r="C4226" i="1"/>
  <c r="D4226" i="1"/>
  <c r="E4226" i="1"/>
  <c r="C4227" i="1"/>
  <c r="D4227" i="1"/>
  <c r="E4227" i="1"/>
  <c r="C4228" i="1"/>
  <c r="D4228" i="1"/>
  <c r="E4228" i="1"/>
  <c r="C4229" i="1"/>
  <c r="D4229" i="1"/>
  <c r="E4229" i="1"/>
  <c r="C4230" i="1"/>
  <c r="D4230" i="1"/>
  <c r="E4230" i="1"/>
  <c r="C4231" i="1"/>
  <c r="D4231" i="1"/>
  <c r="E4231" i="1"/>
  <c r="C4232" i="1"/>
  <c r="D4232" i="1"/>
  <c r="E4232" i="1"/>
  <c r="C4233" i="1"/>
  <c r="D4233" i="1"/>
  <c r="E4233" i="1"/>
  <c r="C4234" i="1"/>
  <c r="D4234" i="1"/>
  <c r="E4234" i="1"/>
  <c r="C4235" i="1"/>
  <c r="D4235" i="1"/>
  <c r="E4235" i="1"/>
  <c r="C4236" i="1"/>
  <c r="D4236" i="1"/>
  <c r="E4236" i="1"/>
  <c r="C4237" i="1"/>
  <c r="D4237" i="1"/>
  <c r="E4237" i="1"/>
  <c r="C4238" i="1"/>
  <c r="D4238" i="1"/>
  <c r="E4238" i="1"/>
  <c r="C4239" i="1"/>
  <c r="D4239" i="1"/>
  <c r="E4239" i="1"/>
  <c r="C4240" i="1"/>
  <c r="D4240" i="1"/>
  <c r="E4240" i="1"/>
  <c r="C4241" i="1"/>
  <c r="D4241" i="1"/>
  <c r="E4241" i="1"/>
  <c r="C4242" i="1"/>
  <c r="D4242" i="1"/>
  <c r="E4242" i="1"/>
  <c r="C4243" i="1"/>
  <c r="D4243" i="1"/>
  <c r="E4243" i="1"/>
  <c r="C4244" i="1"/>
  <c r="D4244" i="1"/>
  <c r="E4244" i="1"/>
  <c r="C4245" i="1"/>
  <c r="D4245" i="1"/>
  <c r="E4245" i="1"/>
  <c r="C4246" i="1"/>
  <c r="D4246" i="1"/>
  <c r="E4246" i="1"/>
  <c r="C4247" i="1"/>
  <c r="D4247" i="1"/>
  <c r="E4247" i="1"/>
  <c r="C4248" i="1"/>
  <c r="D4248" i="1"/>
  <c r="E4248" i="1"/>
  <c r="C4249" i="1"/>
  <c r="D4249" i="1"/>
  <c r="E4249" i="1"/>
  <c r="C4250" i="1"/>
  <c r="D4250" i="1"/>
  <c r="E4250" i="1"/>
  <c r="C4251" i="1"/>
  <c r="D4251" i="1"/>
  <c r="E4251" i="1"/>
  <c r="C4252" i="1"/>
  <c r="D4252" i="1"/>
  <c r="E4252" i="1"/>
  <c r="C4253" i="1"/>
  <c r="D4253" i="1"/>
  <c r="E4253" i="1"/>
  <c r="C4254" i="1"/>
  <c r="D4254" i="1"/>
  <c r="E4254" i="1"/>
  <c r="C4255" i="1"/>
  <c r="D4255" i="1"/>
  <c r="E4255" i="1"/>
  <c r="C4256" i="1"/>
  <c r="D4256" i="1"/>
  <c r="E4256" i="1"/>
  <c r="C4257" i="1"/>
  <c r="D4257" i="1"/>
  <c r="E4257" i="1"/>
  <c r="C4258" i="1"/>
  <c r="D4258" i="1"/>
  <c r="E4258" i="1"/>
  <c r="C4259" i="1"/>
  <c r="D4259" i="1"/>
  <c r="E4259" i="1"/>
  <c r="C4260" i="1"/>
  <c r="D4260" i="1"/>
  <c r="E4260" i="1"/>
  <c r="C4261" i="1"/>
  <c r="D4261" i="1"/>
  <c r="E4261" i="1"/>
  <c r="C4262" i="1"/>
  <c r="D4262" i="1"/>
  <c r="E4262" i="1"/>
  <c r="C4263" i="1"/>
  <c r="D4263" i="1"/>
  <c r="E4263" i="1"/>
  <c r="C4264" i="1"/>
  <c r="D4264" i="1"/>
  <c r="E4264" i="1"/>
  <c r="C4265" i="1"/>
  <c r="D4265" i="1"/>
  <c r="E4265" i="1"/>
  <c r="C4266" i="1"/>
  <c r="D4266" i="1"/>
  <c r="E4266" i="1"/>
  <c r="C4267" i="1"/>
  <c r="D4267" i="1"/>
  <c r="E4267" i="1"/>
  <c r="C4268" i="1"/>
  <c r="D4268" i="1"/>
  <c r="E4268" i="1"/>
  <c r="C4269" i="1"/>
  <c r="D4269" i="1"/>
  <c r="E4269" i="1"/>
  <c r="C4270" i="1"/>
  <c r="D4270" i="1"/>
  <c r="E4270" i="1"/>
  <c r="C4271" i="1"/>
  <c r="D4271" i="1"/>
  <c r="E4271" i="1"/>
  <c r="C4272" i="1"/>
  <c r="D4272" i="1"/>
  <c r="E4272" i="1"/>
  <c r="C4273" i="1"/>
  <c r="D4273" i="1"/>
  <c r="E4273" i="1"/>
  <c r="C4274" i="1"/>
  <c r="D4274" i="1"/>
  <c r="E4274" i="1"/>
  <c r="C4275" i="1"/>
  <c r="D4275" i="1"/>
  <c r="E4275" i="1"/>
  <c r="C4276" i="1"/>
  <c r="D4276" i="1"/>
  <c r="E4276" i="1"/>
  <c r="C4277" i="1"/>
  <c r="D4277" i="1"/>
  <c r="E4277" i="1"/>
  <c r="C4278" i="1"/>
  <c r="D4278" i="1"/>
  <c r="E4278" i="1"/>
  <c r="C4279" i="1"/>
  <c r="D4279" i="1"/>
  <c r="E4279" i="1"/>
  <c r="C4280" i="1"/>
  <c r="D4280" i="1"/>
  <c r="E4280" i="1"/>
  <c r="E3" i="24"/>
  <c r="F3" i="24"/>
  <c r="G3" i="24"/>
  <c r="E4" i="24"/>
  <c r="F4" i="24"/>
  <c r="G4" i="24"/>
  <c r="E5" i="24"/>
  <c r="F5" i="24"/>
  <c r="G5" i="24"/>
  <c r="E6" i="24"/>
  <c r="F6" i="24"/>
  <c r="G6" i="24"/>
  <c r="E7" i="24"/>
  <c r="F7" i="24"/>
  <c r="G7" i="24"/>
  <c r="E8" i="24"/>
  <c r="F8" i="24"/>
  <c r="G8" i="24"/>
  <c r="E9" i="24"/>
  <c r="F9" i="24"/>
  <c r="G9" i="24"/>
  <c r="E10" i="24"/>
  <c r="F10" i="24"/>
  <c r="G10" i="24"/>
  <c r="E11" i="24"/>
  <c r="F11" i="24"/>
  <c r="G11" i="24"/>
  <c r="E12" i="24"/>
  <c r="F12" i="24"/>
  <c r="G12" i="24"/>
  <c r="E13" i="24"/>
  <c r="F13" i="24"/>
  <c r="G13" i="24"/>
  <c r="E14" i="24"/>
  <c r="F14" i="24"/>
  <c r="G14" i="24"/>
  <c r="E15" i="24"/>
  <c r="F15" i="24"/>
  <c r="G15" i="24"/>
  <c r="E16" i="24"/>
  <c r="F16" i="24"/>
  <c r="G16" i="24"/>
  <c r="E17" i="24"/>
  <c r="F17" i="24"/>
  <c r="G17" i="24"/>
  <c r="E18" i="24"/>
  <c r="F18" i="24"/>
  <c r="G18" i="24"/>
  <c r="E19" i="24"/>
  <c r="F19" i="24"/>
  <c r="G19" i="24"/>
  <c r="E20" i="24"/>
  <c r="F20" i="24"/>
  <c r="G20" i="24"/>
  <c r="E21" i="24"/>
  <c r="F21" i="24"/>
  <c r="G21" i="24"/>
  <c r="E22" i="24"/>
  <c r="F22" i="24"/>
  <c r="G22" i="24"/>
  <c r="E23" i="24"/>
  <c r="F23" i="24"/>
  <c r="G23" i="24"/>
  <c r="E24" i="24"/>
  <c r="F24" i="24"/>
  <c r="G24" i="24"/>
  <c r="E25" i="24"/>
  <c r="F25" i="24"/>
  <c r="G25" i="24"/>
  <c r="E26" i="24"/>
  <c r="F26" i="24"/>
  <c r="G26" i="24"/>
  <c r="E27" i="24"/>
  <c r="F27" i="24"/>
  <c r="G27" i="24"/>
  <c r="E28" i="24"/>
  <c r="F28" i="24"/>
  <c r="G28" i="24"/>
  <c r="E29" i="24"/>
  <c r="F29" i="24"/>
  <c r="G29" i="24"/>
  <c r="E30" i="24"/>
  <c r="F30" i="24"/>
  <c r="G30" i="24"/>
  <c r="E31" i="24"/>
  <c r="F31" i="24"/>
  <c r="G31" i="24"/>
  <c r="E32" i="24"/>
  <c r="F32" i="24"/>
  <c r="G32" i="24"/>
  <c r="E33" i="24"/>
  <c r="F33" i="24"/>
  <c r="G33" i="24"/>
  <c r="E34" i="24"/>
  <c r="F34" i="24"/>
  <c r="G34" i="24"/>
  <c r="E35" i="24"/>
  <c r="F35" i="24"/>
  <c r="G35" i="24"/>
  <c r="E36" i="24"/>
  <c r="F36" i="24"/>
  <c r="G36" i="24"/>
  <c r="E37" i="24"/>
  <c r="F37" i="24"/>
  <c r="G37" i="24"/>
  <c r="E38" i="24"/>
  <c r="F38" i="24"/>
  <c r="G38" i="24"/>
  <c r="E39" i="24"/>
  <c r="F39" i="24"/>
  <c r="G39" i="24"/>
  <c r="E40" i="24"/>
  <c r="F40" i="24"/>
  <c r="G40" i="24"/>
  <c r="E41" i="24"/>
  <c r="F41" i="24"/>
  <c r="G41" i="24"/>
  <c r="E42" i="24"/>
  <c r="F42" i="24"/>
  <c r="G42" i="24"/>
  <c r="E43" i="24"/>
  <c r="F43" i="24"/>
  <c r="G43" i="24"/>
  <c r="E44" i="24"/>
  <c r="F44" i="24"/>
  <c r="G44" i="24"/>
  <c r="E45" i="24"/>
  <c r="F45" i="24"/>
  <c r="G45" i="24"/>
  <c r="E46" i="24"/>
  <c r="F46" i="24"/>
  <c r="G46" i="24"/>
  <c r="E47" i="24"/>
  <c r="F47" i="24"/>
  <c r="G47" i="24"/>
  <c r="E48" i="24"/>
  <c r="F48" i="24"/>
  <c r="G48" i="24"/>
  <c r="E49" i="24"/>
  <c r="F49" i="24"/>
  <c r="G49" i="24"/>
  <c r="E50" i="24"/>
  <c r="F50" i="24"/>
  <c r="G50" i="24"/>
  <c r="E51" i="24"/>
  <c r="F51" i="24"/>
  <c r="G51" i="24"/>
  <c r="E52" i="24"/>
  <c r="F52" i="24"/>
  <c r="G52" i="24"/>
  <c r="E53" i="24"/>
  <c r="F53" i="24"/>
  <c r="G53" i="24"/>
  <c r="E54" i="24"/>
  <c r="F54" i="24"/>
  <c r="G54" i="24"/>
  <c r="E55" i="24"/>
  <c r="F55" i="24"/>
  <c r="G55" i="24"/>
  <c r="E56" i="24"/>
  <c r="F56" i="24"/>
  <c r="G56" i="24"/>
  <c r="G2" i="24"/>
  <c r="F2" i="24"/>
  <c r="E2" i="24"/>
  <c r="C3565" i="1"/>
  <c r="D3565" i="1"/>
  <c r="E3565" i="1"/>
  <c r="C3566" i="1"/>
  <c r="D3566" i="1"/>
  <c r="E3566" i="1"/>
  <c r="C3567" i="1"/>
  <c r="D3567" i="1"/>
  <c r="E3567" i="1"/>
  <c r="C3568" i="1"/>
  <c r="D3568" i="1"/>
  <c r="E3568" i="1"/>
  <c r="C3569" i="1"/>
  <c r="D3569" i="1"/>
  <c r="E3569" i="1"/>
  <c r="C3570" i="1"/>
  <c r="D3570" i="1"/>
  <c r="E3570" i="1"/>
  <c r="C3571" i="1"/>
  <c r="D3571" i="1"/>
  <c r="E3571" i="1"/>
  <c r="C3572" i="1"/>
  <c r="D3572" i="1"/>
  <c r="E3572" i="1"/>
  <c r="C3573" i="1"/>
  <c r="D3573" i="1"/>
  <c r="E3573" i="1"/>
  <c r="C3574" i="1"/>
  <c r="D3574" i="1"/>
  <c r="E3574" i="1"/>
  <c r="C3575" i="1"/>
  <c r="D3575" i="1"/>
  <c r="E3575" i="1"/>
  <c r="C3576" i="1"/>
  <c r="D3576" i="1"/>
  <c r="E3576" i="1"/>
  <c r="C3577" i="1"/>
  <c r="D3577" i="1"/>
  <c r="E3577" i="1"/>
  <c r="C3578" i="1"/>
  <c r="D3578" i="1"/>
  <c r="E3578" i="1"/>
  <c r="C3579" i="1"/>
  <c r="D3579" i="1"/>
  <c r="E3579" i="1"/>
  <c r="C3580" i="1"/>
  <c r="D3580" i="1"/>
  <c r="E3580" i="1"/>
  <c r="C3581" i="1"/>
  <c r="D3581" i="1"/>
  <c r="E3581" i="1"/>
  <c r="C3582" i="1"/>
  <c r="D3582" i="1"/>
  <c r="E3582" i="1"/>
  <c r="C3583" i="1"/>
  <c r="D3583" i="1"/>
  <c r="E3583" i="1"/>
  <c r="C3584" i="1"/>
  <c r="D3584" i="1"/>
  <c r="E3584" i="1"/>
  <c r="C3585" i="1"/>
  <c r="D3585" i="1"/>
  <c r="E3585" i="1"/>
  <c r="C3586" i="1"/>
  <c r="D3586" i="1"/>
  <c r="E3586" i="1"/>
  <c r="C3587" i="1"/>
  <c r="D3587" i="1"/>
  <c r="E3587" i="1"/>
  <c r="C3588" i="1"/>
  <c r="D3588" i="1"/>
  <c r="E3588" i="1"/>
  <c r="C3589" i="1"/>
  <c r="D3589" i="1"/>
  <c r="E3589" i="1"/>
  <c r="C3590" i="1"/>
  <c r="D3590" i="1"/>
  <c r="E3590" i="1"/>
  <c r="C3591" i="1"/>
  <c r="D3591" i="1"/>
  <c r="E3591" i="1"/>
  <c r="C3592" i="1"/>
  <c r="D3592" i="1"/>
  <c r="E3592" i="1"/>
  <c r="C3593" i="1"/>
  <c r="D3593" i="1"/>
  <c r="E3593" i="1"/>
  <c r="C3594" i="1"/>
  <c r="D3594" i="1"/>
  <c r="E3594" i="1"/>
  <c r="C3595" i="1"/>
  <c r="D3595" i="1"/>
  <c r="E3595" i="1"/>
  <c r="C3596" i="1"/>
  <c r="D3596" i="1"/>
  <c r="E3596" i="1"/>
  <c r="C3597" i="1"/>
  <c r="D3597" i="1"/>
  <c r="E3597" i="1"/>
  <c r="C3598" i="1"/>
  <c r="D3598" i="1"/>
  <c r="E3598" i="1"/>
  <c r="C3599" i="1"/>
  <c r="D3599" i="1"/>
  <c r="E3599" i="1"/>
  <c r="C3600" i="1"/>
  <c r="D3600" i="1"/>
  <c r="E3600" i="1"/>
  <c r="C3601" i="1"/>
  <c r="D3601" i="1"/>
  <c r="E3601" i="1"/>
  <c r="C3602" i="1"/>
  <c r="D3602" i="1"/>
  <c r="E3602" i="1"/>
  <c r="C3603" i="1"/>
  <c r="D3603" i="1"/>
  <c r="E3603" i="1"/>
  <c r="C3604" i="1"/>
  <c r="D3604" i="1"/>
  <c r="E3604" i="1"/>
  <c r="C3605" i="1"/>
  <c r="D3605" i="1"/>
  <c r="E3605" i="1"/>
  <c r="C3606" i="1"/>
  <c r="D3606" i="1"/>
  <c r="E3606" i="1"/>
  <c r="C3607" i="1"/>
  <c r="D3607" i="1"/>
  <c r="E3607" i="1"/>
  <c r="C3608" i="1"/>
  <c r="D3608" i="1"/>
  <c r="E3608" i="1"/>
  <c r="C3609" i="1"/>
  <c r="D3609" i="1"/>
  <c r="E3609" i="1"/>
  <c r="C3610" i="1"/>
  <c r="D3610" i="1"/>
  <c r="E3610" i="1"/>
  <c r="C3611" i="1"/>
  <c r="D3611" i="1"/>
  <c r="E3611" i="1"/>
  <c r="C3612" i="1"/>
  <c r="D3612" i="1"/>
  <c r="E3612" i="1"/>
  <c r="C3613" i="1"/>
  <c r="D3613" i="1"/>
  <c r="E3613" i="1"/>
  <c r="C3614" i="1"/>
  <c r="D3614" i="1"/>
  <c r="E3614" i="1"/>
  <c r="C3615" i="1"/>
  <c r="D3615" i="1"/>
  <c r="E3615" i="1"/>
  <c r="C3616" i="1"/>
  <c r="D3616" i="1"/>
  <c r="E3616" i="1"/>
  <c r="C3617" i="1"/>
  <c r="D3617" i="1"/>
  <c r="E3617" i="1"/>
  <c r="C3618" i="1"/>
  <c r="D3618" i="1"/>
  <c r="E3618" i="1"/>
  <c r="C3619" i="1"/>
  <c r="D3619" i="1"/>
  <c r="E3619" i="1"/>
  <c r="C3620" i="1"/>
  <c r="D3620" i="1"/>
  <c r="E3620" i="1"/>
  <c r="C3621" i="1"/>
  <c r="D3621" i="1"/>
  <c r="E3621" i="1"/>
  <c r="C3622" i="1"/>
  <c r="D3622" i="1"/>
  <c r="E3622" i="1"/>
  <c r="C3623" i="1"/>
  <c r="D3623" i="1"/>
  <c r="E3623" i="1"/>
  <c r="C3624" i="1"/>
  <c r="D3624" i="1"/>
  <c r="E3624" i="1"/>
  <c r="C3625" i="1"/>
  <c r="D3625" i="1"/>
  <c r="E3625" i="1"/>
  <c r="C3626" i="1"/>
  <c r="D3626" i="1"/>
  <c r="E3626" i="1"/>
  <c r="C3627" i="1"/>
  <c r="D3627" i="1"/>
  <c r="E3627" i="1"/>
  <c r="C3628" i="1"/>
  <c r="D3628" i="1"/>
  <c r="E3628" i="1"/>
  <c r="C3629" i="1"/>
  <c r="D3629" i="1"/>
  <c r="E3629" i="1"/>
  <c r="C3630" i="1"/>
  <c r="D3630" i="1"/>
  <c r="E3630" i="1"/>
  <c r="C3631" i="1"/>
  <c r="D3631" i="1"/>
  <c r="E3631" i="1"/>
  <c r="C3632" i="1"/>
  <c r="D3632" i="1"/>
  <c r="E3632" i="1"/>
  <c r="C3633" i="1"/>
  <c r="D3633" i="1"/>
  <c r="E3633" i="1"/>
  <c r="C3634" i="1"/>
  <c r="D3634" i="1"/>
  <c r="E3634" i="1"/>
  <c r="C3635" i="1"/>
  <c r="D3635" i="1"/>
  <c r="E3635" i="1"/>
  <c r="C3636" i="1"/>
  <c r="D3636" i="1"/>
  <c r="E3636" i="1"/>
  <c r="C3637" i="1"/>
  <c r="D3637" i="1"/>
  <c r="E3637" i="1"/>
  <c r="C3638" i="1"/>
  <c r="D3638" i="1"/>
  <c r="E3638" i="1"/>
  <c r="C3639" i="1"/>
  <c r="D3639" i="1"/>
  <c r="E3639" i="1"/>
  <c r="C3640" i="1"/>
  <c r="D3640" i="1"/>
  <c r="E3640" i="1"/>
  <c r="C3641" i="1"/>
  <c r="D3641" i="1"/>
  <c r="E3641" i="1"/>
  <c r="C3642" i="1"/>
  <c r="D3642" i="1"/>
  <c r="E3642" i="1"/>
  <c r="C3643" i="1"/>
  <c r="D3643" i="1"/>
  <c r="E3643" i="1"/>
  <c r="C3644" i="1"/>
  <c r="D3644" i="1"/>
  <c r="E3644" i="1"/>
  <c r="C3645" i="1"/>
  <c r="D3645" i="1"/>
  <c r="E3645" i="1"/>
  <c r="C3646" i="1"/>
  <c r="D3646" i="1"/>
  <c r="E3646" i="1"/>
  <c r="C3647" i="1"/>
  <c r="D3647" i="1"/>
  <c r="E3647" i="1"/>
  <c r="C3648" i="1"/>
  <c r="D3648" i="1"/>
  <c r="E3648" i="1"/>
  <c r="C3649" i="1"/>
  <c r="D3649" i="1"/>
  <c r="E3649" i="1"/>
  <c r="C3650" i="1"/>
  <c r="D3650" i="1"/>
  <c r="E3650" i="1"/>
  <c r="C3651" i="1"/>
  <c r="D3651" i="1"/>
  <c r="E3651" i="1"/>
  <c r="C3652" i="1"/>
  <c r="D3652" i="1"/>
  <c r="E3652" i="1"/>
  <c r="C3653" i="1"/>
  <c r="D3653" i="1"/>
  <c r="E3653" i="1"/>
  <c r="C3654" i="1"/>
  <c r="D3654" i="1"/>
  <c r="E3654" i="1"/>
  <c r="C3655" i="1"/>
  <c r="D3655" i="1"/>
  <c r="E3655" i="1"/>
  <c r="C3656" i="1"/>
  <c r="D3656" i="1"/>
  <c r="E3656" i="1"/>
  <c r="C3657" i="1"/>
  <c r="D3657" i="1"/>
  <c r="E3657" i="1"/>
  <c r="C3658" i="1"/>
  <c r="D3658" i="1"/>
  <c r="E3658" i="1"/>
  <c r="C3659" i="1"/>
  <c r="D3659" i="1"/>
  <c r="E3659" i="1"/>
  <c r="C3660" i="1"/>
  <c r="D3660" i="1"/>
  <c r="E3660" i="1"/>
  <c r="C3661" i="1"/>
  <c r="D3661" i="1"/>
  <c r="E3661" i="1"/>
  <c r="C3662" i="1"/>
  <c r="D3662" i="1"/>
  <c r="E3662" i="1"/>
  <c r="C3663" i="1"/>
  <c r="D3663" i="1"/>
  <c r="E3663" i="1"/>
  <c r="C3664" i="1"/>
  <c r="D3664" i="1"/>
  <c r="E3664" i="1"/>
  <c r="C3665" i="1"/>
  <c r="D3665" i="1"/>
  <c r="E3665" i="1"/>
  <c r="C3666" i="1"/>
  <c r="D3666" i="1"/>
  <c r="E3666" i="1"/>
  <c r="C3667" i="1"/>
  <c r="D3667" i="1"/>
  <c r="E3667" i="1"/>
  <c r="C3668" i="1"/>
  <c r="D3668" i="1"/>
  <c r="E3668" i="1"/>
  <c r="C3669" i="1"/>
  <c r="D3669" i="1"/>
  <c r="E3669" i="1"/>
  <c r="C3670" i="1"/>
  <c r="D3670" i="1"/>
  <c r="E3670" i="1"/>
  <c r="C3671" i="1"/>
  <c r="D3671" i="1"/>
  <c r="E3671" i="1"/>
  <c r="C3672" i="1"/>
  <c r="D3672" i="1"/>
  <c r="E3672" i="1"/>
  <c r="C3673" i="1"/>
  <c r="D3673" i="1"/>
  <c r="E3673" i="1"/>
  <c r="C3674" i="1"/>
  <c r="D3674" i="1"/>
  <c r="E3674" i="1"/>
  <c r="C3675" i="1"/>
  <c r="D3675" i="1"/>
  <c r="E3675" i="1"/>
  <c r="C3676" i="1"/>
  <c r="D3676" i="1"/>
  <c r="E3676" i="1"/>
  <c r="C3677" i="1"/>
  <c r="D3677" i="1"/>
  <c r="E3677" i="1"/>
  <c r="C3678" i="1"/>
  <c r="D3678" i="1"/>
  <c r="E3678" i="1"/>
  <c r="C3679" i="1"/>
  <c r="D3679" i="1"/>
  <c r="E3679" i="1"/>
  <c r="C3680" i="1"/>
  <c r="D3680" i="1"/>
  <c r="E3680" i="1"/>
  <c r="C3681" i="1"/>
  <c r="D3681" i="1"/>
  <c r="E3681" i="1"/>
  <c r="C3682" i="1"/>
  <c r="D3682" i="1"/>
  <c r="E3682" i="1"/>
  <c r="C3683" i="1"/>
  <c r="D3683" i="1"/>
  <c r="E3683" i="1"/>
  <c r="C3684" i="1"/>
  <c r="D3684" i="1"/>
  <c r="E3684" i="1"/>
  <c r="C3685" i="1"/>
  <c r="D3685" i="1"/>
  <c r="E3685" i="1"/>
  <c r="C3686" i="1"/>
  <c r="D3686" i="1"/>
  <c r="E3686" i="1"/>
  <c r="C3687" i="1"/>
  <c r="D3687" i="1"/>
  <c r="E3687" i="1"/>
  <c r="C3688" i="1"/>
  <c r="D3688" i="1"/>
  <c r="E3688" i="1"/>
  <c r="C3689" i="1"/>
  <c r="D3689" i="1"/>
  <c r="E3689" i="1"/>
  <c r="C3690" i="1"/>
  <c r="D3690" i="1"/>
  <c r="E3690" i="1"/>
  <c r="C3691" i="1"/>
  <c r="D3691" i="1"/>
  <c r="E3691" i="1"/>
  <c r="C3692" i="1"/>
  <c r="D3692" i="1"/>
  <c r="E3692" i="1"/>
  <c r="C3693" i="1"/>
  <c r="D3693" i="1"/>
  <c r="E3693" i="1"/>
  <c r="C3694" i="1"/>
  <c r="D3694" i="1"/>
  <c r="E3694" i="1"/>
  <c r="C3695" i="1"/>
  <c r="D3695" i="1"/>
  <c r="E3695" i="1"/>
  <c r="C3696" i="1"/>
  <c r="D3696" i="1"/>
  <c r="E3696" i="1"/>
  <c r="C3697" i="1"/>
  <c r="D3697" i="1"/>
  <c r="E3697" i="1"/>
  <c r="C3698" i="1"/>
  <c r="D3698" i="1"/>
  <c r="E3698" i="1"/>
  <c r="C3699" i="1"/>
  <c r="D3699" i="1"/>
  <c r="E3699" i="1"/>
  <c r="C3700" i="1"/>
  <c r="D3700" i="1"/>
  <c r="E3700" i="1"/>
  <c r="C3701" i="1"/>
  <c r="D3701" i="1"/>
  <c r="E3701" i="1"/>
  <c r="C3702" i="1"/>
  <c r="D3702" i="1"/>
  <c r="E3702" i="1"/>
  <c r="C3703" i="1"/>
  <c r="D3703" i="1"/>
  <c r="E3703" i="1"/>
  <c r="C3704" i="1"/>
  <c r="D3704" i="1"/>
  <c r="E3704" i="1"/>
  <c r="C3705" i="1"/>
  <c r="D3705" i="1"/>
  <c r="E3705" i="1"/>
  <c r="C3706" i="1"/>
  <c r="D3706" i="1"/>
  <c r="E3706" i="1"/>
  <c r="C3707" i="1"/>
  <c r="D3707" i="1"/>
  <c r="E3707" i="1"/>
  <c r="C3708" i="1"/>
  <c r="D3708" i="1"/>
  <c r="E3708" i="1"/>
  <c r="C3709" i="1"/>
  <c r="D3709" i="1"/>
  <c r="E3709" i="1"/>
  <c r="C3710" i="1"/>
  <c r="D3710" i="1"/>
  <c r="E3710" i="1"/>
  <c r="C3711" i="1"/>
  <c r="D3711" i="1"/>
  <c r="E3711" i="1"/>
  <c r="C3712" i="1"/>
  <c r="D3712" i="1"/>
  <c r="E3712" i="1"/>
  <c r="C3713" i="1"/>
  <c r="D3713" i="1"/>
  <c r="E3713" i="1"/>
  <c r="C3714" i="1"/>
  <c r="D3714" i="1"/>
  <c r="E3714" i="1"/>
  <c r="C3715" i="1"/>
  <c r="D3715" i="1"/>
  <c r="E3715" i="1"/>
  <c r="C3716" i="1"/>
  <c r="D3716" i="1"/>
  <c r="E3716" i="1"/>
  <c r="C3717" i="1"/>
  <c r="D3717" i="1"/>
  <c r="E3717" i="1"/>
  <c r="C3718" i="1"/>
  <c r="D3718" i="1"/>
  <c r="E3718" i="1"/>
  <c r="C3719" i="1"/>
  <c r="D3719" i="1"/>
  <c r="E3719" i="1"/>
  <c r="C3720" i="1"/>
  <c r="D3720" i="1"/>
  <c r="E3720" i="1"/>
  <c r="C3721" i="1"/>
  <c r="D3721" i="1"/>
  <c r="E3721" i="1"/>
  <c r="C3722" i="1"/>
  <c r="D3722" i="1"/>
  <c r="E3722" i="1"/>
  <c r="C3723" i="1"/>
  <c r="D3723" i="1"/>
  <c r="E3723" i="1"/>
  <c r="C3724" i="1"/>
  <c r="D3724" i="1"/>
  <c r="E3724" i="1"/>
  <c r="C3725" i="1"/>
  <c r="D3725" i="1"/>
  <c r="E3725" i="1"/>
  <c r="C3726" i="1"/>
  <c r="D3726" i="1"/>
  <c r="E3726" i="1"/>
  <c r="C3727" i="1"/>
  <c r="D3727" i="1"/>
  <c r="E3727" i="1"/>
  <c r="C3728" i="1"/>
  <c r="D3728" i="1"/>
  <c r="E3728" i="1"/>
  <c r="C3729" i="1"/>
  <c r="D3729" i="1"/>
  <c r="E3729" i="1"/>
  <c r="C3730" i="1"/>
  <c r="D3730" i="1"/>
  <c r="E3730" i="1"/>
  <c r="C3731" i="1"/>
  <c r="D3731" i="1"/>
  <c r="E3731" i="1"/>
  <c r="C3732" i="1"/>
  <c r="D3732" i="1"/>
  <c r="E3732" i="1"/>
  <c r="C3733" i="1"/>
  <c r="D3733" i="1"/>
  <c r="E3733" i="1"/>
  <c r="C3734" i="1"/>
  <c r="D3734" i="1"/>
  <c r="E3734" i="1"/>
  <c r="C3735" i="1"/>
  <c r="D3735" i="1"/>
  <c r="E3735" i="1"/>
  <c r="C3736" i="1"/>
  <c r="D3736" i="1"/>
  <c r="E3736" i="1"/>
  <c r="C3737" i="1"/>
  <c r="D3737" i="1"/>
  <c r="E3737" i="1"/>
  <c r="C3738" i="1"/>
  <c r="D3738" i="1"/>
  <c r="E3738" i="1"/>
  <c r="C3739" i="1"/>
  <c r="D3739" i="1"/>
  <c r="E3739" i="1"/>
  <c r="C3740" i="1"/>
  <c r="D3740" i="1"/>
  <c r="E3740" i="1"/>
  <c r="C3741" i="1"/>
  <c r="D3741" i="1"/>
  <c r="E3741" i="1"/>
  <c r="C3742" i="1"/>
  <c r="D3742" i="1"/>
  <c r="E3742" i="1"/>
  <c r="C3743" i="1"/>
  <c r="D3743" i="1"/>
  <c r="E3743" i="1"/>
  <c r="C3744" i="1"/>
  <c r="D3744" i="1"/>
  <c r="E3744" i="1"/>
  <c r="C3745" i="1"/>
  <c r="D3745" i="1"/>
  <c r="E3745" i="1"/>
  <c r="C3746" i="1"/>
  <c r="D3746" i="1"/>
  <c r="E3746" i="1"/>
  <c r="C3747" i="1"/>
  <c r="D3747" i="1"/>
  <c r="E3747" i="1"/>
  <c r="C3748" i="1"/>
  <c r="D3748" i="1"/>
  <c r="E3748" i="1"/>
  <c r="C3749" i="1"/>
  <c r="D3749" i="1"/>
  <c r="E3749" i="1"/>
  <c r="C3750" i="1"/>
  <c r="D3750" i="1"/>
  <c r="E3750" i="1"/>
  <c r="C3751" i="1"/>
  <c r="D3751" i="1"/>
  <c r="E3751" i="1"/>
  <c r="C3752" i="1"/>
  <c r="D3752" i="1"/>
  <c r="E3752" i="1"/>
  <c r="C3753" i="1"/>
  <c r="D3753" i="1"/>
  <c r="E3753" i="1"/>
  <c r="C3754" i="1"/>
  <c r="D3754" i="1"/>
  <c r="E3754" i="1"/>
  <c r="C3755" i="1"/>
  <c r="D3755" i="1"/>
  <c r="E3755" i="1"/>
  <c r="C3756" i="1"/>
  <c r="D3756" i="1"/>
  <c r="E3756" i="1"/>
  <c r="C3757" i="1"/>
  <c r="D3757" i="1"/>
  <c r="E3757" i="1"/>
  <c r="C3758" i="1"/>
  <c r="D3758" i="1"/>
  <c r="E3758" i="1"/>
  <c r="C3759" i="1"/>
  <c r="D3759" i="1"/>
  <c r="E3759" i="1"/>
  <c r="C3760" i="1"/>
  <c r="D3760" i="1"/>
  <c r="E3760" i="1"/>
  <c r="C3761" i="1"/>
  <c r="D3761" i="1"/>
  <c r="E3761" i="1"/>
  <c r="C3762" i="1"/>
  <c r="D3762" i="1"/>
  <c r="E3762" i="1"/>
  <c r="C3763" i="1"/>
  <c r="D3763" i="1"/>
  <c r="E3763" i="1"/>
  <c r="C3764" i="1"/>
  <c r="D3764" i="1"/>
  <c r="E3764" i="1"/>
  <c r="C3765" i="1"/>
  <c r="D3765" i="1"/>
  <c r="E3765" i="1"/>
  <c r="C3766" i="1"/>
  <c r="D3766" i="1"/>
  <c r="E3766" i="1"/>
  <c r="C3767" i="1"/>
  <c r="D3767" i="1"/>
  <c r="E3767" i="1"/>
  <c r="C3768" i="1"/>
  <c r="D3768" i="1"/>
  <c r="E3768" i="1"/>
  <c r="C3769" i="1"/>
  <c r="D3769" i="1"/>
  <c r="E3769" i="1"/>
  <c r="C3770" i="1"/>
  <c r="D3770" i="1"/>
  <c r="E3770" i="1"/>
  <c r="C3771" i="1"/>
  <c r="D3771" i="1"/>
  <c r="E3771" i="1"/>
  <c r="C3772" i="1"/>
  <c r="D3772" i="1"/>
  <c r="E3772" i="1"/>
  <c r="C3773" i="1"/>
  <c r="D3773" i="1"/>
  <c r="E3773" i="1"/>
  <c r="C3774" i="1"/>
  <c r="D3774" i="1"/>
  <c r="E3774" i="1"/>
  <c r="C3775" i="1"/>
  <c r="D3775" i="1"/>
  <c r="E3775" i="1"/>
  <c r="C3776" i="1"/>
  <c r="D3776" i="1"/>
  <c r="E3776" i="1"/>
  <c r="C3777" i="1"/>
  <c r="D3777" i="1"/>
  <c r="E3777" i="1"/>
  <c r="C3778" i="1"/>
  <c r="D3778" i="1"/>
  <c r="E3778" i="1"/>
  <c r="C3779" i="1"/>
  <c r="D3779" i="1"/>
  <c r="E3779" i="1"/>
  <c r="C3780" i="1"/>
  <c r="D3780" i="1"/>
  <c r="E3780" i="1"/>
  <c r="C3781" i="1"/>
  <c r="D3781" i="1"/>
  <c r="E3781" i="1"/>
  <c r="C3782" i="1"/>
  <c r="D3782" i="1"/>
  <c r="E3782" i="1"/>
  <c r="C3783" i="1"/>
  <c r="D3783" i="1"/>
  <c r="E3783" i="1"/>
  <c r="C3784" i="1"/>
  <c r="D3784" i="1"/>
  <c r="E3784" i="1"/>
  <c r="C3785" i="1"/>
  <c r="D3785" i="1"/>
  <c r="E3785" i="1"/>
  <c r="C3786" i="1"/>
  <c r="D3786" i="1"/>
  <c r="E3786" i="1"/>
  <c r="C3787" i="1"/>
  <c r="D3787" i="1"/>
  <c r="E3787" i="1"/>
  <c r="C3788" i="1"/>
  <c r="D3788" i="1"/>
  <c r="E3788" i="1"/>
  <c r="C3789" i="1"/>
  <c r="D3789" i="1"/>
  <c r="E3789" i="1"/>
  <c r="C3790" i="1"/>
  <c r="D3790" i="1"/>
  <c r="E3790" i="1"/>
  <c r="C3791" i="1"/>
  <c r="D3791" i="1"/>
  <c r="E3791" i="1"/>
  <c r="C3792" i="1"/>
  <c r="D3792" i="1"/>
  <c r="E3792" i="1"/>
  <c r="C3793" i="1"/>
  <c r="D3793" i="1"/>
  <c r="E3793" i="1"/>
  <c r="C3794" i="1"/>
  <c r="D3794" i="1"/>
  <c r="E3794" i="1"/>
  <c r="C3795" i="1"/>
  <c r="D3795" i="1"/>
  <c r="E3795" i="1"/>
  <c r="C3796" i="1"/>
  <c r="D3796" i="1"/>
  <c r="E3796" i="1"/>
  <c r="C3797" i="1"/>
  <c r="D3797" i="1"/>
  <c r="E3797" i="1"/>
  <c r="C3798" i="1"/>
  <c r="D3798" i="1"/>
  <c r="E3798" i="1"/>
  <c r="C3799" i="1"/>
  <c r="D3799" i="1"/>
  <c r="E3799" i="1"/>
  <c r="C3800" i="1"/>
  <c r="D3800" i="1"/>
  <c r="E3800" i="1"/>
  <c r="C3801" i="1"/>
  <c r="D3801" i="1"/>
  <c r="E3801" i="1"/>
  <c r="C3802" i="1"/>
  <c r="D3802" i="1"/>
  <c r="E3802" i="1"/>
  <c r="C3803" i="1"/>
  <c r="D3803" i="1"/>
  <c r="E3803" i="1"/>
  <c r="C3804" i="1"/>
  <c r="D3804" i="1"/>
  <c r="E3804" i="1"/>
  <c r="C3805" i="1"/>
  <c r="D3805" i="1"/>
  <c r="E3805" i="1"/>
  <c r="C3806" i="1"/>
  <c r="D3806" i="1"/>
  <c r="E3806" i="1"/>
  <c r="C3807" i="1"/>
  <c r="D3807" i="1"/>
  <c r="E3807" i="1"/>
  <c r="C3808" i="1"/>
  <c r="D3808" i="1"/>
  <c r="E3808" i="1"/>
  <c r="C3809" i="1"/>
  <c r="D3809" i="1"/>
  <c r="E3809" i="1"/>
  <c r="C3810" i="1"/>
  <c r="D3810" i="1"/>
  <c r="E3810" i="1"/>
  <c r="C3811" i="1"/>
  <c r="D3811" i="1"/>
  <c r="E3811" i="1"/>
  <c r="C3812" i="1"/>
  <c r="D3812" i="1"/>
  <c r="E3812" i="1"/>
  <c r="C3813" i="1"/>
  <c r="D3813" i="1"/>
  <c r="E3813" i="1"/>
  <c r="C3814" i="1"/>
  <c r="D3814" i="1"/>
  <c r="E3814" i="1"/>
  <c r="C3815" i="1"/>
  <c r="D3815" i="1"/>
  <c r="E3815" i="1"/>
  <c r="C3816" i="1"/>
  <c r="D3816" i="1"/>
  <c r="E3816" i="1"/>
  <c r="C3817" i="1"/>
  <c r="D3817" i="1"/>
  <c r="E3817" i="1"/>
  <c r="C3818" i="1"/>
  <c r="D3818" i="1"/>
  <c r="E3818" i="1"/>
  <c r="C3819" i="1"/>
  <c r="D3819" i="1"/>
  <c r="E3819" i="1"/>
  <c r="C3820" i="1"/>
  <c r="D3820" i="1"/>
  <c r="E3820" i="1"/>
  <c r="C3821" i="1"/>
  <c r="D3821" i="1"/>
  <c r="E3821" i="1"/>
  <c r="C3822" i="1"/>
  <c r="D3822" i="1"/>
  <c r="E3822" i="1"/>
  <c r="C3823" i="1"/>
  <c r="D3823" i="1"/>
  <c r="E3823" i="1"/>
  <c r="C3824" i="1"/>
  <c r="D3824" i="1"/>
  <c r="E3824" i="1"/>
  <c r="C3825" i="1"/>
  <c r="D3825" i="1"/>
  <c r="E3825" i="1"/>
  <c r="C3826" i="1"/>
  <c r="D3826" i="1"/>
  <c r="E3826" i="1"/>
  <c r="C3827" i="1"/>
  <c r="D3827" i="1"/>
  <c r="E3827" i="1"/>
  <c r="C3828" i="1"/>
  <c r="D3828" i="1"/>
  <c r="E3828" i="1"/>
  <c r="C3829" i="1"/>
  <c r="D3829" i="1"/>
  <c r="E3829" i="1"/>
  <c r="C3830" i="1"/>
  <c r="D3830" i="1"/>
  <c r="E3830" i="1"/>
  <c r="C3831" i="1"/>
  <c r="D3831" i="1"/>
  <c r="E3831" i="1"/>
  <c r="C3832" i="1"/>
  <c r="D3832" i="1"/>
  <c r="E3832" i="1"/>
  <c r="C3833" i="1"/>
  <c r="D3833" i="1"/>
  <c r="E3833" i="1"/>
  <c r="C3834" i="1"/>
  <c r="D3834" i="1"/>
  <c r="E3834" i="1"/>
  <c r="C3835" i="1"/>
  <c r="D3835" i="1"/>
  <c r="E3835" i="1"/>
  <c r="C3836" i="1"/>
  <c r="D3836" i="1"/>
  <c r="E3836" i="1"/>
  <c r="C3837" i="1"/>
  <c r="D3837" i="1"/>
  <c r="E3837" i="1"/>
  <c r="C3838" i="1"/>
  <c r="D3838" i="1"/>
  <c r="E3838" i="1"/>
  <c r="C3839" i="1"/>
  <c r="D3839" i="1"/>
  <c r="E3839" i="1"/>
  <c r="C3840" i="1"/>
  <c r="D3840" i="1"/>
  <c r="E3840" i="1"/>
  <c r="C3841" i="1"/>
  <c r="D3841" i="1"/>
  <c r="E3841" i="1"/>
  <c r="C3842" i="1"/>
  <c r="D3842" i="1"/>
  <c r="E3842" i="1"/>
  <c r="C3843" i="1"/>
  <c r="D3843" i="1"/>
  <c r="E3843" i="1"/>
  <c r="C3844" i="1"/>
  <c r="D3844" i="1"/>
  <c r="E3844" i="1"/>
  <c r="C3845" i="1"/>
  <c r="D3845" i="1"/>
  <c r="E3845" i="1"/>
  <c r="C3846" i="1"/>
  <c r="D3846" i="1"/>
  <c r="E3846" i="1"/>
  <c r="C3847" i="1"/>
  <c r="D3847" i="1"/>
  <c r="E3847" i="1"/>
  <c r="C3848" i="1"/>
  <c r="D3848" i="1"/>
  <c r="E3848" i="1"/>
  <c r="C3849" i="1"/>
  <c r="D3849" i="1"/>
  <c r="E3849" i="1"/>
  <c r="C3850" i="1"/>
  <c r="D3850" i="1"/>
  <c r="E3850" i="1"/>
  <c r="C3851" i="1"/>
  <c r="D3851" i="1"/>
  <c r="E3851" i="1"/>
  <c r="C3852" i="1"/>
  <c r="D3852" i="1"/>
  <c r="E3852" i="1"/>
  <c r="C3853" i="1"/>
  <c r="D3853" i="1"/>
  <c r="E3853" i="1"/>
  <c r="C3854" i="1"/>
  <c r="D3854" i="1"/>
  <c r="E3854" i="1"/>
  <c r="C3855" i="1"/>
  <c r="D3855" i="1"/>
  <c r="E3855" i="1"/>
  <c r="C3856" i="1"/>
  <c r="D3856" i="1"/>
  <c r="E3856" i="1"/>
  <c r="C3857" i="1"/>
  <c r="D3857" i="1"/>
  <c r="E3857" i="1"/>
  <c r="C3858" i="1"/>
  <c r="D3858" i="1"/>
  <c r="E3858" i="1"/>
  <c r="C3859" i="1"/>
  <c r="D3859" i="1"/>
  <c r="E3859" i="1"/>
  <c r="C3860" i="1"/>
  <c r="D3860" i="1"/>
  <c r="E3860" i="1"/>
  <c r="C3861" i="1"/>
  <c r="D3861" i="1"/>
  <c r="E3861" i="1"/>
  <c r="C3862" i="1"/>
  <c r="D3862" i="1"/>
  <c r="E3862" i="1"/>
  <c r="C3863" i="1"/>
  <c r="D3863" i="1"/>
  <c r="E3863" i="1"/>
  <c r="C3864" i="1"/>
  <c r="D3864" i="1"/>
  <c r="E3864" i="1"/>
  <c r="C3865" i="1"/>
  <c r="D3865" i="1"/>
  <c r="E3865" i="1"/>
  <c r="C3866" i="1"/>
  <c r="D3866" i="1"/>
  <c r="C3867" i="1"/>
  <c r="D3867" i="1"/>
  <c r="E3867" i="1"/>
  <c r="C3868" i="1"/>
  <c r="D3868" i="1"/>
  <c r="E3868" i="1"/>
  <c r="C3869" i="1"/>
  <c r="D3869" i="1"/>
  <c r="E3869" i="1"/>
  <c r="C3870" i="1"/>
  <c r="D3870" i="1"/>
  <c r="E3870" i="1"/>
  <c r="C3871" i="1"/>
  <c r="D3871" i="1"/>
  <c r="E3871" i="1"/>
  <c r="C3872" i="1"/>
  <c r="D3872" i="1"/>
  <c r="E3872" i="1"/>
  <c r="C3873" i="1"/>
  <c r="D3873" i="1"/>
  <c r="E3873" i="1"/>
  <c r="C3874" i="1"/>
  <c r="D3874" i="1"/>
  <c r="E3874" i="1"/>
  <c r="C3875" i="1"/>
  <c r="D3875" i="1"/>
  <c r="E3875" i="1"/>
  <c r="C3876" i="1"/>
  <c r="D3876" i="1"/>
  <c r="E3876" i="1"/>
  <c r="C3877" i="1"/>
  <c r="D3877" i="1"/>
  <c r="E3877" i="1"/>
  <c r="C3878" i="1"/>
  <c r="D3878" i="1"/>
  <c r="E3878" i="1"/>
  <c r="C3879" i="1"/>
  <c r="D3879" i="1"/>
  <c r="E3879" i="1"/>
  <c r="C3880" i="1"/>
  <c r="D3880" i="1"/>
  <c r="E3880" i="1"/>
  <c r="C3881" i="1"/>
  <c r="D3881" i="1"/>
  <c r="E3881" i="1"/>
  <c r="C3882" i="1"/>
  <c r="D3882" i="1"/>
  <c r="E3882" i="1"/>
  <c r="C3883" i="1"/>
  <c r="D3883" i="1"/>
  <c r="E3883" i="1"/>
  <c r="C3884" i="1"/>
  <c r="D3884" i="1"/>
  <c r="E3884" i="1"/>
  <c r="C3885" i="1"/>
  <c r="D3885" i="1"/>
  <c r="E3885" i="1"/>
  <c r="C3886" i="1"/>
  <c r="D3886" i="1"/>
  <c r="E3886" i="1"/>
  <c r="C3887" i="1"/>
  <c r="D3887" i="1"/>
  <c r="E3887" i="1"/>
  <c r="C3888" i="1"/>
  <c r="D3888" i="1"/>
  <c r="E3888" i="1"/>
  <c r="C3889" i="1"/>
  <c r="D3889" i="1"/>
  <c r="E3889" i="1"/>
  <c r="C3890" i="1"/>
  <c r="D3890" i="1"/>
  <c r="E3890" i="1"/>
  <c r="C3891" i="1"/>
  <c r="D3891" i="1"/>
  <c r="E3891" i="1"/>
  <c r="C3892" i="1"/>
  <c r="D3892" i="1"/>
  <c r="E3892" i="1"/>
  <c r="C3893" i="1"/>
  <c r="D3893" i="1"/>
  <c r="E3893" i="1"/>
  <c r="C3894" i="1"/>
  <c r="D3894" i="1"/>
  <c r="E3894" i="1"/>
  <c r="C3895" i="1"/>
  <c r="D3895" i="1"/>
  <c r="E3895" i="1"/>
  <c r="C3896" i="1"/>
  <c r="D3896" i="1"/>
  <c r="E3896" i="1"/>
  <c r="C3897" i="1"/>
  <c r="D3897" i="1"/>
  <c r="E3897" i="1"/>
  <c r="C3898" i="1"/>
  <c r="D3898" i="1"/>
  <c r="E3898" i="1"/>
  <c r="C3899" i="1"/>
  <c r="D3899" i="1"/>
  <c r="E3899" i="1"/>
  <c r="C3900" i="1"/>
  <c r="D3900" i="1"/>
  <c r="E3900" i="1"/>
  <c r="C3901" i="1"/>
  <c r="D3901" i="1"/>
  <c r="E3901" i="1"/>
  <c r="C3902" i="1"/>
  <c r="D3902" i="1"/>
  <c r="E3902" i="1"/>
  <c r="C3903" i="1"/>
  <c r="D3903" i="1"/>
  <c r="E3903" i="1"/>
  <c r="C3904" i="1"/>
  <c r="D3904" i="1"/>
  <c r="E3904" i="1"/>
  <c r="C3905" i="1"/>
  <c r="D3905" i="1"/>
  <c r="E3905" i="1"/>
  <c r="C3906" i="1"/>
  <c r="D3906" i="1"/>
  <c r="E3906" i="1"/>
  <c r="C3907" i="1"/>
  <c r="D3907" i="1"/>
  <c r="E3907" i="1"/>
  <c r="C3908" i="1"/>
  <c r="D3908" i="1"/>
  <c r="E3908" i="1"/>
  <c r="C3909" i="1"/>
  <c r="D3909" i="1"/>
  <c r="E3909" i="1"/>
  <c r="C3910" i="1"/>
  <c r="D3910" i="1"/>
  <c r="E3910" i="1"/>
  <c r="C3911" i="1"/>
  <c r="D3911" i="1"/>
  <c r="E3911" i="1"/>
  <c r="C3912" i="1"/>
  <c r="D3912" i="1"/>
  <c r="E3912" i="1"/>
  <c r="C3913" i="1"/>
  <c r="D3913" i="1"/>
  <c r="E3913" i="1"/>
  <c r="C3914" i="1"/>
  <c r="D3914" i="1"/>
  <c r="E3914" i="1"/>
  <c r="C3915" i="1"/>
  <c r="D3915" i="1"/>
  <c r="E3915" i="1"/>
  <c r="C3916" i="1"/>
  <c r="D3916" i="1"/>
  <c r="E3916" i="1"/>
  <c r="C3917" i="1"/>
  <c r="D3917" i="1"/>
  <c r="E3917" i="1"/>
  <c r="C3918" i="1"/>
  <c r="D3918" i="1"/>
  <c r="E3918" i="1"/>
  <c r="C3919" i="1"/>
  <c r="D3919" i="1"/>
  <c r="E3919" i="1"/>
  <c r="C3920" i="1"/>
  <c r="D3920" i="1"/>
  <c r="E3920" i="1"/>
  <c r="C3921" i="1"/>
  <c r="D3921" i="1"/>
  <c r="E3921" i="1"/>
  <c r="C3922" i="1"/>
  <c r="D3922" i="1"/>
  <c r="E3922" i="1"/>
  <c r="C3923" i="1"/>
  <c r="D3923" i="1"/>
  <c r="E3923" i="1"/>
  <c r="C3924" i="1"/>
  <c r="D3924" i="1"/>
  <c r="E3924" i="1"/>
  <c r="C3925" i="1"/>
  <c r="D3925" i="1"/>
  <c r="E3925" i="1"/>
  <c r="C3926" i="1"/>
  <c r="D3926" i="1"/>
  <c r="E3926" i="1"/>
  <c r="C3927" i="1"/>
  <c r="D3927" i="1"/>
  <c r="E3927" i="1"/>
  <c r="C3928" i="1"/>
  <c r="D3928" i="1"/>
  <c r="E3928" i="1"/>
  <c r="C3929" i="1"/>
  <c r="D3929" i="1"/>
  <c r="E3929" i="1"/>
  <c r="C3930" i="1"/>
  <c r="D3930" i="1"/>
  <c r="E3930" i="1"/>
  <c r="C3931" i="1"/>
  <c r="D3931" i="1"/>
  <c r="E3931" i="1"/>
  <c r="C3932" i="1"/>
  <c r="D3932" i="1"/>
  <c r="C3933" i="1"/>
  <c r="D3933" i="1"/>
  <c r="E3933" i="1"/>
  <c r="C3934" i="1"/>
  <c r="D3934" i="1"/>
  <c r="E3934" i="1"/>
  <c r="C3935" i="1"/>
  <c r="D3935" i="1"/>
  <c r="E3935" i="1"/>
  <c r="C3936" i="1"/>
  <c r="D3936" i="1"/>
  <c r="E3936" i="1"/>
  <c r="C3937" i="1"/>
  <c r="D3937" i="1"/>
  <c r="E3937" i="1"/>
  <c r="C3938" i="1"/>
  <c r="D3938" i="1"/>
  <c r="E3938" i="1"/>
  <c r="C3939" i="1"/>
  <c r="D3939" i="1"/>
  <c r="E3939" i="1"/>
  <c r="C3940" i="1"/>
  <c r="D3940" i="1"/>
  <c r="E3940" i="1"/>
  <c r="C3941" i="1"/>
  <c r="D3941" i="1"/>
  <c r="E3941" i="1"/>
  <c r="C3942" i="1"/>
  <c r="D3942" i="1"/>
  <c r="E3942" i="1"/>
  <c r="C3943" i="1"/>
  <c r="D3943" i="1"/>
  <c r="E3943" i="1"/>
  <c r="C3944" i="1"/>
  <c r="D3944" i="1"/>
  <c r="E3944" i="1"/>
  <c r="C3945" i="1"/>
  <c r="D3945" i="1"/>
  <c r="E3945" i="1"/>
  <c r="C3946" i="1"/>
  <c r="D3946" i="1"/>
  <c r="E3946" i="1"/>
  <c r="C3947" i="1"/>
  <c r="D3947" i="1"/>
  <c r="E3947" i="1"/>
  <c r="C3948" i="1"/>
  <c r="D3948" i="1"/>
  <c r="E3948" i="1"/>
  <c r="C3949" i="1"/>
  <c r="D3949" i="1"/>
  <c r="E3949" i="1"/>
  <c r="C3950" i="1"/>
  <c r="D3950" i="1"/>
  <c r="E3950" i="1"/>
  <c r="C3951" i="1"/>
  <c r="D3951" i="1"/>
  <c r="E3951" i="1"/>
  <c r="C3952" i="1"/>
  <c r="D3952" i="1"/>
  <c r="E3952" i="1"/>
  <c r="C3953" i="1"/>
  <c r="D3953" i="1"/>
  <c r="E3953" i="1"/>
  <c r="C3954" i="1"/>
  <c r="D3954" i="1"/>
  <c r="E3954" i="1"/>
  <c r="C3955" i="1"/>
  <c r="D3955" i="1"/>
  <c r="E3955" i="1"/>
  <c r="C3956" i="1"/>
  <c r="D3956" i="1"/>
  <c r="E3956" i="1"/>
  <c r="C3957" i="1"/>
  <c r="D3957" i="1"/>
  <c r="E3957" i="1"/>
  <c r="C3958" i="1"/>
  <c r="D3958" i="1"/>
  <c r="E3958" i="1"/>
  <c r="C3959" i="1"/>
  <c r="D3959" i="1"/>
  <c r="E3959" i="1"/>
  <c r="C3960" i="1"/>
  <c r="D3960" i="1"/>
  <c r="E3960" i="1"/>
  <c r="C3961" i="1"/>
  <c r="D3961" i="1"/>
  <c r="E3961" i="1"/>
  <c r="C3962" i="1"/>
  <c r="D3962" i="1"/>
  <c r="E3962" i="1"/>
  <c r="C3963" i="1"/>
  <c r="D3963" i="1"/>
  <c r="E3963" i="1"/>
  <c r="C3964" i="1"/>
  <c r="D3964" i="1"/>
  <c r="E3964" i="1"/>
  <c r="C3965" i="1"/>
  <c r="D3965" i="1"/>
  <c r="E3965" i="1"/>
  <c r="C3966" i="1"/>
  <c r="D3966" i="1"/>
  <c r="E3966" i="1"/>
  <c r="C3967" i="1"/>
  <c r="D3967" i="1"/>
  <c r="E3967" i="1"/>
  <c r="C3968" i="1"/>
  <c r="D3968" i="1"/>
  <c r="E3968" i="1"/>
  <c r="C3969" i="1"/>
  <c r="D3969" i="1"/>
  <c r="E3969" i="1"/>
  <c r="C3970" i="1"/>
  <c r="D3970" i="1"/>
  <c r="E3970" i="1"/>
  <c r="C3971" i="1"/>
  <c r="D3971" i="1"/>
  <c r="E3971" i="1"/>
  <c r="C3972" i="1"/>
  <c r="D3972" i="1"/>
  <c r="E3972" i="1"/>
  <c r="C3973" i="1"/>
  <c r="D3973" i="1"/>
  <c r="E3973" i="1"/>
  <c r="C3974" i="1"/>
  <c r="D3974" i="1"/>
  <c r="E3974" i="1"/>
  <c r="C3975" i="1"/>
  <c r="D3975" i="1"/>
  <c r="E3975" i="1"/>
  <c r="C3976" i="1"/>
  <c r="D3976" i="1"/>
  <c r="E3976" i="1"/>
  <c r="C3977" i="1"/>
  <c r="D3977" i="1"/>
  <c r="E3977" i="1"/>
  <c r="C3978" i="1"/>
  <c r="D3978" i="1"/>
  <c r="E3978" i="1"/>
  <c r="C3979" i="1"/>
  <c r="D3979" i="1"/>
  <c r="E3979" i="1"/>
  <c r="C3980" i="1"/>
  <c r="D3980" i="1"/>
  <c r="E3980" i="1"/>
  <c r="C3981" i="1"/>
  <c r="D3981" i="1"/>
  <c r="E3981" i="1"/>
  <c r="C3982" i="1"/>
  <c r="D3982" i="1"/>
  <c r="E3982" i="1"/>
  <c r="C3983" i="1"/>
  <c r="D3983" i="1"/>
  <c r="E3983" i="1"/>
  <c r="C3984" i="1"/>
  <c r="D3984" i="1"/>
  <c r="E3984" i="1"/>
  <c r="C3985" i="1"/>
  <c r="D3985" i="1"/>
  <c r="E3985" i="1"/>
  <c r="C3986" i="1"/>
  <c r="D3986" i="1"/>
  <c r="E3986" i="1"/>
  <c r="C3987" i="1"/>
  <c r="D3987" i="1"/>
  <c r="E3987" i="1"/>
  <c r="C3988" i="1"/>
  <c r="D3988" i="1"/>
  <c r="E3988" i="1"/>
  <c r="C3989" i="1"/>
  <c r="D3989" i="1"/>
  <c r="E3989" i="1"/>
  <c r="C3990" i="1"/>
  <c r="D3990" i="1"/>
  <c r="E3990" i="1"/>
  <c r="C3991" i="1"/>
  <c r="D3991" i="1"/>
  <c r="E3991" i="1"/>
  <c r="C3992" i="1"/>
  <c r="D3992" i="1"/>
  <c r="E3992" i="1"/>
  <c r="C3993" i="1"/>
  <c r="D3993" i="1"/>
  <c r="E3993" i="1"/>
  <c r="C3994" i="1"/>
  <c r="D3994" i="1"/>
  <c r="E3994" i="1"/>
  <c r="C3995" i="1"/>
  <c r="D3995" i="1"/>
  <c r="E3995" i="1"/>
  <c r="C3996" i="1"/>
  <c r="D3996" i="1"/>
  <c r="E3996" i="1"/>
  <c r="C3997" i="1"/>
  <c r="D3997" i="1"/>
  <c r="E3997" i="1"/>
  <c r="C3998" i="1"/>
  <c r="D3998" i="1"/>
  <c r="E3998" i="1"/>
  <c r="C3999" i="1"/>
  <c r="D3999" i="1"/>
  <c r="E3999" i="1"/>
  <c r="C4000" i="1"/>
  <c r="D4000" i="1"/>
  <c r="E4000" i="1"/>
  <c r="C4001" i="1"/>
  <c r="D4001" i="1"/>
  <c r="E4001" i="1"/>
  <c r="C4002" i="1"/>
  <c r="D4002" i="1"/>
  <c r="E4002" i="1"/>
  <c r="C4003" i="1"/>
  <c r="D4003" i="1"/>
  <c r="E4003" i="1"/>
  <c r="C4004" i="1"/>
  <c r="D4004" i="1"/>
  <c r="E4004" i="1"/>
  <c r="C4005" i="1"/>
  <c r="D4005" i="1"/>
  <c r="E4005" i="1"/>
  <c r="C4006" i="1"/>
  <c r="D4006" i="1"/>
  <c r="E4006" i="1"/>
  <c r="C4007" i="1"/>
  <c r="D4007" i="1"/>
  <c r="E4007" i="1"/>
  <c r="C4008" i="1"/>
  <c r="D4008" i="1"/>
  <c r="E4008" i="1"/>
  <c r="C4009" i="1"/>
  <c r="D4009" i="1"/>
  <c r="E4009" i="1"/>
  <c r="C4010" i="1"/>
  <c r="D4010" i="1"/>
  <c r="E4010" i="1"/>
  <c r="C4011" i="1"/>
  <c r="D4011" i="1"/>
  <c r="E4011" i="1"/>
  <c r="C4012" i="1"/>
  <c r="D4012" i="1"/>
  <c r="E4012" i="1"/>
  <c r="C4013" i="1"/>
  <c r="D4013" i="1"/>
  <c r="E4013" i="1"/>
  <c r="C4014" i="1"/>
  <c r="D4014" i="1"/>
  <c r="E4014" i="1"/>
  <c r="C4015" i="1"/>
  <c r="D4015" i="1"/>
  <c r="E4015" i="1"/>
  <c r="C4016" i="1"/>
  <c r="D4016" i="1"/>
  <c r="E4016" i="1"/>
  <c r="C4017" i="1"/>
  <c r="D4017" i="1"/>
  <c r="E4017" i="1"/>
  <c r="C4018" i="1"/>
  <c r="D4018" i="1"/>
  <c r="E4018" i="1"/>
  <c r="C4019" i="1"/>
  <c r="D4019" i="1"/>
  <c r="E4019" i="1"/>
  <c r="C4020" i="1"/>
  <c r="D4020" i="1"/>
  <c r="E4020" i="1"/>
  <c r="C4021" i="1"/>
  <c r="D4021" i="1"/>
  <c r="E4021" i="1"/>
  <c r="C4022" i="1"/>
  <c r="D4022" i="1"/>
  <c r="E4022" i="1"/>
  <c r="C4023" i="1"/>
  <c r="D4023" i="1"/>
  <c r="E4023" i="1"/>
  <c r="C4024" i="1"/>
  <c r="D4024" i="1"/>
  <c r="E4024" i="1"/>
  <c r="C4025" i="1"/>
  <c r="D4025" i="1"/>
  <c r="E4025" i="1"/>
  <c r="C4026" i="1"/>
  <c r="D4026" i="1"/>
  <c r="E4026" i="1"/>
  <c r="C4027" i="1"/>
  <c r="D4027" i="1"/>
  <c r="E4027" i="1"/>
  <c r="C4028" i="1"/>
  <c r="D4028" i="1"/>
  <c r="E4028" i="1"/>
  <c r="C4029" i="1"/>
  <c r="D4029" i="1"/>
  <c r="E4029" i="1"/>
  <c r="C4030" i="1"/>
  <c r="D4030" i="1"/>
  <c r="E4030" i="1"/>
  <c r="C4031" i="1"/>
  <c r="D4031" i="1"/>
  <c r="E4031" i="1"/>
  <c r="C4032" i="1"/>
  <c r="D4032" i="1"/>
  <c r="E4032" i="1"/>
  <c r="C4033" i="1"/>
  <c r="D4033" i="1"/>
  <c r="E4033" i="1"/>
  <c r="C4034" i="1"/>
  <c r="D4034" i="1"/>
  <c r="E4034" i="1"/>
  <c r="C4035" i="1"/>
  <c r="D4035" i="1"/>
  <c r="E4035" i="1"/>
  <c r="C4036" i="1"/>
  <c r="D4036" i="1"/>
  <c r="E4036" i="1"/>
  <c r="C4037" i="1"/>
  <c r="D4037" i="1"/>
  <c r="E4037" i="1"/>
  <c r="C4038" i="1"/>
  <c r="D4038" i="1"/>
  <c r="E4038" i="1"/>
  <c r="C4039" i="1"/>
  <c r="D4039" i="1"/>
  <c r="E4039" i="1"/>
  <c r="C4040" i="1"/>
  <c r="D4040" i="1"/>
  <c r="E4040" i="1"/>
  <c r="C4041" i="1"/>
  <c r="D4041" i="1"/>
  <c r="E4041" i="1"/>
  <c r="C4042" i="1"/>
  <c r="D4042" i="1"/>
  <c r="E4042" i="1"/>
  <c r="C4043" i="1"/>
  <c r="D4043" i="1"/>
  <c r="E4043" i="1"/>
  <c r="C4044" i="1"/>
  <c r="D4044" i="1"/>
  <c r="E4044" i="1"/>
  <c r="C4045" i="1"/>
  <c r="D4045" i="1"/>
  <c r="E4045" i="1"/>
  <c r="C4046" i="1"/>
  <c r="D4046" i="1"/>
  <c r="E4046" i="1"/>
  <c r="C4047" i="1"/>
  <c r="D4047" i="1"/>
  <c r="E4047" i="1"/>
  <c r="C4048" i="1"/>
  <c r="D4048" i="1"/>
  <c r="E4048" i="1"/>
  <c r="C4049" i="1"/>
  <c r="D4049" i="1"/>
  <c r="E4049" i="1"/>
  <c r="C4050" i="1"/>
  <c r="D4050" i="1"/>
  <c r="E4050" i="1"/>
  <c r="C4051" i="1"/>
  <c r="D4051" i="1"/>
  <c r="E4051" i="1"/>
  <c r="C4052" i="1"/>
  <c r="D4052" i="1"/>
  <c r="E4052" i="1"/>
  <c r="C4053" i="1"/>
  <c r="D4053" i="1"/>
  <c r="E4053" i="1"/>
  <c r="C4054" i="1"/>
  <c r="D4054" i="1"/>
  <c r="E4054" i="1"/>
  <c r="C4055" i="1"/>
  <c r="D4055" i="1"/>
  <c r="E4055" i="1"/>
  <c r="C4056" i="1"/>
  <c r="D4056" i="1"/>
  <c r="E4056" i="1"/>
  <c r="C4057" i="1"/>
  <c r="D4057" i="1"/>
  <c r="E4057" i="1"/>
  <c r="C4058" i="1"/>
  <c r="D4058" i="1"/>
  <c r="E4058" i="1"/>
  <c r="C4059" i="1"/>
  <c r="D4059" i="1"/>
  <c r="E4059" i="1"/>
  <c r="C4060" i="1"/>
  <c r="D4060" i="1"/>
  <c r="E4060" i="1"/>
  <c r="C4061" i="1"/>
  <c r="D4061" i="1"/>
  <c r="E4061" i="1"/>
  <c r="C4062" i="1"/>
  <c r="D4062" i="1"/>
  <c r="E4062" i="1"/>
  <c r="C4063" i="1"/>
  <c r="D4063" i="1"/>
  <c r="E4063" i="1"/>
  <c r="C4064" i="1"/>
  <c r="D4064" i="1"/>
  <c r="E4064" i="1"/>
  <c r="C4065" i="1"/>
  <c r="D4065" i="1"/>
  <c r="E4065" i="1"/>
  <c r="C4066" i="1"/>
  <c r="D4066" i="1"/>
  <c r="E4066" i="1"/>
  <c r="C4067" i="1"/>
  <c r="D4067" i="1"/>
  <c r="E4067" i="1"/>
  <c r="C4068" i="1"/>
  <c r="D4068" i="1"/>
  <c r="E4068" i="1"/>
  <c r="C4069" i="1"/>
  <c r="D4069" i="1"/>
  <c r="E4069" i="1"/>
  <c r="C4070" i="1"/>
  <c r="D4070" i="1"/>
  <c r="E4070" i="1"/>
  <c r="C4071" i="1"/>
  <c r="D4071" i="1"/>
  <c r="E4071" i="1"/>
  <c r="C4072" i="1"/>
  <c r="D4072" i="1"/>
  <c r="E4072" i="1"/>
  <c r="C4073" i="1"/>
  <c r="D4073" i="1"/>
  <c r="E4073" i="1"/>
  <c r="C4074" i="1"/>
  <c r="D4074" i="1"/>
  <c r="E4074" i="1"/>
  <c r="C4075" i="1"/>
  <c r="D4075" i="1"/>
  <c r="E4075" i="1"/>
  <c r="C4076" i="1"/>
  <c r="D4076" i="1"/>
  <c r="E4076" i="1"/>
  <c r="C4077" i="1"/>
  <c r="D4077" i="1"/>
  <c r="E4077" i="1"/>
  <c r="C4078" i="1"/>
  <c r="D4078" i="1"/>
  <c r="E4078" i="1"/>
  <c r="C4079" i="1"/>
  <c r="D4079" i="1"/>
  <c r="E4079" i="1"/>
  <c r="C4080" i="1"/>
  <c r="D4080" i="1"/>
  <c r="E4080" i="1"/>
  <c r="C4081" i="1"/>
  <c r="D4081" i="1"/>
  <c r="E4081" i="1"/>
  <c r="C4082" i="1"/>
  <c r="D4082" i="1"/>
  <c r="E4082" i="1"/>
  <c r="C4083" i="1"/>
  <c r="D4083" i="1"/>
  <c r="E4083" i="1"/>
  <c r="C4084" i="1"/>
  <c r="D4084" i="1"/>
  <c r="E4084" i="1"/>
  <c r="C4085" i="1"/>
  <c r="D4085" i="1"/>
  <c r="E4085" i="1"/>
  <c r="C4086" i="1"/>
  <c r="D4086" i="1"/>
  <c r="E4086" i="1"/>
  <c r="C4087" i="1"/>
  <c r="D4087" i="1"/>
  <c r="E4087" i="1"/>
  <c r="C4088" i="1"/>
  <c r="D4088" i="1"/>
  <c r="E4088" i="1"/>
  <c r="C4089" i="1"/>
  <c r="D4089" i="1"/>
  <c r="E4089" i="1"/>
  <c r="C4090" i="1"/>
  <c r="D4090" i="1"/>
  <c r="E4090" i="1"/>
  <c r="C4091" i="1"/>
  <c r="D4091" i="1"/>
  <c r="E4091" i="1"/>
  <c r="C4092" i="1"/>
  <c r="D4092" i="1"/>
  <c r="E4092" i="1"/>
  <c r="C4093" i="1"/>
  <c r="D4093" i="1"/>
  <c r="E4093" i="1"/>
  <c r="C4094" i="1"/>
  <c r="D4094" i="1"/>
  <c r="E4094" i="1"/>
  <c r="C4095" i="1"/>
  <c r="D4095" i="1"/>
  <c r="E4095" i="1"/>
  <c r="C4096" i="1"/>
  <c r="D4096" i="1"/>
  <c r="E4096" i="1"/>
  <c r="C4097" i="1"/>
  <c r="D4097" i="1"/>
  <c r="E4097" i="1"/>
  <c r="C4098" i="1"/>
  <c r="D4098" i="1"/>
  <c r="E4098" i="1"/>
  <c r="C4099" i="1"/>
  <c r="D4099" i="1"/>
  <c r="E4099" i="1"/>
  <c r="C4100" i="1"/>
  <c r="D4100" i="1"/>
  <c r="E4100" i="1"/>
  <c r="C4101" i="1"/>
  <c r="D4101" i="1"/>
  <c r="E4101" i="1"/>
  <c r="C4102" i="1"/>
  <c r="D4102" i="1"/>
  <c r="E4102" i="1"/>
  <c r="C4103" i="1"/>
  <c r="D4103" i="1"/>
  <c r="E4103" i="1"/>
  <c r="C4104" i="1"/>
  <c r="D4104" i="1"/>
  <c r="E4104" i="1"/>
  <c r="C4105" i="1"/>
  <c r="D4105" i="1"/>
  <c r="E4105" i="1"/>
  <c r="C4106" i="1"/>
  <c r="D4106" i="1"/>
  <c r="E4106" i="1"/>
  <c r="C4107" i="1"/>
  <c r="D4107" i="1"/>
  <c r="E4107" i="1"/>
  <c r="C4108" i="1"/>
  <c r="D4108" i="1"/>
  <c r="E4108" i="1"/>
  <c r="C4109" i="1"/>
  <c r="D4109" i="1"/>
  <c r="E4109" i="1"/>
  <c r="C4110" i="1"/>
  <c r="D4110" i="1"/>
  <c r="E4110" i="1"/>
  <c r="C4111" i="1"/>
  <c r="D4111" i="1"/>
  <c r="E4111" i="1"/>
  <c r="C4112" i="1"/>
  <c r="D4112" i="1"/>
  <c r="E4112" i="1"/>
  <c r="C4113" i="1"/>
  <c r="D4113" i="1"/>
  <c r="E4113" i="1"/>
  <c r="C4114" i="1"/>
  <c r="D4114" i="1"/>
  <c r="E4114" i="1"/>
  <c r="C4115" i="1"/>
  <c r="D4115" i="1"/>
  <c r="E4115" i="1"/>
  <c r="C4116" i="1"/>
  <c r="D4116" i="1"/>
  <c r="E4116" i="1"/>
  <c r="C4117" i="1"/>
  <c r="D4117" i="1"/>
  <c r="E4117" i="1"/>
  <c r="C4118" i="1"/>
  <c r="D4118" i="1"/>
  <c r="E4118" i="1"/>
  <c r="C4119" i="1"/>
  <c r="D4119" i="1"/>
  <c r="E4119" i="1"/>
  <c r="C4120" i="1"/>
  <c r="D4120" i="1"/>
  <c r="E4120" i="1"/>
  <c r="C4121" i="1"/>
  <c r="D4121" i="1"/>
  <c r="E4121" i="1"/>
  <c r="C4122" i="1"/>
  <c r="D4122" i="1"/>
  <c r="E4122" i="1"/>
  <c r="C4123" i="1"/>
  <c r="D4123" i="1"/>
  <c r="E4123" i="1"/>
  <c r="C4124" i="1"/>
  <c r="D4124" i="1"/>
  <c r="E4124" i="1"/>
  <c r="C4125" i="1"/>
  <c r="D4125" i="1"/>
  <c r="E4125" i="1"/>
  <c r="C4126" i="1"/>
  <c r="D4126" i="1"/>
  <c r="E4126" i="1"/>
  <c r="C4127" i="1"/>
  <c r="D4127" i="1"/>
  <c r="E4127" i="1"/>
  <c r="C4128" i="1"/>
  <c r="D4128" i="1"/>
  <c r="E4128" i="1"/>
  <c r="C4129" i="1"/>
  <c r="D4129" i="1"/>
  <c r="E4129" i="1"/>
  <c r="C4130" i="1"/>
  <c r="D4130" i="1"/>
  <c r="E4130" i="1"/>
  <c r="C4131" i="1"/>
  <c r="D4131" i="1"/>
  <c r="E4131" i="1"/>
  <c r="C4132" i="1"/>
  <c r="D4132" i="1"/>
  <c r="E4132" i="1"/>
  <c r="C4133" i="1"/>
  <c r="D4133" i="1"/>
  <c r="E4133" i="1"/>
  <c r="C4134" i="1"/>
  <c r="D4134" i="1"/>
  <c r="E4134" i="1"/>
  <c r="C4135" i="1"/>
  <c r="D4135" i="1"/>
  <c r="E4135" i="1"/>
  <c r="C4136" i="1"/>
  <c r="D4136" i="1"/>
  <c r="E4136" i="1"/>
  <c r="C4137" i="1"/>
  <c r="D4137" i="1"/>
  <c r="E4137" i="1"/>
  <c r="C4138" i="1"/>
  <c r="D4138" i="1"/>
  <c r="E4138" i="1"/>
  <c r="C4139" i="1"/>
  <c r="D4139" i="1"/>
  <c r="E4139" i="1"/>
  <c r="C4140" i="1"/>
  <c r="D4140" i="1"/>
  <c r="E4140" i="1"/>
  <c r="C4141" i="1"/>
  <c r="D4141" i="1"/>
  <c r="E4141" i="1"/>
  <c r="C4142" i="1"/>
  <c r="D4142" i="1"/>
  <c r="E4142" i="1"/>
  <c r="C4143" i="1"/>
  <c r="D4143" i="1"/>
  <c r="E4143" i="1"/>
  <c r="C4144" i="1"/>
  <c r="D4144" i="1"/>
  <c r="E4144" i="1"/>
  <c r="C4145" i="1"/>
  <c r="D4145" i="1"/>
  <c r="E4145" i="1"/>
  <c r="C4146" i="1"/>
  <c r="D4146" i="1"/>
  <c r="E4146" i="1"/>
  <c r="C4147" i="1"/>
  <c r="D4147" i="1"/>
  <c r="E4147" i="1"/>
  <c r="C4148" i="1"/>
  <c r="D4148" i="1"/>
  <c r="E4148" i="1"/>
  <c r="C4149" i="1"/>
  <c r="D4149" i="1"/>
  <c r="E4149" i="1"/>
  <c r="C4150" i="1"/>
  <c r="D4150" i="1"/>
  <c r="E4150" i="1"/>
  <c r="C4151" i="1"/>
  <c r="D4151" i="1"/>
  <c r="E4151" i="1"/>
  <c r="C4152" i="1"/>
  <c r="D4152" i="1"/>
  <c r="E4152" i="1"/>
  <c r="C4153" i="1"/>
  <c r="D4153" i="1"/>
  <c r="E4153" i="1"/>
  <c r="C4154" i="1"/>
  <c r="D4154" i="1"/>
  <c r="E4154" i="1"/>
  <c r="C4155" i="1"/>
  <c r="D4155" i="1"/>
  <c r="E4155" i="1"/>
  <c r="C4156" i="1"/>
  <c r="D4156" i="1"/>
  <c r="E4156" i="1"/>
  <c r="C4157" i="1"/>
  <c r="D4157" i="1"/>
  <c r="E4157" i="1"/>
  <c r="C4158" i="1"/>
  <c r="D4158" i="1"/>
  <c r="E4158" i="1"/>
  <c r="C4159" i="1"/>
  <c r="D4159" i="1"/>
  <c r="E4159" i="1"/>
  <c r="C4160" i="1"/>
  <c r="D4160" i="1"/>
  <c r="E4160" i="1"/>
  <c r="C4161" i="1"/>
  <c r="D4161" i="1"/>
  <c r="E4161" i="1"/>
  <c r="C4162" i="1"/>
  <c r="D4162" i="1"/>
  <c r="E4162" i="1"/>
  <c r="C4163" i="1"/>
  <c r="D4163" i="1"/>
  <c r="E4163" i="1"/>
  <c r="C4164" i="1"/>
  <c r="D4164" i="1"/>
  <c r="E4164" i="1"/>
  <c r="C4165" i="1"/>
  <c r="D4165" i="1"/>
  <c r="E4165" i="1"/>
  <c r="C4166" i="1"/>
  <c r="D4166" i="1"/>
  <c r="E4166" i="1"/>
  <c r="C4167" i="1"/>
  <c r="D4167" i="1"/>
  <c r="E4167" i="1"/>
  <c r="C4168" i="1"/>
  <c r="D4168" i="1"/>
  <c r="E4168" i="1"/>
  <c r="C4169" i="1"/>
  <c r="D4169" i="1"/>
  <c r="E4169" i="1"/>
  <c r="C4170" i="1"/>
  <c r="D4170" i="1"/>
  <c r="E4170" i="1"/>
  <c r="C4171" i="1"/>
  <c r="D4171" i="1"/>
  <c r="E4171" i="1"/>
  <c r="C4172" i="1"/>
  <c r="D4172" i="1"/>
  <c r="E4172" i="1"/>
  <c r="C4173" i="1"/>
  <c r="D4173" i="1"/>
  <c r="E4173" i="1"/>
  <c r="C4174" i="1"/>
  <c r="D4174" i="1"/>
  <c r="E4174" i="1"/>
  <c r="C4175" i="1"/>
  <c r="D4175" i="1"/>
  <c r="E4175" i="1"/>
  <c r="C4176" i="1"/>
  <c r="D4176" i="1"/>
  <c r="E4176" i="1"/>
  <c r="C4177" i="1"/>
  <c r="D4177" i="1"/>
  <c r="E4177" i="1"/>
  <c r="C4178" i="1"/>
  <c r="D4178" i="1"/>
  <c r="E4178" i="1"/>
  <c r="C4179" i="1"/>
  <c r="D4179" i="1"/>
  <c r="E4179" i="1"/>
  <c r="C4180" i="1"/>
  <c r="D4180" i="1"/>
  <c r="E4180" i="1"/>
  <c r="C4181" i="1"/>
  <c r="D4181" i="1"/>
  <c r="E4181" i="1"/>
  <c r="C4182" i="1"/>
  <c r="D4182" i="1"/>
  <c r="E4182" i="1"/>
  <c r="C4183" i="1"/>
  <c r="D4183" i="1"/>
  <c r="E4183" i="1"/>
  <c r="C4184" i="1"/>
  <c r="D4184" i="1"/>
  <c r="E4184" i="1"/>
  <c r="C4185" i="1"/>
  <c r="D4185" i="1"/>
  <c r="E4185" i="1"/>
  <c r="C4186" i="1"/>
  <c r="D4186" i="1"/>
  <c r="E4186" i="1"/>
  <c r="C4187" i="1"/>
  <c r="D4187" i="1"/>
  <c r="E4187" i="1"/>
  <c r="C4188" i="1"/>
  <c r="D4188" i="1"/>
  <c r="E4188" i="1"/>
  <c r="C4189" i="1"/>
  <c r="D4189" i="1"/>
  <c r="E4189" i="1"/>
  <c r="C4190" i="1"/>
  <c r="D4190" i="1"/>
  <c r="E4190" i="1"/>
  <c r="C4191" i="1"/>
  <c r="D4191" i="1"/>
  <c r="E4191" i="1"/>
  <c r="C4192" i="1"/>
  <c r="D4192" i="1"/>
  <c r="E4192" i="1"/>
  <c r="C4193" i="1"/>
  <c r="D4193" i="1"/>
  <c r="E4193" i="1"/>
  <c r="C4194" i="1"/>
  <c r="D4194" i="1"/>
  <c r="E4194" i="1"/>
  <c r="C4195" i="1"/>
  <c r="D4195" i="1"/>
  <c r="E4195" i="1"/>
  <c r="C4196" i="1"/>
  <c r="D4196" i="1"/>
  <c r="E4196" i="1"/>
  <c r="C4197" i="1"/>
  <c r="D4197" i="1"/>
  <c r="E4197" i="1"/>
  <c r="C4198" i="1"/>
  <c r="D4198" i="1"/>
  <c r="E4198" i="1"/>
  <c r="C4199" i="1"/>
  <c r="D4199" i="1"/>
  <c r="E4199" i="1"/>
  <c r="C4200" i="1"/>
  <c r="D4200" i="1"/>
  <c r="E4200" i="1"/>
  <c r="C4201" i="1"/>
  <c r="D4201" i="1"/>
  <c r="E4201" i="1"/>
  <c r="C4202" i="1"/>
  <c r="D4202" i="1"/>
  <c r="E4202" i="1"/>
  <c r="C4203" i="1"/>
  <c r="D4203" i="1"/>
  <c r="E4203" i="1"/>
  <c r="C4204" i="1"/>
  <c r="D4204" i="1"/>
  <c r="E4204" i="1"/>
  <c r="C4205" i="1"/>
  <c r="D4205" i="1"/>
  <c r="E4205" i="1"/>
  <c r="C4206" i="1"/>
  <c r="D4206" i="1"/>
  <c r="E4206" i="1"/>
  <c r="C4207" i="1"/>
  <c r="D4207" i="1"/>
  <c r="E4207" i="1"/>
  <c r="C4208" i="1"/>
  <c r="D4208" i="1"/>
  <c r="E4208" i="1"/>
  <c r="C4209" i="1"/>
  <c r="D4209" i="1"/>
  <c r="E4209" i="1"/>
  <c r="C4210" i="1"/>
  <c r="D4210" i="1"/>
  <c r="E4210" i="1"/>
  <c r="C4211" i="1"/>
  <c r="D4211" i="1"/>
  <c r="E4211" i="1"/>
  <c r="C4212" i="1"/>
  <c r="D4212" i="1"/>
  <c r="E4212" i="1"/>
  <c r="C4213" i="1"/>
  <c r="D4213" i="1"/>
  <c r="E4213" i="1"/>
  <c r="C4214" i="1"/>
  <c r="D4214" i="1"/>
  <c r="E4214" i="1"/>
  <c r="C4215" i="1"/>
  <c r="D4215" i="1"/>
  <c r="E4215" i="1"/>
  <c r="C4216" i="1"/>
  <c r="D4216" i="1"/>
  <c r="E4216" i="1"/>
  <c r="C4217" i="1"/>
  <c r="D4217" i="1"/>
  <c r="E4217" i="1"/>
  <c r="C4218" i="1"/>
  <c r="D4218" i="1"/>
  <c r="E4218" i="1"/>
  <c r="C4219" i="1"/>
  <c r="D4219" i="1"/>
  <c r="E4219" i="1"/>
  <c r="C4220" i="1"/>
  <c r="D4220" i="1"/>
  <c r="E4220" i="1"/>
  <c r="C4221" i="1"/>
  <c r="D4221" i="1"/>
  <c r="E4221" i="1"/>
  <c r="C4222" i="1"/>
  <c r="D4222" i="1"/>
  <c r="E4222" i="1"/>
  <c r="C4223" i="1"/>
  <c r="D4223" i="1"/>
  <c r="E4223" i="1"/>
  <c r="C4224" i="1"/>
  <c r="D4224" i="1"/>
  <c r="E4224" i="1"/>
  <c r="C4225" i="1"/>
  <c r="D4225" i="1"/>
  <c r="E4225" i="1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29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154" i="23"/>
  <c r="G155" i="23"/>
  <c r="G156" i="23"/>
  <c r="G157" i="23"/>
  <c r="G158" i="23"/>
  <c r="G159" i="23"/>
  <c r="G160" i="23"/>
  <c r="G161" i="23"/>
  <c r="G162" i="23"/>
  <c r="G163" i="23"/>
  <c r="G164" i="23"/>
  <c r="G165" i="23"/>
  <c r="G166" i="23"/>
  <c r="G167" i="23"/>
  <c r="G168" i="23"/>
  <c r="G169" i="23"/>
  <c r="G170" i="23"/>
  <c r="G171" i="23"/>
  <c r="G172" i="23"/>
  <c r="G173" i="23"/>
  <c r="G174" i="23"/>
  <c r="G175" i="23"/>
  <c r="G176" i="23"/>
  <c r="G177" i="23"/>
  <c r="G178" i="23"/>
  <c r="G179" i="23"/>
  <c r="G180" i="23"/>
  <c r="G181" i="23"/>
  <c r="G182" i="23"/>
  <c r="G183" i="23"/>
  <c r="G184" i="23"/>
  <c r="G185" i="23"/>
  <c r="G186" i="23"/>
  <c r="G187" i="23"/>
  <c r="G188" i="23"/>
  <c r="G189" i="23"/>
  <c r="G190" i="23"/>
  <c r="G191" i="23"/>
  <c r="G192" i="23"/>
  <c r="G193" i="23"/>
  <c r="G194" i="23"/>
  <c r="G195" i="23"/>
  <c r="G196" i="23"/>
  <c r="G197" i="23"/>
  <c r="G198" i="23"/>
  <c r="G199" i="23"/>
  <c r="G200" i="23"/>
  <c r="G201" i="23"/>
  <c r="G202" i="23"/>
  <c r="G203" i="23"/>
  <c r="G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39" i="23"/>
  <c r="G240" i="23"/>
  <c r="G241" i="23"/>
  <c r="G242" i="23"/>
  <c r="G243" i="23"/>
  <c r="G244" i="23"/>
  <c r="G245" i="23"/>
  <c r="G246" i="23"/>
  <c r="G247" i="23"/>
  <c r="G248" i="23"/>
  <c r="G249" i="23"/>
  <c r="G250" i="23"/>
  <c r="G251" i="23"/>
  <c r="G252" i="23"/>
  <c r="G253" i="23"/>
  <c r="G254" i="23"/>
  <c r="G255" i="23"/>
  <c r="G256" i="23"/>
  <c r="G257" i="23"/>
  <c r="G258" i="23"/>
  <c r="G259" i="23"/>
  <c r="G260" i="23"/>
  <c r="G261" i="23"/>
  <c r="G262" i="23"/>
  <c r="G263" i="23"/>
  <c r="G264" i="23"/>
  <c r="G265" i="23"/>
  <c r="G266" i="23"/>
  <c r="G267" i="23"/>
  <c r="G268" i="23"/>
  <c r="G269" i="23"/>
  <c r="G270" i="23"/>
  <c r="G271" i="23"/>
  <c r="G272" i="23"/>
  <c r="G273" i="23"/>
  <c r="G274" i="23"/>
  <c r="G275" i="23"/>
  <c r="G276" i="23"/>
  <c r="G277" i="23"/>
  <c r="G278" i="23"/>
  <c r="G279" i="23"/>
  <c r="G280" i="23"/>
  <c r="G281" i="23"/>
  <c r="G282" i="23"/>
  <c r="G283" i="23"/>
  <c r="G284" i="23"/>
  <c r="G285" i="23"/>
  <c r="G286" i="23"/>
  <c r="G287" i="23"/>
  <c r="G288" i="23"/>
  <c r="G289" i="23"/>
  <c r="G290" i="23"/>
  <c r="G291" i="23"/>
  <c r="G292" i="23"/>
  <c r="G293" i="23"/>
  <c r="G294" i="23"/>
  <c r="G295" i="23"/>
  <c r="G296" i="23"/>
  <c r="G297" i="23"/>
  <c r="G298" i="23"/>
  <c r="G299" i="23"/>
  <c r="G300" i="23"/>
  <c r="G301" i="23"/>
  <c r="G302" i="23"/>
  <c r="G303" i="23"/>
  <c r="E3866" i="1" s="1"/>
  <c r="G304" i="23"/>
  <c r="G305" i="23"/>
  <c r="G306" i="23"/>
  <c r="G307" i="23"/>
  <c r="G308" i="23"/>
  <c r="G309" i="23"/>
  <c r="G310" i="23"/>
  <c r="G311" i="23"/>
  <c r="G312" i="23"/>
  <c r="G313" i="23"/>
  <c r="G314" i="23"/>
  <c r="G315" i="23"/>
  <c r="G316" i="23"/>
  <c r="G317" i="23"/>
  <c r="G318" i="23"/>
  <c r="G319" i="23"/>
  <c r="G320" i="23"/>
  <c r="G321" i="23"/>
  <c r="G322" i="23"/>
  <c r="G323" i="23"/>
  <c r="G324" i="23"/>
  <c r="G325" i="23"/>
  <c r="G326" i="23"/>
  <c r="G327" i="23"/>
  <c r="G328" i="23"/>
  <c r="G329" i="23"/>
  <c r="G330" i="23"/>
  <c r="G331" i="23"/>
  <c r="G332" i="23"/>
  <c r="G333" i="23"/>
  <c r="G334" i="23"/>
  <c r="G335" i="23"/>
  <c r="G336" i="23"/>
  <c r="G337" i="23"/>
  <c r="G338" i="23"/>
  <c r="G339" i="23"/>
  <c r="G340" i="23"/>
  <c r="G341" i="23"/>
  <c r="G342" i="23"/>
  <c r="G343" i="23"/>
  <c r="G344" i="23"/>
  <c r="G345" i="23"/>
  <c r="G346" i="23"/>
  <c r="G347" i="23"/>
  <c r="G348" i="23"/>
  <c r="G349" i="23"/>
  <c r="G350" i="23"/>
  <c r="G351" i="23"/>
  <c r="G352" i="23"/>
  <c r="G353" i="23"/>
  <c r="G354" i="23"/>
  <c r="G355" i="23"/>
  <c r="G356" i="23"/>
  <c r="G357" i="23"/>
  <c r="G358" i="23"/>
  <c r="G359" i="23"/>
  <c r="G360" i="23"/>
  <c r="G361" i="23"/>
  <c r="G362" i="23"/>
  <c r="G363" i="23"/>
  <c r="G364" i="23"/>
  <c r="G365" i="23"/>
  <c r="G366" i="23"/>
  <c r="G367" i="23"/>
  <c r="G368" i="23"/>
  <c r="G369" i="23"/>
  <c r="E3932" i="1" s="1"/>
  <c r="G370" i="23"/>
  <c r="G371" i="23"/>
  <c r="G372" i="23"/>
  <c r="G373" i="23"/>
  <c r="G374" i="23"/>
  <c r="G375" i="23"/>
  <c r="G376" i="23"/>
  <c r="G377" i="23"/>
  <c r="G378" i="23"/>
  <c r="G379" i="23"/>
  <c r="G380" i="23"/>
  <c r="G381" i="23"/>
  <c r="G382" i="23"/>
  <c r="G383" i="23"/>
  <c r="G384" i="23"/>
  <c r="G385" i="23"/>
  <c r="G386" i="23"/>
  <c r="G387" i="23"/>
  <c r="G388" i="23"/>
  <c r="G389" i="23"/>
  <c r="G390" i="23"/>
  <c r="G391" i="23"/>
  <c r="G392" i="23"/>
  <c r="G393" i="23"/>
  <c r="G394" i="23"/>
  <c r="G395" i="23"/>
  <c r="G396" i="23"/>
  <c r="G397" i="23"/>
  <c r="G398" i="23"/>
  <c r="G399" i="23"/>
  <c r="G400" i="23"/>
  <c r="G401" i="23"/>
  <c r="G402" i="23"/>
  <c r="G403" i="23"/>
  <c r="G404" i="23"/>
  <c r="G405" i="23"/>
  <c r="G406" i="23"/>
  <c r="G407" i="23"/>
  <c r="G408" i="23"/>
  <c r="G409" i="23"/>
  <c r="G410" i="23"/>
  <c r="G411" i="23"/>
  <c r="G412" i="23"/>
  <c r="G413" i="23"/>
  <c r="G414" i="23"/>
  <c r="G415" i="23"/>
  <c r="G416" i="23"/>
  <c r="G417" i="23"/>
  <c r="G418" i="23"/>
  <c r="G419" i="23"/>
  <c r="G420" i="23"/>
  <c r="G421" i="23"/>
  <c r="G422" i="23"/>
  <c r="G423" i="23"/>
  <c r="G424" i="23"/>
  <c r="G425" i="23"/>
  <c r="G426" i="23"/>
  <c r="G427" i="23"/>
  <c r="G428" i="23"/>
  <c r="G429" i="23"/>
  <c r="G430" i="23"/>
  <c r="G431" i="23"/>
  <c r="G432" i="23"/>
  <c r="G433" i="23"/>
  <c r="G434" i="23"/>
  <c r="G435" i="23"/>
  <c r="G436" i="23"/>
  <c r="G437" i="23"/>
  <c r="G438" i="23"/>
  <c r="G439" i="23"/>
  <c r="G440" i="23"/>
  <c r="G441" i="23"/>
  <c r="G442" i="23"/>
  <c r="G443" i="23"/>
  <c r="G444" i="23"/>
  <c r="G445" i="23"/>
  <c r="G446" i="23"/>
  <c r="G447" i="23"/>
  <c r="G448" i="23"/>
  <c r="G449" i="23"/>
  <c r="G450" i="23"/>
  <c r="G451" i="23"/>
  <c r="G452" i="23"/>
  <c r="G453" i="23"/>
  <c r="G454" i="23"/>
  <c r="G455" i="23"/>
  <c r="G456" i="23"/>
  <c r="G457" i="23"/>
  <c r="G458" i="23"/>
  <c r="G459" i="23"/>
  <c r="G460" i="23"/>
  <c r="G461" i="23"/>
  <c r="G462" i="23"/>
  <c r="G463" i="23"/>
  <c r="G464" i="23"/>
  <c r="G465" i="23"/>
  <c r="G466" i="23"/>
  <c r="G467" i="23"/>
  <c r="G468" i="23"/>
  <c r="G469" i="23"/>
  <c r="G470" i="23"/>
  <c r="G471" i="23"/>
  <c r="G472" i="23"/>
  <c r="G473" i="23"/>
  <c r="G474" i="23"/>
  <c r="G475" i="23"/>
  <c r="G476" i="23"/>
  <c r="G477" i="23"/>
  <c r="G478" i="23"/>
  <c r="G479" i="23"/>
  <c r="G480" i="23"/>
  <c r="G481" i="23"/>
  <c r="G482" i="23"/>
  <c r="G483" i="23"/>
  <c r="G484" i="23"/>
  <c r="G485" i="23"/>
  <c r="G486" i="23"/>
  <c r="G487" i="23"/>
  <c r="G488" i="23"/>
  <c r="G489" i="23"/>
  <c r="G490" i="23"/>
  <c r="G491" i="23"/>
  <c r="G492" i="23"/>
  <c r="G493" i="23"/>
  <c r="G494" i="23"/>
  <c r="G495" i="23"/>
  <c r="G496" i="23"/>
  <c r="G497" i="23"/>
  <c r="G498" i="23"/>
  <c r="G499" i="23"/>
  <c r="G500" i="23"/>
  <c r="G501" i="23"/>
  <c r="G502" i="23"/>
  <c r="G503" i="23"/>
  <c r="G504" i="23"/>
  <c r="G505" i="23"/>
  <c r="G506" i="23"/>
  <c r="G507" i="23"/>
  <c r="G508" i="23"/>
  <c r="G509" i="23"/>
  <c r="G510" i="23"/>
  <c r="G511" i="23"/>
  <c r="G512" i="23"/>
  <c r="G513" i="23"/>
  <c r="G514" i="23"/>
  <c r="G515" i="23"/>
  <c r="G516" i="23"/>
  <c r="G517" i="23"/>
  <c r="G518" i="23"/>
  <c r="G519" i="23"/>
  <c r="G520" i="23"/>
  <c r="G521" i="23"/>
  <c r="G522" i="23"/>
  <c r="G523" i="23"/>
  <c r="G524" i="23"/>
  <c r="G525" i="23"/>
  <c r="G526" i="23"/>
  <c r="G527" i="23"/>
  <c r="G528" i="23"/>
  <c r="G529" i="23"/>
  <c r="G530" i="23"/>
  <c r="G531" i="23"/>
  <c r="G532" i="23"/>
  <c r="G533" i="23"/>
  <c r="G534" i="23"/>
  <c r="G535" i="23"/>
  <c r="G536" i="23"/>
  <c r="G537" i="23"/>
  <c r="G538" i="23"/>
  <c r="G539" i="23"/>
  <c r="G540" i="23"/>
  <c r="G541" i="23"/>
  <c r="G542" i="23"/>
  <c r="G543" i="23"/>
  <c r="G544" i="23"/>
  <c r="G545" i="23"/>
  <c r="G546" i="23"/>
  <c r="G547" i="23"/>
  <c r="G548" i="23"/>
  <c r="G549" i="23"/>
  <c r="G550" i="23"/>
  <c r="G551" i="23"/>
  <c r="G552" i="23"/>
  <c r="G553" i="23"/>
  <c r="G554" i="23"/>
  <c r="G555" i="23"/>
  <c r="G556" i="23"/>
  <c r="G557" i="23"/>
  <c r="G558" i="23"/>
  <c r="G559" i="23"/>
  <c r="G560" i="23"/>
  <c r="G561" i="23"/>
  <c r="G562" i="23"/>
  <c r="G563" i="23"/>
  <c r="G564" i="23"/>
  <c r="G565" i="23"/>
  <c r="G566" i="23"/>
  <c r="G567" i="23"/>
  <c r="G568" i="23"/>
  <c r="G569" i="23"/>
  <c r="G570" i="23"/>
  <c r="G571" i="23"/>
  <c r="G572" i="23"/>
  <c r="G573" i="23"/>
  <c r="G574" i="23"/>
  <c r="G575" i="23"/>
  <c r="G576" i="23"/>
  <c r="G577" i="23"/>
  <c r="G578" i="23"/>
  <c r="G579" i="23"/>
  <c r="G580" i="23"/>
  <c r="G581" i="23"/>
  <c r="G582" i="23"/>
  <c r="G583" i="23"/>
  <c r="G584" i="23"/>
  <c r="G585" i="23"/>
  <c r="G586" i="23"/>
  <c r="G587" i="23"/>
  <c r="G588" i="23"/>
  <c r="G589" i="23"/>
  <c r="G590" i="23"/>
  <c r="G591" i="23"/>
  <c r="G592" i="23"/>
  <c r="G593" i="23"/>
  <c r="G594" i="23"/>
  <c r="G595" i="23"/>
  <c r="G596" i="23"/>
  <c r="G597" i="23"/>
  <c r="G598" i="23"/>
  <c r="G599" i="23"/>
  <c r="G600" i="23"/>
  <c r="G601" i="23"/>
  <c r="G602" i="23"/>
  <c r="G603" i="23"/>
  <c r="G604" i="23"/>
  <c r="G605" i="23"/>
  <c r="G606" i="23"/>
  <c r="G607" i="23"/>
  <c r="G608" i="23"/>
  <c r="G609" i="23"/>
  <c r="G610" i="23"/>
  <c r="G611" i="23"/>
  <c r="G612" i="23"/>
  <c r="G613" i="23"/>
  <c r="G614" i="23"/>
  <c r="G615" i="23"/>
  <c r="G616" i="23"/>
  <c r="G617" i="23"/>
  <c r="G618" i="23"/>
  <c r="G619" i="23"/>
  <c r="G620" i="23"/>
  <c r="G621" i="23"/>
  <c r="G622" i="23"/>
  <c r="G623" i="23"/>
  <c r="G624" i="23"/>
  <c r="G625" i="23"/>
  <c r="G626" i="23"/>
  <c r="G627" i="23"/>
  <c r="G628" i="23"/>
  <c r="G629" i="23"/>
  <c r="G630" i="23"/>
  <c r="G631" i="23"/>
  <c r="G632" i="23"/>
  <c r="G633" i="23"/>
  <c r="G634" i="23"/>
  <c r="G635" i="23"/>
  <c r="G636" i="23"/>
  <c r="G637" i="23"/>
  <c r="G638" i="23"/>
  <c r="G639" i="23"/>
  <c r="G640" i="23"/>
  <c r="G641" i="23"/>
  <c r="G642" i="23"/>
  <c r="G643" i="23"/>
  <c r="G644" i="23"/>
  <c r="G645" i="23"/>
  <c r="G646" i="23"/>
  <c r="G647" i="23"/>
  <c r="G648" i="23"/>
  <c r="G649" i="23"/>
  <c r="G650" i="23"/>
  <c r="G651" i="23"/>
  <c r="G652" i="23"/>
  <c r="G653" i="23"/>
  <c r="G654" i="23"/>
  <c r="G655" i="23"/>
  <c r="G656" i="23"/>
  <c r="G657" i="23"/>
  <c r="G658" i="23"/>
  <c r="G659" i="23"/>
  <c r="G660" i="23"/>
  <c r="G661" i="23"/>
  <c r="G662" i="23"/>
  <c r="G2" i="23"/>
  <c r="F3" i="23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5" i="23"/>
  <c r="F76" i="23"/>
  <c r="F77" i="23"/>
  <c r="F78" i="23"/>
  <c r="F79" i="23"/>
  <c r="F80" i="23"/>
  <c r="F81" i="23"/>
  <c r="F82" i="23"/>
  <c r="F83" i="23"/>
  <c r="F84" i="23"/>
  <c r="F85" i="23"/>
  <c r="F86" i="23"/>
  <c r="F87" i="23"/>
  <c r="F88" i="23"/>
  <c r="F89" i="23"/>
  <c r="F90" i="23"/>
  <c r="F91" i="23"/>
  <c r="F92" i="23"/>
  <c r="F93" i="23"/>
  <c r="F94" i="23"/>
  <c r="F95" i="23"/>
  <c r="F96" i="23"/>
  <c r="F97" i="23"/>
  <c r="F98" i="23"/>
  <c r="F99" i="23"/>
  <c r="F100" i="23"/>
  <c r="F101" i="23"/>
  <c r="F102" i="23"/>
  <c r="F103" i="23"/>
  <c r="F104" i="23"/>
  <c r="F105" i="23"/>
  <c r="F106" i="23"/>
  <c r="F107" i="23"/>
  <c r="F108" i="23"/>
  <c r="F109" i="23"/>
  <c r="F110" i="23"/>
  <c r="F111" i="23"/>
  <c r="F112" i="23"/>
  <c r="F113" i="23"/>
  <c r="F114" i="23"/>
  <c r="F115" i="23"/>
  <c r="F116" i="23"/>
  <c r="F117" i="23"/>
  <c r="F118" i="23"/>
  <c r="F119" i="23"/>
  <c r="F120" i="23"/>
  <c r="F121" i="23"/>
  <c r="F122" i="23"/>
  <c r="F123" i="23"/>
  <c r="F124" i="23"/>
  <c r="F125" i="23"/>
  <c r="F126" i="23"/>
  <c r="F127" i="23"/>
  <c r="F128" i="23"/>
  <c r="F129" i="23"/>
  <c r="F130" i="23"/>
  <c r="F131" i="23"/>
  <c r="F132" i="23"/>
  <c r="F133" i="23"/>
  <c r="F134" i="23"/>
  <c r="F135" i="23"/>
  <c r="F136" i="23"/>
  <c r="F137" i="23"/>
  <c r="F138" i="23"/>
  <c r="F139" i="23"/>
  <c r="F140" i="23"/>
  <c r="F141" i="23"/>
  <c r="F142" i="23"/>
  <c r="F143" i="23"/>
  <c r="F144" i="23"/>
  <c r="F145" i="23"/>
  <c r="F146" i="23"/>
  <c r="F147" i="23"/>
  <c r="F148" i="23"/>
  <c r="F149" i="23"/>
  <c r="F150" i="23"/>
  <c r="F151" i="23"/>
  <c r="F152" i="23"/>
  <c r="F153" i="23"/>
  <c r="F154" i="23"/>
  <c r="F155" i="23"/>
  <c r="F156" i="23"/>
  <c r="F157" i="23"/>
  <c r="F158" i="23"/>
  <c r="F159" i="23"/>
  <c r="F160" i="23"/>
  <c r="F161" i="23"/>
  <c r="F162" i="23"/>
  <c r="F163" i="23"/>
  <c r="F164" i="23"/>
  <c r="F165" i="23"/>
  <c r="F166" i="23"/>
  <c r="F167" i="23"/>
  <c r="F168" i="23"/>
  <c r="F169" i="23"/>
  <c r="F170" i="23"/>
  <c r="F171" i="23"/>
  <c r="F172" i="23"/>
  <c r="F173" i="23"/>
  <c r="F174" i="23"/>
  <c r="F175" i="23"/>
  <c r="F176" i="23"/>
  <c r="F177" i="23"/>
  <c r="F178" i="23"/>
  <c r="F179" i="23"/>
  <c r="F180" i="23"/>
  <c r="F181" i="23"/>
  <c r="F182" i="23"/>
  <c r="F183" i="23"/>
  <c r="F184" i="23"/>
  <c r="F185" i="23"/>
  <c r="F186" i="23"/>
  <c r="F187" i="23"/>
  <c r="F188" i="23"/>
  <c r="F189" i="23"/>
  <c r="F190" i="23"/>
  <c r="F191" i="23"/>
  <c r="F192" i="23"/>
  <c r="F193" i="23"/>
  <c r="F194" i="23"/>
  <c r="F195" i="23"/>
  <c r="F196" i="23"/>
  <c r="F197" i="23"/>
  <c r="F198" i="23"/>
  <c r="F199" i="23"/>
  <c r="F200" i="23"/>
  <c r="F201" i="23"/>
  <c r="F202" i="23"/>
  <c r="F203" i="23"/>
  <c r="F204" i="23"/>
  <c r="F205" i="23"/>
  <c r="F206" i="23"/>
  <c r="F207" i="23"/>
  <c r="F208" i="23"/>
  <c r="F209" i="23"/>
  <c r="F210" i="23"/>
  <c r="F211" i="23"/>
  <c r="F212" i="23"/>
  <c r="F213" i="23"/>
  <c r="F214" i="23"/>
  <c r="F215" i="23"/>
  <c r="F216" i="23"/>
  <c r="F217" i="23"/>
  <c r="F218" i="23"/>
  <c r="F219" i="23"/>
  <c r="F220" i="23"/>
  <c r="F221" i="23"/>
  <c r="F222" i="23"/>
  <c r="F223" i="23"/>
  <c r="F224" i="23"/>
  <c r="F225" i="23"/>
  <c r="F226" i="23"/>
  <c r="F227" i="23"/>
  <c r="F228" i="23"/>
  <c r="F229" i="23"/>
  <c r="F230" i="23"/>
  <c r="F231" i="23"/>
  <c r="F232" i="23"/>
  <c r="F233" i="23"/>
  <c r="F234" i="23"/>
  <c r="F235" i="23"/>
  <c r="F236" i="23"/>
  <c r="F237" i="23"/>
  <c r="F238" i="23"/>
  <c r="F239" i="23"/>
  <c r="F240" i="23"/>
  <c r="F241" i="23"/>
  <c r="F242" i="23"/>
  <c r="F243" i="23"/>
  <c r="F244" i="23"/>
  <c r="F245" i="23"/>
  <c r="F246" i="23"/>
  <c r="F247" i="23"/>
  <c r="F248" i="23"/>
  <c r="F249" i="23"/>
  <c r="F250" i="23"/>
  <c r="F251" i="23"/>
  <c r="F252" i="23"/>
  <c r="F253" i="23"/>
  <c r="F254" i="23"/>
  <c r="F255" i="23"/>
  <c r="F256" i="23"/>
  <c r="F257" i="23"/>
  <c r="F258" i="23"/>
  <c r="F259" i="23"/>
  <c r="F260" i="23"/>
  <c r="F261" i="23"/>
  <c r="F262" i="23"/>
  <c r="F263" i="23"/>
  <c r="F264" i="23"/>
  <c r="F265" i="23"/>
  <c r="F266" i="23"/>
  <c r="F267" i="23"/>
  <c r="F268" i="23"/>
  <c r="F269" i="23"/>
  <c r="F270" i="23"/>
  <c r="F271" i="23"/>
  <c r="F272" i="23"/>
  <c r="F273" i="23"/>
  <c r="F274" i="23"/>
  <c r="F275" i="23"/>
  <c r="F276" i="23"/>
  <c r="F277" i="23"/>
  <c r="F278" i="23"/>
  <c r="F279" i="23"/>
  <c r="F280" i="23"/>
  <c r="F281" i="23"/>
  <c r="F282" i="23"/>
  <c r="F283" i="23"/>
  <c r="F284" i="23"/>
  <c r="F285" i="23"/>
  <c r="F286" i="23"/>
  <c r="F287" i="23"/>
  <c r="F288" i="23"/>
  <c r="F289" i="23"/>
  <c r="F290" i="23"/>
  <c r="F291" i="23"/>
  <c r="F292" i="23"/>
  <c r="F293" i="23"/>
  <c r="F294" i="23"/>
  <c r="F295" i="23"/>
  <c r="F296" i="23"/>
  <c r="F297" i="23"/>
  <c r="F298" i="23"/>
  <c r="F299" i="23"/>
  <c r="F300" i="23"/>
  <c r="F301" i="23"/>
  <c r="F302" i="23"/>
  <c r="F303" i="23"/>
  <c r="F304" i="23"/>
  <c r="F305" i="23"/>
  <c r="F306" i="23"/>
  <c r="F307" i="23"/>
  <c r="F308" i="23"/>
  <c r="F309" i="23"/>
  <c r="F310" i="23"/>
  <c r="F311" i="23"/>
  <c r="F312" i="23"/>
  <c r="F313" i="23"/>
  <c r="F314" i="23"/>
  <c r="F315" i="23"/>
  <c r="F316" i="23"/>
  <c r="F317" i="23"/>
  <c r="F318" i="23"/>
  <c r="F319" i="23"/>
  <c r="F320" i="23"/>
  <c r="F321" i="23"/>
  <c r="F322" i="23"/>
  <c r="F323" i="23"/>
  <c r="F324" i="23"/>
  <c r="F325" i="23"/>
  <c r="F326" i="23"/>
  <c r="F327" i="23"/>
  <c r="F328" i="23"/>
  <c r="F329" i="23"/>
  <c r="F330" i="23"/>
  <c r="F331" i="23"/>
  <c r="F332" i="23"/>
  <c r="F333" i="23"/>
  <c r="F334" i="23"/>
  <c r="F335" i="23"/>
  <c r="F336" i="23"/>
  <c r="F337" i="23"/>
  <c r="F338" i="23"/>
  <c r="F339" i="23"/>
  <c r="F340" i="23"/>
  <c r="F341" i="23"/>
  <c r="F342" i="23"/>
  <c r="F343" i="23"/>
  <c r="F344" i="23"/>
  <c r="F345" i="23"/>
  <c r="F346" i="23"/>
  <c r="F347" i="23"/>
  <c r="F348" i="23"/>
  <c r="F349" i="23"/>
  <c r="F350" i="23"/>
  <c r="F351" i="23"/>
  <c r="F352" i="23"/>
  <c r="F353" i="23"/>
  <c r="F354" i="23"/>
  <c r="F355" i="23"/>
  <c r="F356" i="23"/>
  <c r="F357" i="23"/>
  <c r="F358" i="23"/>
  <c r="F359" i="23"/>
  <c r="F360" i="23"/>
  <c r="F361" i="23"/>
  <c r="F362" i="23"/>
  <c r="F363" i="23"/>
  <c r="F364" i="23"/>
  <c r="F365" i="23"/>
  <c r="F366" i="23"/>
  <c r="F367" i="23"/>
  <c r="F368" i="23"/>
  <c r="F369" i="23"/>
  <c r="F370" i="23"/>
  <c r="F371" i="23"/>
  <c r="F372" i="23"/>
  <c r="F373" i="23"/>
  <c r="F374" i="23"/>
  <c r="F375" i="23"/>
  <c r="F376" i="23"/>
  <c r="F377" i="23"/>
  <c r="F378" i="23"/>
  <c r="F379" i="23"/>
  <c r="F380" i="23"/>
  <c r="F381" i="23"/>
  <c r="F382" i="23"/>
  <c r="F383" i="23"/>
  <c r="F384" i="23"/>
  <c r="F385" i="23"/>
  <c r="F386" i="23"/>
  <c r="F387" i="23"/>
  <c r="F388" i="23"/>
  <c r="F389" i="23"/>
  <c r="F390" i="23"/>
  <c r="F391" i="23"/>
  <c r="F392" i="23"/>
  <c r="F393" i="23"/>
  <c r="F394" i="23"/>
  <c r="F395" i="23"/>
  <c r="F396" i="23"/>
  <c r="F397" i="23"/>
  <c r="F398" i="23"/>
  <c r="F399" i="23"/>
  <c r="F400" i="23"/>
  <c r="F401" i="23"/>
  <c r="F402" i="23"/>
  <c r="F403" i="23"/>
  <c r="F404" i="23"/>
  <c r="F405" i="23"/>
  <c r="F406" i="23"/>
  <c r="F407" i="23"/>
  <c r="F408" i="23"/>
  <c r="F409" i="23"/>
  <c r="F410" i="23"/>
  <c r="F411" i="23"/>
  <c r="F412" i="23"/>
  <c r="F413" i="23"/>
  <c r="F414" i="23"/>
  <c r="F415" i="23"/>
  <c r="F416" i="23"/>
  <c r="F417" i="23"/>
  <c r="F418" i="23"/>
  <c r="F419" i="23"/>
  <c r="F420" i="23"/>
  <c r="F421" i="23"/>
  <c r="F422" i="23"/>
  <c r="F423" i="23"/>
  <c r="F424" i="23"/>
  <c r="F425" i="23"/>
  <c r="F426" i="23"/>
  <c r="F427" i="23"/>
  <c r="F428" i="23"/>
  <c r="F429" i="23"/>
  <c r="F430" i="23"/>
  <c r="F431" i="23"/>
  <c r="F432" i="23"/>
  <c r="F433" i="23"/>
  <c r="F434" i="23"/>
  <c r="F435" i="23"/>
  <c r="F436" i="23"/>
  <c r="F437" i="23"/>
  <c r="F438" i="23"/>
  <c r="F439" i="23"/>
  <c r="F440" i="23"/>
  <c r="F441" i="23"/>
  <c r="F442" i="23"/>
  <c r="F443" i="23"/>
  <c r="F444" i="23"/>
  <c r="F445" i="23"/>
  <c r="F446" i="23"/>
  <c r="F447" i="23"/>
  <c r="F448" i="23"/>
  <c r="F449" i="23"/>
  <c r="F450" i="23"/>
  <c r="F451" i="23"/>
  <c r="F452" i="23"/>
  <c r="F453" i="23"/>
  <c r="F454" i="23"/>
  <c r="F455" i="23"/>
  <c r="F456" i="23"/>
  <c r="F457" i="23"/>
  <c r="F458" i="23"/>
  <c r="F459" i="23"/>
  <c r="F460" i="23"/>
  <c r="F461" i="23"/>
  <c r="F462" i="23"/>
  <c r="F463" i="23"/>
  <c r="F464" i="23"/>
  <c r="F465" i="23"/>
  <c r="F466" i="23"/>
  <c r="F467" i="23"/>
  <c r="F468" i="23"/>
  <c r="F469" i="23"/>
  <c r="F470" i="23"/>
  <c r="F471" i="23"/>
  <c r="F472" i="23"/>
  <c r="F473" i="23"/>
  <c r="F474" i="23"/>
  <c r="F475" i="23"/>
  <c r="F476" i="23"/>
  <c r="F477" i="23"/>
  <c r="F478" i="23"/>
  <c r="F479" i="23"/>
  <c r="F480" i="23"/>
  <c r="F481" i="23"/>
  <c r="F482" i="23"/>
  <c r="F483" i="23"/>
  <c r="F484" i="23"/>
  <c r="F485" i="23"/>
  <c r="F486" i="23"/>
  <c r="F487" i="23"/>
  <c r="F488" i="23"/>
  <c r="F489" i="23"/>
  <c r="F490" i="23"/>
  <c r="F491" i="23"/>
  <c r="F492" i="23"/>
  <c r="F493" i="23"/>
  <c r="F494" i="23"/>
  <c r="F495" i="23"/>
  <c r="F496" i="23"/>
  <c r="F497" i="23"/>
  <c r="F498" i="23"/>
  <c r="F499" i="23"/>
  <c r="F500" i="23"/>
  <c r="F501" i="23"/>
  <c r="F502" i="23"/>
  <c r="F503" i="23"/>
  <c r="F504" i="23"/>
  <c r="F505" i="23"/>
  <c r="F506" i="23"/>
  <c r="F507" i="23"/>
  <c r="F508" i="23"/>
  <c r="F509" i="23"/>
  <c r="F510" i="23"/>
  <c r="F511" i="23"/>
  <c r="F512" i="23"/>
  <c r="F513" i="23"/>
  <c r="F514" i="23"/>
  <c r="F515" i="23"/>
  <c r="F516" i="23"/>
  <c r="F517" i="23"/>
  <c r="F518" i="23"/>
  <c r="F519" i="23"/>
  <c r="F520" i="23"/>
  <c r="F521" i="23"/>
  <c r="F522" i="23"/>
  <c r="F523" i="23"/>
  <c r="F524" i="23"/>
  <c r="F525" i="23"/>
  <c r="F526" i="23"/>
  <c r="F527" i="23"/>
  <c r="F528" i="23"/>
  <c r="F529" i="23"/>
  <c r="F530" i="23"/>
  <c r="F531" i="23"/>
  <c r="F532" i="23"/>
  <c r="F533" i="23"/>
  <c r="F534" i="23"/>
  <c r="F535" i="23"/>
  <c r="F536" i="23"/>
  <c r="F537" i="23"/>
  <c r="F538" i="23"/>
  <c r="F539" i="23"/>
  <c r="F540" i="23"/>
  <c r="F541" i="23"/>
  <c r="F542" i="23"/>
  <c r="F543" i="23"/>
  <c r="F544" i="23"/>
  <c r="F545" i="23"/>
  <c r="F546" i="23"/>
  <c r="F547" i="23"/>
  <c r="F548" i="23"/>
  <c r="F549" i="23"/>
  <c r="F550" i="23"/>
  <c r="F551" i="23"/>
  <c r="F552" i="23"/>
  <c r="F553" i="23"/>
  <c r="F554" i="23"/>
  <c r="F555" i="23"/>
  <c r="F556" i="23"/>
  <c r="F557" i="23"/>
  <c r="F558" i="23"/>
  <c r="F559" i="23"/>
  <c r="F560" i="23"/>
  <c r="F561" i="23"/>
  <c r="F562" i="23"/>
  <c r="F563" i="23"/>
  <c r="F564" i="23"/>
  <c r="F565" i="23"/>
  <c r="F566" i="23"/>
  <c r="F567" i="23"/>
  <c r="F568" i="23"/>
  <c r="F569" i="23"/>
  <c r="F570" i="23"/>
  <c r="F571" i="23"/>
  <c r="F572" i="23"/>
  <c r="F573" i="23"/>
  <c r="F574" i="23"/>
  <c r="F575" i="23"/>
  <c r="F576" i="23"/>
  <c r="F577" i="23"/>
  <c r="F578" i="23"/>
  <c r="F579" i="23"/>
  <c r="F580" i="23"/>
  <c r="F581" i="23"/>
  <c r="F582" i="23"/>
  <c r="F583" i="23"/>
  <c r="F584" i="23"/>
  <c r="F585" i="23"/>
  <c r="F586" i="23"/>
  <c r="F587" i="23"/>
  <c r="F588" i="23"/>
  <c r="F589" i="23"/>
  <c r="F590" i="23"/>
  <c r="F591" i="23"/>
  <c r="F592" i="23"/>
  <c r="F593" i="23"/>
  <c r="F594" i="23"/>
  <c r="F595" i="23"/>
  <c r="F596" i="23"/>
  <c r="F597" i="23"/>
  <c r="F598" i="23"/>
  <c r="F599" i="23"/>
  <c r="F600" i="23"/>
  <c r="F601" i="23"/>
  <c r="F602" i="23"/>
  <c r="F603" i="23"/>
  <c r="F604" i="23"/>
  <c r="F605" i="23"/>
  <c r="F606" i="23"/>
  <c r="F607" i="23"/>
  <c r="F608" i="23"/>
  <c r="F609" i="23"/>
  <c r="F610" i="23"/>
  <c r="F611" i="23"/>
  <c r="F612" i="23"/>
  <c r="F613" i="23"/>
  <c r="F614" i="23"/>
  <c r="F615" i="23"/>
  <c r="F616" i="23"/>
  <c r="F617" i="23"/>
  <c r="F618" i="23"/>
  <c r="F619" i="23"/>
  <c r="F620" i="23"/>
  <c r="F621" i="23"/>
  <c r="F622" i="23"/>
  <c r="F623" i="23"/>
  <c r="F624" i="23"/>
  <c r="F625" i="23"/>
  <c r="F626" i="23"/>
  <c r="F627" i="23"/>
  <c r="F628" i="23"/>
  <c r="F629" i="23"/>
  <c r="F630" i="23"/>
  <c r="F631" i="23"/>
  <c r="F632" i="23"/>
  <c r="F633" i="23"/>
  <c r="F634" i="23"/>
  <c r="F635" i="23"/>
  <c r="F636" i="23"/>
  <c r="F637" i="23"/>
  <c r="F638" i="23"/>
  <c r="F639" i="23"/>
  <c r="F640" i="23"/>
  <c r="F641" i="23"/>
  <c r="F642" i="23"/>
  <c r="F643" i="23"/>
  <c r="F644" i="23"/>
  <c r="F645" i="23"/>
  <c r="F646" i="23"/>
  <c r="F647" i="23"/>
  <c r="F648" i="23"/>
  <c r="F649" i="23"/>
  <c r="F650" i="23"/>
  <c r="F651" i="23"/>
  <c r="F652" i="23"/>
  <c r="F653" i="23"/>
  <c r="F654" i="23"/>
  <c r="F655" i="23"/>
  <c r="F656" i="23"/>
  <c r="F657" i="23"/>
  <c r="F658" i="23"/>
  <c r="F659" i="23"/>
  <c r="F660" i="23"/>
  <c r="F661" i="23"/>
  <c r="F662" i="23"/>
  <c r="F2" i="23"/>
  <c r="E3" i="23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E97" i="23"/>
  <c r="E98" i="23"/>
  <c r="E99" i="23"/>
  <c r="E100" i="23"/>
  <c r="E101" i="23"/>
  <c r="E102" i="23"/>
  <c r="E103" i="23"/>
  <c r="E104" i="23"/>
  <c r="E105" i="23"/>
  <c r="E106" i="23"/>
  <c r="E107" i="23"/>
  <c r="E108" i="23"/>
  <c r="E109" i="23"/>
  <c r="E110" i="23"/>
  <c r="E111" i="23"/>
  <c r="E112" i="23"/>
  <c r="E113" i="23"/>
  <c r="E114" i="23"/>
  <c r="E115" i="23"/>
  <c r="E116" i="23"/>
  <c r="E117" i="23"/>
  <c r="E118" i="23"/>
  <c r="E119" i="23"/>
  <c r="E120" i="23"/>
  <c r="E121" i="23"/>
  <c r="E122" i="23"/>
  <c r="E123" i="23"/>
  <c r="E124" i="23"/>
  <c r="E125" i="23"/>
  <c r="E126" i="23"/>
  <c r="E127" i="23"/>
  <c r="E128" i="23"/>
  <c r="E129" i="23"/>
  <c r="E130" i="23"/>
  <c r="E131" i="23"/>
  <c r="E132" i="23"/>
  <c r="E133" i="23"/>
  <c r="E134" i="23"/>
  <c r="E135" i="23"/>
  <c r="E136" i="23"/>
  <c r="E137" i="23"/>
  <c r="E138" i="23"/>
  <c r="E139" i="23"/>
  <c r="E140" i="23"/>
  <c r="E141" i="23"/>
  <c r="E142" i="23"/>
  <c r="E143" i="23"/>
  <c r="E144" i="23"/>
  <c r="E145" i="23"/>
  <c r="E146" i="23"/>
  <c r="E147" i="23"/>
  <c r="E148" i="23"/>
  <c r="E149" i="23"/>
  <c r="E150" i="23"/>
  <c r="E151" i="23"/>
  <c r="E152" i="23"/>
  <c r="E153" i="23"/>
  <c r="E154" i="23"/>
  <c r="E155" i="23"/>
  <c r="E156" i="23"/>
  <c r="E157" i="23"/>
  <c r="E158" i="23"/>
  <c r="E159" i="23"/>
  <c r="E160" i="23"/>
  <c r="E161" i="23"/>
  <c r="E162" i="23"/>
  <c r="E163" i="23"/>
  <c r="E164" i="23"/>
  <c r="E165" i="23"/>
  <c r="E166" i="23"/>
  <c r="E167" i="23"/>
  <c r="E168" i="23"/>
  <c r="E169" i="23"/>
  <c r="E170" i="23"/>
  <c r="E171" i="23"/>
  <c r="E172" i="23"/>
  <c r="E173" i="23"/>
  <c r="E174" i="23"/>
  <c r="E175" i="23"/>
  <c r="E176" i="23"/>
  <c r="E177" i="23"/>
  <c r="E178" i="23"/>
  <c r="E179" i="23"/>
  <c r="E180" i="23"/>
  <c r="E181" i="23"/>
  <c r="E182" i="23"/>
  <c r="E183" i="23"/>
  <c r="E184" i="23"/>
  <c r="E185" i="23"/>
  <c r="E186" i="23"/>
  <c r="E187" i="23"/>
  <c r="E188" i="23"/>
  <c r="E189" i="23"/>
  <c r="E190" i="23"/>
  <c r="E191" i="23"/>
  <c r="E192" i="23"/>
  <c r="E193" i="23"/>
  <c r="E194" i="23"/>
  <c r="E195" i="23"/>
  <c r="E196" i="23"/>
  <c r="E197" i="23"/>
  <c r="E198" i="23"/>
  <c r="E199" i="23"/>
  <c r="E200" i="23"/>
  <c r="E201" i="23"/>
  <c r="E202" i="23"/>
  <c r="E203" i="23"/>
  <c r="E204" i="23"/>
  <c r="E205" i="23"/>
  <c r="E206" i="23"/>
  <c r="E207" i="23"/>
  <c r="E208" i="23"/>
  <c r="E209" i="23"/>
  <c r="E210" i="23"/>
  <c r="E211" i="23"/>
  <c r="E212" i="23"/>
  <c r="E213" i="23"/>
  <c r="E214" i="23"/>
  <c r="E215" i="23"/>
  <c r="E216" i="23"/>
  <c r="E217" i="23"/>
  <c r="E218" i="23"/>
  <c r="E219" i="23"/>
  <c r="E220" i="23"/>
  <c r="E221" i="23"/>
  <c r="E222" i="23"/>
  <c r="E223" i="23"/>
  <c r="E224" i="23"/>
  <c r="E225" i="23"/>
  <c r="E226" i="23"/>
  <c r="E227" i="23"/>
  <c r="E228" i="23"/>
  <c r="E229" i="23"/>
  <c r="E230" i="23"/>
  <c r="E231" i="23"/>
  <c r="E232" i="23"/>
  <c r="E233" i="23"/>
  <c r="E234" i="23"/>
  <c r="E235" i="23"/>
  <c r="E236" i="23"/>
  <c r="E237" i="23"/>
  <c r="E238" i="23"/>
  <c r="E239" i="23"/>
  <c r="E240" i="23"/>
  <c r="E241" i="23"/>
  <c r="E242" i="23"/>
  <c r="E243" i="23"/>
  <c r="E244" i="23"/>
  <c r="E245" i="23"/>
  <c r="E246" i="23"/>
  <c r="E247" i="23"/>
  <c r="E248" i="23"/>
  <c r="E249" i="23"/>
  <c r="E250" i="23"/>
  <c r="E251" i="23"/>
  <c r="E252" i="23"/>
  <c r="E253" i="23"/>
  <c r="E254" i="23"/>
  <c r="E255" i="23"/>
  <c r="E256" i="23"/>
  <c r="E257" i="23"/>
  <c r="E258" i="23"/>
  <c r="E259" i="23"/>
  <c r="E260" i="23"/>
  <c r="E261" i="23"/>
  <c r="E262" i="23"/>
  <c r="E263" i="23"/>
  <c r="E264" i="23"/>
  <c r="E265" i="23"/>
  <c r="E266" i="23"/>
  <c r="E267" i="23"/>
  <c r="E268" i="23"/>
  <c r="E269" i="23"/>
  <c r="E270" i="23"/>
  <c r="E271" i="23"/>
  <c r="E272" i="23"/>
  <c r="E273" i="23"/>
  <c r="E274" i="23"/>
  <c r="E275" i="23"/>
  <c r="E276" i="23"/>
  <c r="E277" i="23"/>
  <c r="E278" i="23"/>
  <c r="E279" i="23"/>
  <c r="E280" i="23"/>
  <c r="E281" i="23"/>
  <c r="E282" i="23"/>
  <c r="E283" i="23"/>
  <c r="E284" i="23"/>
  <c r="E285" i="23"/>
  <c r="E286" i="23"/>
  <c r="E287" i="23"/>
  <c r="E288" i="23"/>
  <c r="E289" i="23"/>
  <c r="E290" i="23"/>
  <c r="E291" i="23"/>
  <c r="E292" i="23"/>
  <c r="E293" i="23"/>
  <c r="E294" i="23"/>
  <c r="E295" i="23"/>
  <c r="E296" i="23"/>
  <c r="E297" i="23"/>
  <c r="E298" i="23"/>
  <c r="E299" i="23"/>
  <c r="E300" i="23"/>
  <c r="E301" i="23"/>
  <c r="E302" i="23"/>
  <c r="E303" i="23"/>
  <c r="E304" i="23"/>
  <c r="E305" i="23"/>
  <c r="E306" i="23"/>
  <c r="E307" i="23"/>
  <c r="E308" i="23"/>
  <c r="E309" i="23"/>
  <c r="E310" i="23"/>
  <c r="E311" i="23"/>
  <c r="E312" i="23"/>
  <c r="E313" i="23"/>
  <c r="E314" i="23"/>
  <c r="E315" i="23"/>
  <c r="E316" i="23"/>
  <c r="E317" i="23"/>
  <c r="E318" i="23"/>
  <c r="E319" i="23"/>
  <c r="E320" i="23"/>
  <c r="E321" i="23"/>
  <c r="E322" i="23"/>
  <c r="E323" i="23"/>
  <c r="E324" i="23"/>
  <c r="E325" i="23"/>
  <c r="E326" i="23"/>
  <c r="E327" i="23"/>
  <c r="E328" i="23"/>
  <c r="E329" i="23"/>
  <c r="E330" i="23"/>
  <c r="E331" i="23"/>
  <c r="E332" i="23"/>
  <c r="E333" i="23"/>
  <c r="E334" i="23"/>
  <c r="E335" i="23"/>
  <c r="E336" i="23"/>
  <c r="E337" i="23"/>
  <c r="E338" i="23"/>
  <c r="E339" i="23"/>
  <c r="E340" i="23"/>
  <c r="E341" i="23"/>
  <c r="E342" i="23"/>
  <c r="E343" i="23"/>
  <c r="E344" i="23"/>
  <c r="E345" i="23"/>
  <c r="E346" i="23"/>
  <c r="E347" i="23"/>
  <c r="E348" i="23"/>
  <c r="E349" i="23"/>
  <c r="E350" i="23"/>
  <c r="E351" i="23"/>
  <c r="E352" i="23"/>
  <c r="E353" i="23"/>
  <c r="E354" i="23"/>
  <c r="E355" i="23"/>
  <c r="E356" i="23"/>
  <c r="E357" i="23"/>
  <c r="E358" i="23"/>
  <c r="E359" i="23"/>
  <c r="E360" i="23"/>
  <c r="E361" i="23"/>
  <c r="E362" i="23"/>
  <c r="E363" i="23"/>
  <c r="E364" i="23"/>
  <c r="E365" i="23"/>
  <c r="E366" i="23"/>
  <c r="E367" i="23"/>
  <c r="E368" i="23"/>
  <c r="E369" i="23"/>
  <c r="E370" i="23"/>
  <c r="E371" i="23"/>
  <c r="E372" i="23"/>
  <c r="E373" i="23"/>
  <c r="E374" i="23"/>
  <c r="E375" i="23"/>
  <c r="E376" i="23"/>
  <c r="E377" i="23"/>
  <c r="E378" i="23"/>
  <c r="E379" i="23"/>
  <c r="E380" i="23"/>
  <c r="E381" i="23"/>
  <c r="E382" i="23"/>
  <c r="E383" i="23"/>
  <c r="E384" i="23"/>
  <c r="E385" i="23"/>
  <c r="E386" i="23"/>
  <c r="E387" i="23"/>
  <c r="E388" i="23"/>
  <c r="E389" i="23"/>
  <c r="E390" i="23"/>
  <c r="E391" i="23"/>
  <c r="E392" i="23"/>
  <c r="E393" i="23"/>
  <c r="E394" i="23"/>
  <c r="E395" i="23"/>
  <c r="E396" i="23"/>
  <c r="E397" i="23"/>
  <c r="E398" i="23"/>
  <c r="E399" i="23"/>
  <c r="E400" i="23"/>
  <c r="E401" i="23"/>
  <c r="E402" i="23"/>
  <c r="E403" i="23"/>
  <c r="E404" i="23"/>
  <c r="E405" i="23"/>
  <c r="E406" i="23"/>
  <c r="E407" i="23"/>
  <c r="E408" i="23"/>
  <c r="E409" i="23"/>
  <c r="E410" i="23"/>
  <c r="E411" i="23"/>
  <c r="E412" i="23"/>
  <c r="E413" i="23"/>
  <c r="E414" i="23"/>
  <c r="E415" i="23"/>
  <c r="E416" i="23"/>
  <c r="E417" i="23"/>
  <c r="E418" i="23"/>
  <c r="E419" i="23"/>
  <c r="E420" i="23"/>
  <c r="E421" i="23"/>
  <c r="E422" i="23"/>
  <c r="E423" i="23"/>
  <c r="E424" i="23"/>
  <c r="E425" i="23"/>
  <c r="E426" i="23"/>
  <c r="E427" i="23"/>
  <c r="E428" i="23"/>
  <c r="E429" i="23"/>
  <c r="E430" i="23"/>
  <c r="E431" i="23"/>
  <c r="E432" i="23"/>
  <c r="E433" i="23"/>
  <c r="E434" i="23"/>
  <c r="E435" i="23"/>
  <c r="E436" i="23"/>
  <c r="E437" i="23"/>
  <c r="E438" i="23"/>
  <c r="E439" i="23"/>
  <c r="E440" i="23"/>
  <c r="E441" i="23"/>
  <c r="E442" i="23"/>
  <c r="E443" i="23"/>
  <c r="E444" i="23"/>
  <c r="E445" i="23"/>
  <c r="E446" i="23"/>
  <c r="E447" i="23"/>
  <c r="E448" i="23"/>
  <c r="E449" i="23"/>
  <c r="E450" i="23"/>
  <c r="E451" i="23"/>
  <c r="E452" i="23"/>
  <c r="E453" i="23"/>
  <c r="E454" i="23"/>
  <c r="E455" i="23"/>
  <c r="E456" i="23"/>
  <c r="E457" i="23"/>
  <c r="E458" i="23"/>
  <c r="E459" i="23"/>
  <c r="E460" i="23"/>
  <c r="E461" i="23"/>
  <c r="E462" i="23"/>
  <c r="E463" i="23"/>
  <c r="E464" i="23"/>
  <c r="E465" i="23"/>
  <c r="E466" i="23"/>
  <c r="E467" i="23"/>
  <c r="E468" i="23"/>
  <c r="E469" i="23"/>
  <c r="E470" i="23"/>
  <c r="E471" i="23"/>
  <c r="E472" i="23"/>
  <c r="E473" i="23"/>
  <c r="E474" i="23"/>
  <c r="E475" i="23"/>
  <c r="E476" i="23"/>
  <c r="E477" i="23"/>
  <c r="E478" i="23"/>
  <c r="E479" i="23"/>
  <c r="E480" i="23"/>
  <c r="E481" i="23"/>
  <c r="E482" i="23"/>
  <c r="E483" i="23"/>
  <c r="E484" i="23"/>
  <c r="E485" i="23"/>
  <c r="E486" i="23"/>
  <c r="E487" i="23"/>
  <c r="E488" i="23"/>
  <c r="E489" i="23"/>
  <c r="E490" i="23"/>
  <c r="E491" i="23"/>
  <c r="E492" i="23"/>
  <c r="E493" i="23"/>
  <c r="E494" i="23"/>
  <c r="E495" i="23"/>
  <c r="E496" i="23"/>
  <c r="E497" i="23"/>
  <c r="E498" i="23"/>
  <c r="E499" i="23"/>
  <c r="E500" i="23"/>
  <c r="E501" i="23"/>
  <c r="E502" i="23"/>
  <c r="E503" i="23"/>
  <c r="E504" i="23"/>
  <c r="E505" i="23"/>
  <c r="E506" i="23"/>
  <c r="E507" i="23"/>
  <c r="E508" i="23"/>
  <c r="E509" i="23"/>
  <c r="E510" i="23"/>
  <c r="E511" i="23"/>
  <c r="E512" i="23"/>
  <c r="E513" i="23"/>
  <c r="E514" i="23"/>
  <c r="E515" i="23"/>
  <c r="E516" i="23"/>
  <c r="E517" i="23"/>
  <c r="E518" i="23"/>
  <c r="E519" i="23"/>
  <c r="E520" i="23"/>
  <c r="E521" i="23"/>
  <c r="E522" i="23"/>
  <c r="E523" i="23"/>
  <c r="E524" i="23"/>
  <c r="E525" i="23"/>
  <c r="E526" i="23"/>
  <c r="E527" i="23"/>
  <c r="E528" i="23"/>
  <c r="E529" i="23"/>
  <c r="E530" i="23"/>
  <c r="E531" i="23"/>
  <c r="E532" i="23"/>
  <c r="E533" i="23"/>
  <c r="E534" i="23"/>
  <c r="E535" i="23"/>
  <c r="E536" i="23"/>
  <c r="E537" i="23"/>
  <c r="E538" i="23"/>
  <c r="E539" i="23"/>
  <c r="E540" i="23"/>
  <c r="E541" i="23"/>
  <c r="E542" i="23"/>
  <c r="E543" i="23"/>
  <c r="E544" i="23"/>
  <c r="E545" i="23"/>
  <c r="E546" i="23"/>
  <c r="E547" i="23"/>
  <c r="E548" i="23"/>
  <c r="E549" i="23"/>
  <c r="E550" i="23"/>
  <c r="E551" i="23"/>
  <c r="E552" i="23"/>
  <c r="E553" i="23"/>
  <c r="E554" i="23"/>
  <c r="E555" i="23"/>
  <c r="E556" i="23"/>
  <c r="E557" i="23"/>
  <c r="E558" i="23"/>
  <c r="E559" i="23"/>
  <c r="E560" i="23"/>
  <c r="E561" i="23"/>
  <c r="E562" i="23"/>
  <c r="E563" i="23"/>
  <c r="E564" i="23"/>
  <c r="E565" i="23"/>
  <c r="E566" i="23"/>
  <c r="E567" i="23"/>
  <c r="E568" i="23"/>
  <c r="E569" i="23"/>
  <c r="E570" i="23"/>
  <c r="E571" i="23"/>
  <c r="E572" i="23"/>
  <c r="E573" i="23"/>
  <c r="E574" i="23"/>
  <c r="E575" i="23"/>
  <c r="E576" i="23"/>
  <c r="E577" i="23"/>
  <c r="E578" i="23"/>
  <c r="E579" i="23"/>
  <c r="E580" i="23"/>
  <c r="E581" i="23"/>
  <c r="E582" i="23"/>
  <c r="E583" i="23"/>
  <c r="E584" i="23"/>
  <c r="E585" i="23"/>
  <c r="E586" i="23"/>
  <c r="E587" i="23"/>
  <c r="E588" i="23"/>
  <c r="E589" i="23"/>
  <c r="E590" i="23"/>
  <c r="E591" i="23"/>
  <c r="E592" i="23"/>
  <c r="E593" i="23"/>
  <c r="E594" i="23"/>
  <c r="E595" i="23"/>
  <c r="E596" i="23"/>
  <c r="E597" i="23"/>
  <c r="E598" i="23"/>
  <c r="E599" i="23"/>
  <c r="E600" i="23"/>
  <c r="E601" i="23"/>
  <c r="E602" i="23"/>
  <c r="E603" i="23"/>
  <c r="E604" i="23"/>
  <c r="E605" i="23"/>
  <c r="E606" i="23"/>
  <c r="E607" i="23"/>
  <c r="E608" i="23"/>
  <c r="E609" i="23"/>
  <c r="E610" i="23"/>
  <c r="E611" i="23"/>
  <c r="E612" i="23"/>
  <c r="E613" i="23"/>
  <c r="E614" i="23"/>
  <c r="E615" i="23"/>
  <c r="E616" i="23"/>
  <c r="E617" i="23"/>
  <c r="E618" i="23"/>
  <c r="E619" i="23"/>
  <c r="E620" i="23"/>
  <c r="E621" i="23"/>
  <c r="E622" i="23"/>
  <c r="E623" i="23"/>
  <c r="E624" i="23"/>
  <c r="E625" i="23"/>
  <c r="E626" i="23"/>
  <c r="E627" i="23"/>
  <c r="E628" i="23"/>
  <c r="E629" i="23"/>
  <c r="E630" i="23"/>
  <c r="E631" i="23"/>
  <c r="E632" i="23"/>
  <c r="E633" i="23"/>
  <c r="E634" i="23"/>
  <c r="E635" i="23"/>
  <c r="E636" i="23"/>
  <c r="E637" i="23"/>
  <c r="E638" i="23"/>
  <c r="E639" i="23"/>
  <c r="E640" i="23"/>
  <c r="E641" i="23"/>
  <c r="E642" i="23"/>
  <c r="E643" i="23"/>
  <c r="E644" i="23"/>
  <c r="E645" i="23"/>
  <c r="E646" i="23"/>
  <c r="E647" i="23"/>
  <c r="E648" i="23"/>
  <c r="E649" i="23"/>
  <c r="E650" i="23"/>
  <c r="E651" i="23"/>
  <c r="E652" i="23"/>
  <c r="E653" i="23"/>
  <c r="E654" i="23"/>
  <c r="E655" i="23"/>
  <c r="E656" i="23"/>
  <c r="E657" i="23"/>
  <c r="E658" i="23"/>
  <c r="E659" i="23"/>
  <c r="E660" i="23"/>
  <c r="E661" i="23"/>
  <c r="E662" i="23"/>
  <c r="E2" i="23"/>
  <c r="C1583" i="1"/>
  <c r="D1583" i="1"/>
  <c r="E1583" i="1"/>
  <c r="C1584" i="1"/>
  <c r="D1584" i="1"/>
  <c r="E1584" i="1"/>
  <c r="C1585" i="1"/>
  <c r="D1585" i="1"/>
  <c r="E1585" i="1"/>
  <c r="C1586" i="1"/>
  <c r="D1586" i="1"/>
  <c r="E1586" i="1"/>
  <c r="C1587" i="1"/>
  <c r="D1587" i="1"/>
  <c r="E1587" i="1"/>
  <c r="C1588" i="1"/>
  <c r="D1588" i="1"/>
  <c r="E1588" i="1"/>
  <c r="C1589" i="1"/>
  <c r="D1589" i="1"/>
  <c r="E1589" i="1"/>
  <c r="C1590" i="1"/>
  <c r="D1590" i="1"/>
  <c r="E1590" i="1"/>
  <c r="C1591" i="1"/>
  <c r="D1591" i="1"/>
  <c r="E1591" i="1"/>
  <c r="C1592" i="1"/>
  <c r="D1592" i="1"/>
  <c r="E1592" i="1"/>
  <c r="C1593" i="1"/>
  <c r="D1593" i="1"/>
  <c r="E1593" i="1"/>
  <c r="C1594" i="1"/>
  <c r="D1594" i="1"/>
  <c r="E1594" i="1"/>
  <c r="C1595" i="1"/>
  <c r="D1595" i="1"/>
  <c r="E1595" i="1"/>
  <c r="C1596" i="1"/>
  <c r="D1596" i="1"/>
  <c r="E1596" i="1"/>
  <c r="C1597" i="1"/>
  <c r="D1597" i="1"/>
  <c r="E1597" i="1"/>
  <c r="C1598" i="1"/>
  <c r="D1598" i="1"/>
  <c r="E1598" i="1"/>
  <c r="C1599" i="1"/>
  <c r="D1599" i="1"/>
  <c r="E1599" i="1"/>
  <c r="C1600" i="1"/>
  <c r="D1600" i="1"/>
  <c r="E1600" i="1"/>
  <c r="C1601" i="1"/>
  <c r="D1601" i="1"/>
  <c r="E1601" i="1"/>
  <c r="C1602" i="1"/>
  <c r="D1602" i="1"/>
  <c r="E1602" i="1"/>
  <c r="C1603" i="1"/>
  <c r="D1603" i="1"/>
  <c r="E1603" i="1"/>
  <c r="C1604" i="1"/>
  <c r="D1604" i="1"/>
  <c r="E1604" i="1"/>
  <c r="C1605" i="1"/>
  <c r="D1605" i="1"/>
  <c r="E1605" i="1"/>
  <c r="C1606" i="1"/>
  <c r="D1606" i="1"/>
  <c r="E1606" i="1"/>
  <c r="C1607" i="1"/>
  <c r="D1607" i="1"/>
  <c r="E1607" i="1"/>
  <c r="C1608" i="1"/>
  <c r="D1608" i="1"/>
  <c r="E1608" i="1"/>
  <c r="C1609" i="1"/>
  <c r="D1609" i="1"/>
  <c r="E1609" i="1"/>
  <c r="C1610" i="1"/>
  <c r="D1610" i="1"/>
  <c r="E1610" i="1"/>
  <c r="C1611" i="1"/>
  <c r="D1611" i="1"/>
  <c r="E1611" i="1"/>
  <c r="C1612" i="1"/>
  <c r="D1612" i="1"/>
  <c r="E1612" i="1"/>
  <c r="C1613" i="1"/>
  <c r="D1613" i="1"/>
  <c r="E1613" i="1"/>
  <c r="C1614" i="1"/>
  <c r="D1614" i="1"/>
  <c r="E1614" i="1"/>
  <c r="C1615" i="1"/>
  <c r="D1615" i="1"/>
  <c r="E1615" i="1"/>
  <c r="C1616" i="1"/>
  <c r="D1616" i="1"/>
  <c r="E1616" i="1"/>
  <c r="C1617" i="1"/>
  <c r="D1617" i="1"/>
  <c r="E1617" i="1"/>
  <c r="C1618" i="1"/>
  <c r="D1618" i="1"/>
  <c r="E1618" i="1"/>
  <c r="C1619" i="1"/>
  <c r="D1619" i="1"/>
  <c r="E1619" i="1"/>
  <c r="C1620" i="1"/>
  <c r="D1620" i="1"/>
  <c r="E1620" i="1"/>
  <c r="C1621" i="1"/>
  <c r="D1621" i="1"/>
  <c r="E1621" i="1"/>
  <c r="C1622" i="1"/>
  <c r="D1622" i="1"/>
  <c r="E1622" i="1"/>
  <c r="C1623" i="1"/>
  <c r="D1623" i="1"/>
  <c r="E1623" i="1"/>
  <c r="C1624" i="1"/>
  <c r="D1624" i="1"/>
  <c r="E1624" i="1"/>
  <c r="C1625" i="1"/>
  <c r="D1625" i="1"/>
  <c r="E1625" i="1"/>
  <c r="C1626" i="1"/>
  <c r="D1626" i="1"/>
  <c r="E1626" i="1"/>
  <c r="C1627" i="1"/>
  <c r="D1627" i="1"/>
  <c r="E1627" i="1"/>
  <c r="C1628" i="1"/>
  <c r="D1628" i="1"/>
  <c r="E1628" i="1"/>
  <c r="C1629" i="1"/>
  <c r="D1629" i="1"/>
  <c r="E1629" i="1"/>
  <c r="C1630" i="1"/>
  <c r="D1630" i="1"/>
  <c r="E1630" i="1"/>
  <c r="C1631" i="1"/>
  <c r="D1631" i="1"/>
  <c r="E1631" i="1"/>
  <c r="C1632" i="1"/>
  <c r="D1632" i="1"/>
  <c r="E1632" i="1"/>
  <c r="C1633" i="1"/>
  <c r="D1633" i="1"/>
  <c r="E1633" i="1"/>
  <c r="C1634" i="1"/>
  <c r="D1634" i="1"/>
  <c r="E1634" i="1"/>
  <c r="C1635" i="1"/>
  <c r="D1635" i="1"/>
  <c r="E1635" i="1"/>
  <c r="C1636" i="1"/>
  <c r="D1636" i="1"/>
  <c r="E1636" i="1"/>
  <c r="C1637" i="1"/>
  <c r="D1637" i="1"/>
  <c r="E1637" i="1"/>
  <c r="C1638" i="1"/>
  <c r="D1638" i="1"/>
  <c r="E1638" i="1"/>
  <c r="C1639" i="1"/>
  <c r="D1639" i="1"/>
  <c r="E1639" i="1"/>
  <c r="C1640" i="1"/>
  <c r="D1640" i="1"/>
  <c r="E1640" i="1"/>
  <c r="C1641" i="1"/>
  <c r="D1641" i="1"/>
  <c r="E1641" i="1"/>
  <c r="C1642" i="1"/>
  <c r="D1642" i="1"/>
  <c r="E1642" i="1"/>
  <c r="C1643" i="1"/>
  <c r="D1643" i="1"/>
  <c r="E1643" i="1"/>
  <c r="C1644" i="1"/>
  <c r="D1644" i="1"/>
  <c r="E1644" i="1"/>
  <c r="C1645" i="1"/>
  <c r="D1645" i="1"/>
  <c r="E1645" i="1"/>
  <c r="C1646" i="1"/>
  <c r="D1646" i="1"/>
  <c r="E1646" i="1"/>
  <c r="C1647" i="1"/>
  <c r="D1647" i="1"/>
  <c r="E1647" i="1"/>
  <c r="C1648" i="1"/>
  <c r="D1648" i="1"/>
  <c r="E1648" i="1"/>
  <c r="C1649" i="1"/>
  <c r="D1649" i="1"/>
  <c r="E1649" i="1"/>
  <c r="C1650" i="1"/>
  <c r="D1650" i="1"/>
  <c r="E1650" i="1"/>
  <c r="C1651" i="1"/>
  <c r="D1651" i="1"/>
  <c r="E1651" i="1"/>
  <c r="C1652" i="1"/>
  <c r="D1652" i="1"/>
  <c r="E1652" i="1"/>
  <c r="C1653" i="1"/>
  <c r="D1653" i="1"/>
  <c r="E1653" i="1"/>
  <c r="C1654" i="1"/>
  <c r="D1654" i="1"/>
  <c r="E1654" i="1"/>
  <c r="C1655" i="1"/>
  <c r="D1655" i="1"/>
  <c r="E1655" i="1"/>
  <c r="C1656" i="1"/>
  <c r="D1656" i="1"/>
  <c r="E1656" i="1"/>
  <c r="C1657" i="1"/>
  <c r="D1657" i="1"/>
  <c r="E1657" i="1"/>
  <c r="C1658" i="1"/>
  <c r="D1658" i="1"/>
  <c r="E1658" i="1"/>
  <c r="C1659" i="1"/>
  <c r="D1659" i="1"/>
  <c r="E1659" i="1"/>
  <c r="C1660" i="1"/>
  <c r="D1660" i="1"/>
  <c r="E1660" i="1"/>
  <c r="C1661" i="1"/>
  <c r="D1661" i="1"/>
  <c r="E1661" i="1"/>
  <c r="C1662" i="1"/>
  <c r="D1662" i="1"/>
  <c r="E1662" i="1"/>
  <c r="C1663" i="1"/>
  <c r="D1663" i="1"/>
  <c r="E1663" i="1"/>
  <c r="C1664" i="1"/>
  <c r="D1664" i="1"/>
  <c r="E1664" i="1"/>
  <c r="C1665" i="1"/>
  <c r="D1665" i="1"/>
  <c r="E1665" i="1"/>
  <c r="C1666" i="1"/>
  <c r="D1666" i="1"/>
  <c r="E1666" i="1"/>
  <c r="C1667" i="1"/>
  <c r="D1667" i="1"/>
  <c r="E1667" i="1"/>
  <c r="C1668" i="1"/>
  <c r="D1668" i="1"/>
  <c r="E1668" i="1"/>
  <c r="C1669" i="1"/>
  <c r="D1669" i="1"/>
  <c r="E1669" i="1"/>
  <c r="C1670" i="1"/>
  <c r="D1670" i="1"/>
  <c r="E1670" i="1"/>
  <c r="C1671" i="1"/>
  <c r="D1671" i="1"/>
  <c r="E1671" i="1"/>
  <c r="C1672" i="1"/>
  <c r="D1672" i="1"/>
  <c r="E1672" i="1"/>
  <c r="C1673" i="1"/>
  <c r="D1673" i="1"/>
  <c r="E1673" i="1"/>
  <c r="C1674" i="1"/>
  <c r="D1674" i="1"/>
  <c r="E1674" i="1"/>
  <c r="C1675" i="1"/>
  <c r="D1675" i="1"/>
  <c r="E1675" i="1"/>
  <c r="C1676" i="1"/>
  <c r="D1676" i="1"/>
  <c r="E1676" i="1"/>
  <c r="C1677" i="1"/>
  <c r="D1677" i="1"/>
  <c r="E1677" i="1"/>
  <c r="C1678" i="1"/>
  <c r="D1678" i="1"/>
  <c r="E1678" i="1"/>
  <c r="C1679" i="1"/>
  <c r="D1679" i="1"/>
  <c r="E1679" i="1"/>
  <c r="C1680" i="1"/>
  <c r="D1680" i="1"/>
  <c r="E1680" i="1"/>
  <c r="C1681" i="1"/>
  <c r="D1681" i="1"/>
  <c r="E1681" i="1"/>
  <c r="C1682" i="1"/>
  <c r="D1682" i="1"/>
  <c r="E1682" i="1"/>
  <c r="C1683" i="1"/>
  <c r="D1683" i="1"/>
  <c r="E1683" i="1"/>
  <c r="C1684" i="1"/>
  <c r="D1684" i="1"/>
  <c r="E1684" i="1"/>
  <c r="C1685" i="1"/>
  <c r="D1685" i="1"/>
  <c r="E1685" i="1"/>
  <c r="C1686" i="1"/>
  <c r="D1686" i="1"/>
  <c r="E1686" i="1"/>
  <c r="C1687" i="1"/>
  <c r="D1687" i="1"/>
  <c r="E1687" i="1"/>
  <c r="C1688" i="1"/>
  <c r="D1688" i="1"/>
  <c r="E1688" i="1"/>
  <c r="C1689" i="1"/>
  <c r="D1689" i="1"/>
  <c r="E1689" i="1"/>
  <c r="C1690" i="1"/>
  <c r="D1690" i="1"/>
  <c r="E1690" i="1"/>
  <c r="C1691" i="1"/>
  <c r="D1691" i="1"/>
  <c r="E1691" i="1"/>
  <c r="C1692" i="1"/>
  <c r="D1692" i="1"/>
  <c r="E1692" i="1"/>
  <c r="C1693" i="1"/>
  <c r="D1693" i="1"/>
  <c r="E1693" i="1"/>
  <c r="C1694" i="1"/>
  <c r="D1694" i="1"/>
  <c r="E1694" i="1"/>
  <c r="C1695" i="1"/>
  <c r="D1695" i="1"/>
  <c r="E1695" i="1"/>
  <c r="C1696" i="1"/>
  <c r="D1696" i="1"/>
  <c r="E1696" i="1"/>
  <c r="C1697" i="1"/>
  <c r="D1697" i="1"/>
  <c r="E1697" i="1"/>
  <c r="C1698" i="1"/>
  <c r="D1698" i="1"/>
  <c r="E1698" i="1"/>
  <c r="C1699" i="1"/>
  <c r="D1699" i="1"/>
  <c r="E1699" i="1"/>
  <c r="C1700" i="1"/>
  <c r="D1700" i="1"/>
  <c r="E1700" i="1"/>
  <c r="C1701" i="1"/>
  <c r="D1701" i="1"/>
  <c r="E1701" i="1"/>
  <c r="C1702" i="1"/>
  <c r="D1702" i="1"/>
  <c r="E1702" i="1"/>
  <c r="C1703" i="1"/>
  <c r="D1703" i="1"/>
  <c r="E1703" i="1"/>
  <c r="C1704" i="1"/>
  <c r="D1704" i="1"/>
  <c r="E1704" i="1"/>
  <c r="C1705" i="1"/>
  <c r="D1705" i="1"/>
  <c r="E1705" i="1"/>
  <c r="C1706" i="1"/>
  <c r="D1706" i="1"/>
  <c r="E1706" i="1"/>
  <c r="C1707" i="1"/>
  <c r="D1707" i="1"/>
  <c r="E1707" i="1"/>
  <c r="C1708" i="1"/>
  <c r="D1708" i="1"/>
  <c r="E1708" i="1"/>
  <c r="C1709" i="1"/>
  <c r="D1709" i="1"/>
  <c r="E1709" i="1"/>
  <c r="C1710" i="1"/>
  <c r="D1710" i="1"/>
  <c r="E1710" i="1"/>
  <c r="C1711" i="1"/>
  <c r="D1711" i="1"/>
  <c r="E1711" i="1"/>
  <c r="C1712" i="1"/>
  <c r="D1712" i="1"/>
  <c r="E1712" i="1"/>
  <c r="C1713" i="1"/>
  <c r="D1713" i="1"/>
  <c r="E1713" i="1"/>
  <c r="C1714" i="1"/>
  <c r="D1714" i="1"/>
  <c r="E1714" i="1"/>
  <c r="C1715" i="1"/>
  <c r="D1715" i="1"/>
  <c r="E1715" i="1"/>
  <c r="C1716" i="1"/>
  <c r="D1716" i="1"/>
  <c r="E1716" i="1"/>
  <c r="C1717" i="1"/>
  <c r="D1717" i="1"/>
  <c r="E1717" i="1"/>
  <c r="C1718" i="1"/>
  <c r="D1718" i="1"/>
  <c r="E1718" i="1"/>
  <c r="C1719" i="1"/>
  <c r="D1719" i="1"/>
  <c r="E1719" i="1"/>
  <c r="C1720" i="1"/>
  <c r="D1720" i="1"/>
  <c r="E1720" i="1"/>
  <c r="C1721" i="1"/>
  <c r="D1721" i="1"/>
  <c r="E1721" i="1"/>
  <c r="C1722" i="1"/>
  <c r="D1722" i="1"/>
  <c r="E1722" i="1"/>
  <c r="C1723" i="1"/>
  <c r="D1723" i="1"/>
  <c r="E1723" i="1"/>
  <c r="C1724" i="1"/>
  <c r="D1724" i="1"/>
  <c r="E1724" i="1"/>
  <c r="C1725" i="1"/>
  <c r="D1725" i="1"/>
  <c r="E1725" i="1"/>
  <c r="C1726" i="1"/>
  <c r="D1726" i="1"/>
  <c r="E1726" i="1"/>
  <c r="C1727" i="1"/>
  <c r="D1727" i="1"/>
  <c r="E1727" i="1"/>
  <c r="C1728" i="1"/>
  <c r="D1728" i="1"/>
  <c r="E1728" i="1"/>
  <c r="C1729" i="1"/>
  <c r="D1729" i="1"/>
  <c r="E1729" i="1"/>
  <c r="C1730" i="1"/>
  <c r="D1730" i="1"/>
  <c r="E1730" i="1"/>
  <c r="C1731" i="1"/>
  <c r="D1731" i="1"/>
  <c r="E1731" i="1"/>
  <c r="C1732" i="1"/>
  <c r="D1732" i="1"/>
  <c r="E1732" i="1"/>
  <c r="C1733" i="1"/>
  <c r="D1733" i="1"/>
  <c r="E1733" i="1"/>
  <c r="C1734" i="1"/>
  <c r="D1734" i="1"/>
  <c r="E1734" i="1"/>
  <c r="C1735" i="1"/>
  <c r="D1735" i="1"/>
  <c r="E1735" i="1"/>
  <c r="C1736" i="1"/>
  <c r="D1736" i="1"/>
  <c r="E1736" i="1"/>
  <c r="C1737" i="1"/>
  <c r="D1737" i="1"/>
  <c r="E1737" i="1"/>
  <c r="C1738" i="1"/>
  <c r="D1738" i="1"/>
  <c r="E1738" i="1"/>
  <c r="C1739" i="1"/>
  <c r="D1739" i="1"/>
  <c r="E1739" i="1"/>
  <c r="C1740" i="1"/>
  <c r="D1740" i="1"/>
  <c r="E1740" i="1"/>
  <c r="C1741" i="1"/>
  <c r="D1741" i="1"/>
  <c r="E1741" i="1"/>
  <c r="C1742" i="1"/>
  <c r="D1742" i="1"/>
  <c r="E1742" i="1"/>
  <c r="C1743" i="1"/>
  <c r="D1743" i="1"/>
  <c r="E1743" i="1"/>
  <c r="C1744" i="1"/>
  <c r="D1744" i="1"/>
  <c r="E1744" i="1"/>
  <c r="C1745" i="1"/>
  <c r="D1745" i="1"/>
  <c r="E1745" i="1"/>
  <c r="C1746" i="1"/>
  <c r="D1746" i="1"/>
  <c r="E1746" i="1"/>
  <c r="C1747" i="1"/>
  <c r="D1747" i="1"/>
  <c r="E1747" i="1"/>
  <c r="C1748" i="1"/>
  <c r="D1748" i="1"/>
  <c r="E1748" i="1"/>
  <c r="C1749" i="1"/>
  <c r="D1749" i="1"/>
  <c r="E1749" i="1"/>
  <c r="C1750" i="1"/>
  <c r="D1750" i="1"/>
  <c r="E1750" i="1"/>
  <c r="C1751" i="1"/>
  <c r="D1751" i="1"/>
  <c r="E1751" i="1"/>
  <c r="C1752" i="1"/>
  <c r="D1752" i="1"/>
  <c r="E1752" i="1"/>
  <c r="C1753" i="1"/>
  <c r="D1753" i="1"/>
  <c r="E1753" i="1"/>
  <c r="C1754" i="1"/>
  <c r="D1754" i="1"/>
  <c r="E1754" i="1"/>
  <c r="C1755" i="1"/>
  <c r="D1755" i="1"/>
  <c r="E1755" i="1"/>
  <c r="C1756" i="1"/>
  <c r="D1756" i="1"/>
  <c r="E1756" i="1"/>
  <c r="C1757" i="1"/>
  <c r="D1757" i="1"/>
  <c r="E1757" i="1"/>
  <c r="C1758" i="1"/>
  <c r="D1758" i="1"/>
  <c r="E1758" i="1"/>
  <c r="C1759" i="1"/>
  <c r="D1759" i="1"/>
  <c r="E1759" i="1"/>
  <c r="C1760" i="1"/>
  <c r="D1760" i="1"/>
  <c r="E1760" i="1"/>
  <c r="C1761" i="1"/>
  <c r="D1761" i="1"/>
  <c r="E1761" i="1"/>
  <c r="C1762" i="1"/>
  <c r="D1762" i="1"/>
  <c r="E1762" i="1"/>
  <c r="C1763" i="1"/>
  <c r="D1763" i="1"/>
  <c r="E1763" i="1"/>
  <c r="C1764" i="1"/>
  <c r="D1764" i="1"/>
  <c r="E1764" i="1"/>
  <c r="C1765" i="1"/>
  <c r="D1765" i="1"/>
  <c r="E1765" i="1"/>
  <c r="C1766" i="1"/>
  <c r="D1766" i="1"/>
  <c r="E1766" i="1"/>
  <c r="C1767" i="1"/>
  <c r="D1767" i="1"/>
  <c r="E1767" i="1"/>
  <c r="C1768" i="1"/>
  <c r="D1768" i="1"/>
  <c r="E1768" i="1"/>
  <c r="C1769" i="1"/>
  <c r="D1769" i="1"/>
  <c r="E1769" i="1"/>
  <c r="C1770" i="1"/>
  <c r="D1770" i="1"/>
  <c r="E1770" i="1"/>
  <c r="C1771" i="1"/>
  <c r="D1771" i="1"/>
  <c r="E1771" i="1"/>
  <c r="C1772" i="1"/>
  <c r="D1772" i="1"/>
  <c r="E1772" i="1"/>
  <c r="C1773" i="1"/>
  <c r="D1773" i="1"/>
  <c r="E1773" i="1"/>
  <c r="C1774" i="1"/>
  <c r="D1774" i="1"/>
  <c r="E1774" i="1"/>
  <c r="C1775" i="1"/>
  <c r="D1775" i="1"/>
  <c r="E1775" i="1"/>
  <c r="C1776" i="1"/>
  <c r="D1776" i="1"/>
  <c r="E1776" i="1"/>
  <c r="C1777" i="1"/>
  <c r="D1777" i="1"/>
  <c r="E1777" i="1"/>
  <c r="C1778" i="1"/>
  <c r="D1778" i="1"/>
  <c r="E1778" i="1"/>
  <c r="C1779" i="1"/>
  <c r="D1779" i="1"/>
  <c r="E1779" i="1"/>
  <c r="C1780" i="1"/>
  <c r="D1780" i="1"/>
  <c r="E1780" i="1"/>
  <c r="C1781" i="1"/>
  <c r="D1781" i="1"/>
  <c r="E1781" i="1"/>
  <c r="C1782" i="1"/>
  <c r="D1782" i="1"/>
  <c r="E1782" i="1"/>
  <c r="C1783" i="1"/>
  <c r="D1783" i="1"/>
  <c r="E1783" i="1"/>
  <c r="C1784" i="1"/>
  <c r="D1784" i="1"/>
  <c r="E1784" i="1"/>
  <c r="C1785" i="1"/>
  <c r="D1785" i="1"/>
  <c r="E1785" i="1"/>
  <c r="C1786" i="1"/>
  <c r="D1786" i="1"/>
  <c r="E1786" i="1"/>
  <c r="C1787" i="1"/>
  <c r="D1787" i="1"/>
  <c r="E1787" i="1"/>
  <c r="C1788" i="1"/>
  <c r="D1788" i="1"/>
  <c r="E1788" i="1"/>
  <c r="C1789" i="1"/>
  <c r="D1789" i="1"/>
  <c r="E1789" i="1"/>
  <c r="C1790" i="1"/>
  <c r="D1790" i="1"/>
  <c r="E1790" i="1"/>
  <c r="C1791" i="1"/>
  <c r="D1791" i="1"/>
  <c r="E1791" i="1"/>
  <c r="C1792" i="1"/>
  <c r="D1792" i="1"/>
  <c r="E1792" i="1"/>
  <c r="C1793" i="1"/>
  <c r="D1793" i="1"/>
  <c r="E1793" i="1"/>
  <c r="C1794" i="1"/>
  <c r="D1794" i="1"/>
  <c r="E1794" i="1"/>
  <c r="C1795" i="1"/>
  <c r="D1795" i="1"/>
  <c r="E1795" i="1"/>
  <c r="C1796" i="1"/>
  <c r="D1796" i="1"/>
  <c r="E1796" i="1"/>
  <c r="C1797" i="1"/>
  <c r="D1797" i="1"/>
  <c r="E1797" i="1"/>
  <c r="C1798" i="1"/>
  <c r="D1798" i="1"/>
  <c r="E1798" i="1"/>
  <c r="C1799" i="1"/>
  <c r="D1799" i="1"/>
  <c r="E1799" i="1"/>
  <c r="C1800" i="1"/>
  <c r="D1800" i="1"/>
  <c r="E1800" i="1"/>
  <c r="C1801" i="1"/>
  <c r="D1801" i="1"/>
  <c r="E1801" i="1"/>
  <c r="C1802" i="1"/>
  <c r="D1802" i="1"/>
  <c r="E1802" i="1"/>
  <c r="C1803" i="1"/>
  <c r="D1803" i="1"/>
  <c r="E1803" i="1"/>
  <c r="C1804" i="1"/>
  <c r="D1804" i="1"/>
  <c r="E1804" i="1"/>
  <c r="C1805" i="1"/>
  <c r="D1805" i="1"/>
  <c r="E1805" i="1"/>
  <c r="C1806" i="1"/>
  <c r="D1806" i="1"/>
  <c r="E1806" i="1"/>
  <c r="C1807" i="1"/>
  <c r="D1807" i="1"/>
  <c r="E1807" i="1"/>
  <c r="C1808" i="1"/>
  <c r="D1808" i="1"/>
  <c r="E1808" i="1"/>
  <c r="C1809" i="1"/>
  <c r="D1809" i="1"/>
  <c r="E1809" i="1"/>
  <c r="C1810" i="1"/>
  <c r="D1810" i="1"/>
  <c r="E1810" i="1"/>
  <c r="C1811" i="1"/>
  <c r="D1811" i="1"/>
  <c r="E1811" i="1"/>
  <c r="C1812" i="1"/>
  <c r="D1812" i="1"/>
  <c r="E1812" i="1"/>
  <c r="C1813" i="1"/>
  <c r="D1813" i="1"/>
  <c r="E1813" i="1"/>
  <c r="C1814" i="1"/>
  <c r="D1814" i="1"/>
  <c r="E1814" i="1"/>
  <c r="C1815" i="1"/>
  <c r="D1815" i="1"/>
  <c r="E1815" i="1"/>
  <c r="C1816" i="1"/>
  <c r="D1816" i="1"/>
  <c r="E1816" i="1"/>
  <c r="C1817" i="1"/>
  <c r="D1817" i="1"/>
  <c r="E1817" i="1"/>
  <c r="C1818" i="1"/>
  <c r="D1818" i="1"/>
  <c r="E1818" i="1"/>
  <c r="C1819" i="1"/>
  <c r="D1819" i="1"/>
  <c r="E1819" i="1"/>
  <c r="C1820" i="1"/>
  <c r="D1820" i="1"/>
  <c r="E1820" i="1"/>
  <c r="C1821" i="1"/>
  <c r="D1821" i="1"/>
  <c r="E1821" i="1"/>
  <c r="C1822" i="1"/>
  <c r="D1822" i="1"/>
  <c r="E1822" i="1"/>
  <c r="C1823" i="1"/>
  <c r="D1823" i="1"/>
  <c r="E1823" i="1"/>
  <c r="C1824" i="1"/>
  <c r="D1824" i="1"/>
  <c r="E1824" i="1"/>
  <c r="C1825" i="1"/>
  <c r="D1825" i="1"/>
  <c r="E1825" i="1"/>
  <c r="C1826" i="1"/>
  <c r="D1826" i="1"/>
  <c r="E1826" i="1"/>
  <c r="C1827" i="1"/>
  <c r="D1827" i="1"/>
  <c r="E1827" i="1"/>
  <c r="C1828" i="1"/>
  <c r="D1828" i="1"/>
  <c r="E1828" i="1"/>
  <c r="C1829" i="1"/>
  <c r="D1829" i="1"/>
  <c r="E1829" i="1"/>
  <c r="C1830" i="1"/>
  <c r="D1830" i="1"/>
  <c r="E1830" i="1"/>
  <c r="C1831" i="1"/>
  <c r="D1831" i="1"/>
  <c r="E1831" i="1"/>
  <c r="C1832" i="1"/>
  <c r="D1832" i="1"/>
  <c r="E1832" i="1"/>
  <c r="C1833" i="1"/>
  <c r="D1833" i="1"/>
  <c r="E1833" i="1"/>
  <c r="C1834" i="1"/>
  <c r="D1834" i="1"/>
  <c r="E1834" i="1"/>
  <c r="C1835" i="1"/>
  <c r="D1835" i="1"/>
  <c r="E1835" i="1"/>
  <c r="C1836" i="1"/>
  <c r="D1836" i="1"/>
  <c r="E1836" i="1"/>
  <c r="C1837" i="1"/>
  <c r="D1837" i="1"/>
  <c r="E1837" i="1"/>
  <c r="C1838" i="1"/>
  <c r="D1838" i="1"/>
  <c r="E1838" i="1"/>
  <c r="C1839" i="1"/>
  <c r="D1839" i="1"/>
  <c r="E1839" i="1"/>
  <c r="C1840" i="1"/>
  <c r="D1840" i="1"/>
  <c r="E1840" i="1"/>
  <c r="C1841" i="1"/>
  <c r="D1841" i="1"/>
  <c r="E1841" i="1"/>
  <c r="C1842" i="1"/>
  <c r="D1842" i="1"/>
  <c r="E1842" i="1"/>
  <c r="C1843" i="1"/>
  <c r="D1843" i="1"/>
  <c r="E1843" i="1"/>
  <c r="C1844" i="1"/>
  <c r="D1844" i="1"/>
  <c r="E1844" i="1"/>
  <c r="C1845" i="1"/>
  <c r="D1845" i="1"/>
  <c r="E1845" i="1"/>
  <c r="C1846" i="1"/>
  <c r="D1846" i="1"/>
  <c r="E1846" i="1"/>
  <c r="C1847" i="1"/>
  <c r="D1847" i="1"/>
  <c r="E1847" i="1"/>
  <c r="C1848" i="1"/>
  <c r="D1848" i="1"/>
  <c r="E1848" i="1"/>
  <c r="C1849" i="1"/>
  <c r="D1849" i="1"/>
  <c r="E1849" i="1"/>
  <c r="C1850" i="1"/>
  <c r="D1850" i="1"/>
  <c r="E1850" i="1"/>
  <c r="C1851" i="1"/>
  <c r="D1851" i="1"/>
  <c r="E1851" i="1"/>
  <c r="C1852" i="1"/>
  <c r="D1852" i="1"/>
  <c r="E1852" i="1"/>
  <c r="C1853" i="1"/>
  <c r="D1853" i="1"/>
  <c r="E1853" i="1"/>
  <c r="C1854" i="1"/>
  <c r="D1854" i="1"/>
  <c r="E1854" i="1"/>
  <c r="C1855" i="1"/>
  <c r="D1855" i="1"/>
  <c r="E1855" i="1"/>
  <c r="C1856" i="1"/>
  <c r="D1856" i="1"/>
  <c r="E1856" i="1"/>
  <c r="C1857" i="1"/>
  <c r="D1857" i="1"/>
  <c r="E1857" i="1"/>
  <c r="C1858" i="1"/>
  <c r="D1858" i="1"/>
  <c r="E1858" i="1"/>
  <c r="C1859" i="1"/>
  <c r="D1859" i="1"/>
  <c r="E1859" i="1"/>
  <c r="C1860" i="1"/>
  <c r="D1860" i="1"/>
  <c r="E1860" i="1"/>
  <c r="C1861" i="1"/>
  <c r="D1861" i="1"/>
  <c r="E1861" i="1"/>
  <c r="C1862" i="1"/>
  <c r="D1862" i="1"/>
  <c r="E1862" i="1"/>
  <c r="C1863" i="1"/>
  <c r="D1863" i="1"/>
  <c r="E1863" i="1"/>
  <c r="C1864" i="1"/>
  <c r="D1864" i="1"/>
  <c r="E1864" i="1"/>
  <c r="C1865" i="1"/>
  <c r="D1865" i="1"/>
  <c r="E1865" i="1"/>
  <c r="C1866" i="1"/>
  <c r="D1866" i="1"/>
  <c r="E1866" i="1"/>
  <c r="C1867" i="1"/>
  <c r="D1867" i="1"/>
  <c r="E1867" i="1"/>
  <c r="C1868" i="1"/>
  <c r="D1868" i="1"/>
  <c r="E1868" i="1"/>
  <c r="C1869" i="1"/>
  <c r="D1869" i="1"/>
  <c r="E1869" i="1"/>
  <c r="C1870" i="1"/>
  <c r="D1870" i="1"/>
  <c r="E1870" i="1"/>
  <c r="C1871" i="1"/>
  <c r="D1871" i="1"/>
  <c r="E1871" i="1"/>
  <c r="C1872" i="1"/>
  <c r="D1872" i="1"/>
  <c r="E1872" i="1"/>
  <c r="C1873" i="1"/>
  <c r="D1873" i="1"/>
  <c r="E1873" i="1"/>
  <c r="C1874" i="1"/>
  <c r="D1874" i="1"/>
  <c r="E1874" i="1"/>
  <c r="C1875" i="1"/>
  <c r="D1875" i="1"/>
  <c r="E1875" i="1"/>
  <c r="C1876" i="1"/>
  <c r="D1876" i="1"/>
  <c r="E1876" i="1"/>
  <c r="C1877" i="1"/>
  <c r="D1877" i="1"/>
  <c r="E1877" i="1"/>
  <c r="C1878" i="1"/>
  <c r="D1878" i="1"/>
  <c r="E1878" i="1"/>
  <c r="C1879" i="1"/>
  <c r="D1879" i="1"/>
  <c r="E1879" i="1"/>
  <c r="C1880" i="1"/>
  <c r="D1880" i="1"/>
  <c r="E1880" i="1"/>
  <c r="C1881" i="1"/>
  <c r="D1881" i="1"/>
  <c r="E1881" i="1"/>
  <c r="C1882" i="1"/>
  <c r="D1882" i="1"/>
  <c r="E1882" i="1"/>
  <c r="C1883" i="1"/>
  <c r="D1883" i="1"/>
  <c r="E1883" i="1"/>
  <c r="C1884" i="1"/>
  <c r="D1884" i="1"/>
  <c r="E1884" i="1"/>
  <c r="C1885" i="1"/>
  <c r="D1885" i="1"/>
  <c r="E1885" i="1"/>
  <c r="C1886" i="1"/>
  <c r="D1886" i="1"/>
  <c r="E1886" i="1"/>
  <c r="C1887" i="1"/>
  <c r="D1887" i="1"/>
  <c r="E1887" i="1"/>
  <c r="C1888" i="1"/>
  <c r="D1888" i="1"/>
  <c r="E1888" i="1"/>
  <c r="C1889" i="1"/>
  <c r="D1889" i="1"/>
  <c r="E1889" i="1"/>
  <c r="C1890" i="1"/>
  <c r="D1890" i="1"/>
  <c r="E1890" i="1"/>
  <c r="C1891" i="1"/>
  <c r="D1891" i="1"/>
  <c r="E1891" i="1"/>
  <c r="C1892" i="1"/>
  <c r="D1892" i="1"/>
  <c r="E1892" i="1"/>
  <c r="C1893" i="1"/>
  <c r="D1893" i="1"/>
  <c r="E1893" i="1"/>
  <c r="C1894" i="1"/>
  <c r="D1894" i="1"/>
  <c r="E1894" i="1"/>
  <c r="C1895" i="1"/>
  <c r="D1895" i="1"/>
  <c r="E1895" i="1"/>
  <c r="C1896" i="1"/>
  <c r="D1896" i="1"/>
  <c r="E1896" i="1"/>
  <c r="C1897" i="1"/>
  <c r="D1897" i="1"/>
  <c r="E1897" i="1"/>
  <c r="C1898" i="1"/>
  <c r="D1898" i="1"/>
  <c r="E1898" i="1"/>
  <c r="C1899" i="1"/>
  <c r="D1899" i="1"/>
  <c r="E1899" i="1"/>
  <c r="C1900" i="1"/>
  <c r="D1900" i="1"/>
  <c r="E1900" i="1"/>
  <c r="C1901" i="1"/>
  <c r="D1901" i="1"/>
  <c r="E1901" i="1"/>
  <c r="C1902" i="1"/>
  <c r="D1902" i="1"/>
  <c r="E1902" i="1"/>
  <c r="C1903" i="1"/>
  <c r="D1903" i="1"/>
  <c r="E1903" i="1"/>
  <c r="C1904" i="1"/>
  <c r="D1904" i="1"/>
  <c r="E1904" i="1"/>
  <c r="C1905" i="1"/>
  <c r="D1905" i="1"/>
  <c r="E1905" i="1"/>
  <c r="C1906" i="1"/>
  <c r="D1906" i="1"/>
  <c r="E1906" i="1"/>
  <c r="C1907" i="1"/>
  <c r="D1907" i="1"/>
  <c r="E1907" i="1"/>
  <c r="C1908" i="1"/>
  <c r="D1908" i="1"/>
  <c r="E1908" i="1"/>
  <c r="C1909" i="1"/>
  <c r="D1909" i="1"/>
  <c r="E1909" i="1"/>
  <c r="C1910" i="1"/>
  <c r="D1910" i="1"/>
  <c r="E1910" i="1"/>
  <c r="C1911" i="1"/>
  <c r="D1911" i="1"/>
  <c r="E1911" i="1"/>
  <c r="C1912" i="1"/>
  <c r="D1912" i="1"/>
  <c r="E1912" i="1"/>
  <c r="C1913" i="1"/>
  <c r="D1913" i="1"/>
  <c r="E1913" i="1"/>
  <c r="C1914" i="1"/>
  <c r="D1914" i="1"/>
  <c r="E1914" i="1"/>
  <c r="C1915" i="1"/>
  <c r="D1915" i="1"/>
  <c r="E1915" i="1"/>
  <c r="C1916" i="1"/>
  <c r="D1916" i="1"/>
  <c r="E1916" i="1"/>
  <c r="C1917" i="1"/>
  <c r="D1917" i="1"/>
  <c r="E1917" i="1"/>
  <c r="C1918" i="1"/>
  <c r="D1918" i="1"/>
  <c r="E1918" i="1"/>
  <c r="C1919" i="1"/>
  <c r="D1919" i="1"/>
  <c r="E1919" i="1"/>
  <c r="C1920" i="1"/>
  <c r="D1920" i="1"/>
  <c r="E1920" i="1"/>
  <c r="C1921" i="1"/>
  <c r="D1921" i="1"/>
  <c r="E1921" i="1"/>
  <c r="C1922" i="1"/>
  <c r="D1922" i="1"/>
  <c r="E1922" i="1"/>
  <c r="C1923" i="1"/>
  <c r="D1923" i="1"/>
  <c r="E1923" i="1"/>
  <c r="C1924" i="1"/>
  <c r="D1924" i="1"/>
  <c r="E1924" i="1"/>
  <c r="C1925" i="1"/>
  <c r="D1925" i="1"/>
  <c r="E1925" i="1"/>
  <c r="C1926" i="1"/>
  <c r="D1926" i="1"/>
  <c r="E1926" i="1"/>
  <c r="C1927" i="1"/>
  <c r="D1927" i="1"/>
  <c r="E1927" i="1"/>
  <c r="C1928" i="1"/>
  <c r="D1928" i="1"/>
  <c r="E1928" i="1"/>
  <c r="C1929" i="1"/>
  <c r="D1929" i="1"/>
  <c r="E1929" i="1"/>
  <c r="C1930" i="1"/>
  <c r="D1930" i="1"/>
  <c r="E1930" i="1"/>
  <c r="C1931" i="1"/>
  <c r="D1931" i="1"/>
  <c r="E1931" i="1"/>
  <c r="C1932" i="1"/>
  <c r="D1932" i="1"/>
  <c r="E1932" i="1"/>
  <c r="C1933" i="1"/>
  <c r="D1933" i="1"/>
  <c r="E1933" i="1"/>
  <c r="C1934" i="1"/>
  <c r="D1934" i="1"/>
  <c r="E1934" i="1"/>
  <c r="C1935" i="1"/>
  <c r="D1935" i="1"/>
  <c r="E1935" i="1"/>
  <c r="C1936" i="1"/>
  <c r="D1936" i="1"/>
  <c r="E1936" i="1"/>
  <c r="C1937" i="1"/>
  <c r="D1937" i="1"/>
  <c r="E1937" i="1"/>
  <c r="C1938" i="1"/>
  <c r="D1938" i="1"/>
  <c r="E1938" i="1"/>
  <c r="C1939" i="1"/>
  <c r="D1939" i="1"/>
  <c r="E1939" i="1"/>
  <c r="C1940" i="1"/>
  <c r="D1940" i="1"/>
  <c r="E1940" i="1"/>
  <c r="C1941" i="1"/>
  <c r="D1941" i="1"/>
  <c r="E1941" i="1"/>
  <c r="C1942" i="1"/>
  <c r="D1942" i="1"/>
  <c r="E1942" i="1"/>
  <c r="C1943" i="1"/>
  <c r="D1943" i="1"/>
  <c r="E1943" i="1"/>
  <c r="C1944" i="1"/>
  <c r="D1944" i="1"/>
  <c r="E1944" i="1"/>
  <c r="C1945" i="1"/>
  <c r="D1945" i="1"/>
  <c r="E1945" i="1"/>
  <c r="C1946" i="1"/>
  <c r="D1946" i="1"/>
  <c r="E1946" i="1"/>
  <c r="C1947" i="1"/>
  <c r="D1947" i="1"/>
  <c r="E1947" i="1"/>
  <c r="C1948" i="1"/>
  <c r="D1948" i="1"/>
  <c r="E1948" i="1"/>
  <c r="C1949" i="1"/>
  <c r="D1949" i="1"/>
  <c r="E1949" i="1"/>
  <c r="C1950" i="1"/>
  <c r="D1950" i="1"/>
  <c r="E1950" i="1"/>
  <c r="C1951" i="1"/>
  <c r="D1951" i="1"/>
  <c r="E1951" i="1"/>
  <c r="C1952" i="1"/>
  <c r="D1952" i="1"/>
  <c r="E1952" i="1"/>
  <c r="C1953" i="1"/>
  <c r="D1953" i="1"/>
  <c r="E1953" i="1"/>
  <c r="C1954" i="1"/>
  <c r="D1954" i="1"/>
  <c r="E1954" i="1"/>
  <c r="C1955" i="1"/>
  <c r="D1955" i="1"/>
  <c r="E1955" i="1"/>
  <c r="C1956" i="1"/>
  <c r="D1956" i="1"/>
  <c r="E1956" i="1"/>
  <c r="C1957" i="1"/>
  <c r="D1957" i="1"/>
  <c r="E1957" i="1"/>
  <c r="C1958" i="1"/>
  <c r="D1958" i="1"/>
  <c r="E1958" i="1"/>
  <c r="C1959" i="1"/>
  <c r="D1959" i="1"/>
  <c r="E1959" i="1"/>
  <c r="C1960" i="1"/>
  <c r="D1960" i="1"/>
  <c r="E1960" i="1"/>
  <c r="C1961" i="1"/>
  <c r="D1961" i="1"/>
  <c r="E1961" i="1"/>
  <c r="C1962" i="1"/>
  <c r="D1962" i="1"/>
  <c r="E1962" i="1"/>
  <c r="C1963" i="1"/>
  <c r="D1963" i="1"/>
  <c r="E1963" i="1"/>
  <c r="C1964" i="1"/>
  <c r="D1964" i="1"/>
  <c r="E1964" i="1"/>
  <c r="C1965" i="1"/>
  <c r="D1965" i="1"/>
  <c r="E1965" i="1"/>
  <c r="C1966" i="1"/>
  <c r="D1966" i="1"/>
  <c r="E1966" i="1"/>
  <c r="C1967" i="1"/>
  <c r="D1967" i="1"/>
  <c r="E1967" i="1"/>
  <c r="C1968" i="1"/>
  <c r="D1968" i="1"/>
  <c r="E1968" i="1"/>
  <c r="C1969" i="1"/>
  <c r="D1969" i="1"/>
  <c r="E1969" i="1"/>
  <c r="C1970" i="1"/>
  <c r="D1970" i="1"/>
  <c r="E1970" i="1"/>
  <c r="C1971" i="1"/>
  <c r="D1971" i="1"/>
  <c r="E1971" i="1"/>
  <c r="C1972" i="1"/>
  <c r="D1972" i="1"/>
  <c r="E1972" i="1"/>
  <c r="C1973" i="1"/>
  <c r="D1973" i="1"/>
  <c r="E1973" i="1"/>
  <c r="C1974" i="1"/>
  <c r="D1974" i="1"/>
  <c r="E1974" i="1"/>
  <c r="C1975" i="1"/>
  <c r="D1975" i="1"/>
  <c r="E1975" i="1"/>
  <c r="C1976" i="1"/>
  <c r="D1976" i="1"/>
  <c r="E1976" i="1"/>
  <c r="C1977" i="1"/>
  <c r="D1977" i="1"/>
  <c r="E1977" i="1"/>
  <c r="C1978" i="1"/>
  <c r="D1978" i="1"/>
  <c r="E1978" i="1"/>
  <c r="C1979" i="1"/>
  <c r="D1979" i="1"/>
  <c r="E1979" i="1"/>
  <c r="C1980" i="1"/>
  <c r="D1980" i="1"/>
  <c r="E1980" i="1"/>
  <c r="C1981" i="1"/>
  <c r="D1981" i="1"/>
  <c r="E1981" i="1"/>
  <c r="C1982" i="1"/>
  <c r="D1982" i="1"/>
  <c r="E1982" i="1"/>
  <c r="C1983" i="1"/>
  <c r="D1983" i="1"/>
  <c r="E1983" i="1"/>
  <c r="C1984" i="1"/>
  <c r="D1984" i="1"/>
  <c r="E1984" i="1"/>
  <c r="C1985" i="1"/>
  <c r="D1985" i="1"/>
  <c r="E1985" i="1"/>
  <c r="C1986" i="1"/>
  <c r="D1986" i="1"/>
  <c r="E1986" i="1"/>
  <c r="C1987" i="1"/>
  <c r="D1987" i="1"/>
  <c r="E1987" i="1"/>
  <c r="C1988" i="1"/>
  <c r="D1988" i="1"/>
  <c r="E1988" i="1"/>
  <c r="C1989" i="1"/>
  <c r="D1989" i="1"/>
  <c r="E1989" i="1"/>
  <c r="C1990" i="1"/>
  <c r="D1990" i="1"/>
  <c r="E1990" i="1"/>
  <c r="C1991" i="1"/>
  <c r="D1991" i="1"/>
  <c r="E1991" i="1"/>
  <c r="C1992" i="1"/>
  <c r="D1992" i="1"/>
  <c r="E1992" i="1"/>
  <c r="C1993" i="1"/>
  <c r="D1993" i="1"/>
  <c r="E1993" i="1"/>
  <c r="C1994" i="1"/>
  <c r="D1994" i="1"/>
  <c r="E1994" i="1"/>
  <c r="C1995" i="1"/>
  <c r="D1995" i="1"/>
  <c r="E1995" i="1"/>
  <c r="C1996" i="1"/>
  <c r="D1996" i="1"/>
  <c r="E1996" i="1"/>
  <c r="C1997" i="1"/>
  <c r="D1997" i="1"/>
  <c r="E1997" i="1"/>
  <c r="C1998" i="1"/>
  <c r="D1998" i="1"/>
  <c r="E1998" i="1"/>
  <c r="C1999" i="1"/>
  <c r="D1999" i="1"/>
  <c r="E1999" i="1"/>
  <c r="C2000" i="1"/>
  <c r="D2000" i="1"/>
  <c r="E2000" i="1"/>
  <c r="C2001" i="1"/>
  <c r="D2001" i="1"/>
  <c r="E2001" i="1"/>
  <c r="C2002" i="1"/>
  <c r="D2002" i="1"/>
  <c r="E2002" i="1"/>
  <c r="C2003" i="1"/>
  <c r="D2003" i="1"/>
  <c r="E2003" i="1"/>
  <c r="C2004" i="1"/>
  <c r="D2004" i="1"/>
  <c r="E2004" i="1"/>
  <c r="C2005" i="1"/>
  <c r="D2005" i="1"/>
  <c r="E2005" i="1"/>
  <c r="C2006" i="1"/>
  <c r="D2006" i="1"/>
  <c r="E2006" i="1"/>
  <c r="C2007" i="1"/>
  <c r="D2007" i="1"/>
  <c r="E2007" i="1"/>
  <c r="C2008" i="1"/>
  <c r="D2008" i="1"/>
  <c r="E2008" i="1"/>
  <c r="C2009" i="1"/>
  <c r="D2009" i="1"/>
  <c r="E2009" i="1"/>
  <c r="C2010" i="1"/>
  <c r="D2010" i="1"/>
  <c r="E2010" i="1"/>
  <c r="C2011" i="1"/>
  <c r="D2011" i="1"/>
  <c r="E2011" i="1"/>
  <c r="C2012" i="1"/>
  <c r="D2012" i="1"/>
  <c r="E2012" i="1"/>
  <c r="C2013" i="1"/>
  <c r="D2013" i="1"/>
  <c r="E2013" i="1"/>
  <c r="C2014" i="1"/>
  <c r="D2014" i="1"/>
  <c r="E2014" i="1"/>
  <c r="C2015" i="1"/>
  <c r="D2015" i="1"/>
  <c r="E2015" i="1"/>
  <c r="C2016" i="1"/>
  <c r="D2016" i="1"/>
  <c r="E2016" i="1"/>
  <c r="C2017" i="1"/>
  <c r="D2017" i="1"/>
  <c r="E2017" i="1"/>
  <c r="C2018" i="1"/>
  <c r="D2018" i="1"/>
  <c r="E2018" i="1"/>
  <c r="C2019" i="1"/>
  <c r="D2019" i="1"/>
  <c r="E2019" i="1"/>
  <c r="C2020" i="1"/>
  <c r="D2020" i="1"/>
  <c r="E2020" i="1"/>
  <c r="C2021" i="1"/>
  <c r="D2021" i="1"/>
  <c r="E2021" i="1"/>
  <c r="C2022" i="1"/>
  <c r="D2022" i="1"/>
  <c r="E2022" i="1"/>
  <c r="C2023" i="1"/>
  <c r="D2023" i="1"/>
  <c r="E2023" i="1"/>
  <c r="C2024" i="1"/>
  <c r="D2024" i="1"/>
  <c r="E2024" i="1"/>
  <c r="C2025" i="1"/>
  <c r="D2025" i="1"/>
  <c r="E2025" i="1"/>
  <c r="C2026" i="1"/>
  <c r="D2026" i="1"/>
  <c r="E2026" i="1"/>
  <c r="C2027" i="1"/>
  <c r="D2027" i="1"/>
  <c r="E2027" i="1"/>
  <c r="C2028" i="1"/>
  <c r="D2028" i="1"/>
  <c r="E2028" i="1"/>
  <c r="C2029" i="1"/>
  <c r="D2029" i="1"/>
  <c r="E2029" i="1"/>
  <c r="C2030" i="1"/>
  <c r="D2030" i="1"/>
  <c r="E2030" i="1"/>
  <c r="C2031" i="1"/>
  <c r="D2031" i="1"/>
  <c r="E2031" i="1"/>
  <c r="C2032" i="1"/>
  <c r="D2032" i="1"/>
  <c r="E2032" i="1"/>
  <c r="C2033" i="1"/>
  <c r="D2033" i="1"/>
  <c r="E2033" i="1"/>
  <c r="C2034" i="1"/>
  <c r="D2034" i="1"/>
  <c r="E2034" i="1"/>
  <c r="C2035" i="1"/>
  <c r="D2035" i="1"/>
  <c r="E2035" i="1"/>
  <c r="C2036" i="1"/>
  <c r="D2036" i="1"/>
  <c r="E2036" i="1"/>
  <c r="C2037" i="1"/>
  <c r="D2037" i="1"/>
  <c r="E2037" i="1"/>
  <c r="C2038" i="1"/>
  <c r="D2038" i="1"/>
  <c r="E2038" i="1"/>
  <c r="C2039" i="1"/>
  <c r="D2039" i="1"/>
  <c r="E2039" i="1"/>
  <c r="C2040" i="1"/>
  <c r="D2040" i="1"/>
  <c r="E2040" i="1"/>
  <c r="C2041" i="1"/>
  <c r="D2041" i="1"/>
  <c r="E2041" i="1"/>
  <c r="C2042" i="1"/>
  <c r="D2042" i="1"/>
  <c r="E2042" i="1"/>
  <c r="C2043" i="1"/>
  <c r="D2043" i="1"/>
  <c r="E2043" i="1"/>
  <c r="C2044" i="1"/>
  <c r="D2044" i="1"/>
  <c r="E2044" i="1"/>
  <c r="C2045" i="1"/>
  <c r="D2045" i="1"/>
  <c r="E2045" i="1"/>
  <c r="C2046" i="1"/>
  <c r="D2046" i="1"/>
  <c r="E2046" i="1"/>
  <c r="C2047" i="1"/>
  <c r="D2047" i="1"/>
  <c r="E2047" i="1"/>
  <c r="C2048" i="1"/>
  <c r="D2048" i="1"/>
  <c r="E2048" i="1"/>
  <c r="C2049" i="1"/>
  <c r="D2049" i="1"/>
  <c r="E2049" i="1"/>
  <c r="C2050" i="1"/>
  <c r="D2050" i="1"/>
  <c r="E2050" i="1"/>
  <c r="C2051" i="1"/>
  <c r="D2051" i="1"/>
  <c r="E2051" i="1"/>
  <c r="C2052" i="1"/>
  <c r="D2052" i="1"/>
  <c r="E2052" i="1"/>
  <c r="C2053" i="1"/>
  <c r="D2053" i="1"/>
  <c r="E2053" i="1"/>
  <c r="C2054" i="1"/>
  <c r="D2054" i="1"/>
  <c r="E2054" i="1"/>
  <c r="C2055" i="1"/>
  <c r="D2055" i="1"/>
  <c r="E2055" i="1"/>
  <c r="C2056" i="1"/>
  <c r="D2056" i="1"/>
  <c r="E2056" i="1"/>
  <c r="C2057" i="1"/>
  <c r="D2057" i="1"/>
  <c r="E2057" i="1"/>
  <c r="C2058" i="1"/>
  <c r="D2058" i="1"/>
  <c r="E2058" i="1"/>
  <c r="C2059" i="1"/>
  <c r="D2059" i="1"/>
  <c r="E2059" i="1"/>
  <c r="C2060" i="1"/>
  <c r="D2060" i="1"/>
  <c r="E2060" i="1"/>
  <c r="C2061" i="1"/>
  <c r="D2061" i="1"/>
  <c r="E2061" i="1"/>
  <c r="C2062" i="1"/>
  <c r="D2062" i="1"/>
  <c r="E2062" i="1"/>
  <c r="C2063" i="1"/>
  <c r="D2063" i="1"/>
  <c r="E2063" i="1"/>
  <c r="C2064" i="1"/>
  <c r="D2064" i="1"/>
  <c r="E2064" i="1"/>
  <c r="C2065" i="1"/>
  <c r="D2065" i="1"/>
  <c r="E2065" i="1"/>
  <c r="C2066" i="1"/>
  <c r="D2066" i="1"/>
  <c r="E2066" i="1"/>
  <c r="C2067" i="1"/>
  <c r="D2067" i="1"/>
  <c r="E2067" i="1"/>
  <c r="C2068" i="1"/>
  <c r="D2068" i="1"/>
  <c r="E2068" i="1"/>
  <c r="C2069" i="1"/>
  <c r="D2069" i="1"/>
  <c r="E2069" i="1"/>
  <c r="C2070" i="1"/>
  <c r="D2070" i="1"/>
  <c r="E2070" i="1"/>
  <c r="C2071" i="1"/>
  <c r="D2071" i="1"/>
  <c r="E2071" i="1"/>
  <c r="C2072" i="1"/>
  <c r="D2072" i="1"/>
  <c r="E2072" i="1"/>
  <c r="C2073" i="1"/>
  <c r="D2073" i="1"/>
  <c r="E2073" i="1"/>
  <c r="C2074" i="1"/>
  <c r="D2074" i="1"/>
  <c r="E2074" i="1"/>
  <c r="C2075" i="1"/>
  <c r="D2075" i="1"/>
  <c r="E2075" i="1"/>
  <c r="C2076" i="1"/>
  <c r="D2076" i="1"/>
  <c r="E2076" i="1"/>
  <c r="C2077" i="1"/>
  <c r="D2077" i="1"/>
  <c r="E2077" i="1"/>
  <c r="C2078" i="1"/>
  <c r="D2078" i="1"/>
  <c r="E2078" i="1"/>
  <c r="C2079" i="1"/>
  <c r="D2079" i="1"/>
  <c r="E2079" i="1"/>
  <c r="C2080" i="1"/>
  <c r="D2080" i="1"/>
  <c r="E2080" i="1"/>
  <c r="C2081" i="1"/>
  <c r="D2081" i="1"/>
  <c r="E2081" i="1"/>
  <c r="C2082" i="1"/>
  <c r="D2082" i="1"/>
  <c r="E2082" i="1"/>
  <c r="C2083" i="1"/>
  <c r="D2083" i="1"/>
  <c r="E2083" i="1"/>
  <c r="C2084" i="1"/>
  <c r="D2084" i="1"/>
  <c r="E2084" i="1"/>
  <c r="C2085" i="1"/>
  <c r="D2085" i="1"/>
  <c r="E2085" i="1"/>
  <c r="C2086" i="1"/>
  <c r="D2086" i="1"/>
  <c r="E2086" i="1"/>
  <c r="C2087" i="1"/>
  <c r="D2087" i="1"/>
  <c r="E2087" i="1"/>
  <c r="C2088" i="1"/>
  <c r="D2088" i="1"/>
  <c r="E2088" i="1"/>
  <c r="C2089" i="1"/>
  <c r="D2089" i="1"/>
  <c r="E2089" i="1"/>
  <c r="C2090" i="1"/>
  <c r="D2090" i="1"/>
  <c r="E2090" i="1"/>
  <c r="C2091" i="1"/>
  <c r="D2091" i="1"/>
  <c r="E2091" i="1"/>
  <c r="C2092" i="1"/>
  <c r="D2092" i="1"/>
  <c r="E2092" i="1"/>
  <c r="C2093" i="1"/>
  <c r="D2093" i="1"/>
  <c r="E2093" i="1"/>
  <c r="C2094" i="1"/>
  <c r="D2094" i="1"/>
  <c r="E2094" i="1"/>
  <c r="C2095" i="1"/>
  <c r="D2095" i="1"/>
  <c r="E2095" i="1"/>
  <c r="C2096" i="1"/>
  <c r="D2096" i="1"/>
  <c r="E2096" i="1"/>
  <c r="C2097" i="1"/>
  <c r="D2097" i="1"/>
  <c r="E2097" i="1"/>
  <c r="C2098" i="1"/>
  <c r="D2098" i="1"/>
  <c r="E2098" i="1"/>
  <c r="C2099" i="1"/>
  <c r="D2099" i="1"/>
  <c r="E2099" i="1"/>
  <c r="C2100" i="1"/>
  <c r="D2100" i="1"/>
  <c r="E2100" i="1"/>
  <c r="C2101" i="1"/>
  <c r="D2101" i="1"/>
  <c r="E2101" i="1"/>
  <c r="C2102" i="1"/>
  <c r="D2102" i="1"/>
  <c r="E2102" i="1"/>
  <c r="C2103" i="1"/>
  <c r="D2103" i="1"/>
  <c r="E2103" i="1"/>
  <c r="C2104" i="1"/>
  <c r="D2104" i="1"/>
  <c r="E2104" i="1"/>
  <c r="C2105" i="1"/>
  <c r="D2105" i="1"/>
  <c r="E2105" i="1"/>
  <c r="C2106" i="1"/>
  <c r="D2106" i="1"/>
  <c r="E2106" i="1"/>
  <c r="C2107" i="1"/>
  <c r="D2107" i="1"/>
  <c r="E2107" i="1"/>
  <c r="C2108" i="1"/>
  <c r="D2108" i="1"/>
  <c r="E2108" i="1"/>
  <c r="C2109" i="1"/>
  <c r="D2109" i="1"/>
  <c r="E2109" i="1"/>
  <c r="C2110" i="1"/>
  <c r="D2110" i="1"/>
  <c r="E2110" i="1"/>
  <c r="C2111" i="1"/>
  <c r="D2111" i="1"/>
  <c r="E2111" i="1"/>
  <c r="C2112" i="1"/>
  <c r="D2112" i="1"/>
  <c r="E2112" i="1"/>
  <c r="C2113" i="1"/>
  <c r="D2113" i="1"/>
  <c r="E2113" i="1"/>
  <c r="C2114" i="1"/>
  <c r="D2114" i="1"/>
  <c r="E2114" i="1"/>
  <c r="C2115" i="1"/>
  <c r="D2115" i="1"/>
  <c r="E2115" i="1"/>
  <c r="C2116" i="1"/>
  <c r="D2116" i="1"/>
  <c r="E2116" i="1"/>
  <c r="C2117" i="1"/>
  <c r="D2117" i="1"/>
  <c r="E2117" i="1"/>
  <c r="C2118" i="1"/>
  <c r="D2118" i="1"/>
  <c r="E2118" i="1"/>
  <c r="C2119" i="1"/>
  <c r="D2119" i="1"/>
  <c r="E2119" i="1"/>
  <c r="C2120" i="1"/>
  <c r="D2120" i="1"/>
  <c r="E2120" i="1"/>
  <c r="C2121" i="1"/>
  <c r="D2121" i="1"/>
  <c r="E2121" i="1"/>
  <c r="C2122" i="1"/>
  <c r="D2122" i="1"/>
  <c r="E2122" i="1"/>
  <c r="C2123" i="1"/>
  <c r="D2123" i="1"/>
  <c r="E2123" i="1"/>
  <c r="C2124" i="1"/>
  <c r="D2124" i="1"/>
  <c r="E2124" i="1"/>
  <c r="C2125" i="1"/>
  <c r="D2125" i="1"/>
  <c r="E2125" i="1"/>
  <c r="C2126" i="1"/>
  <c r="D2126" i="1"/>
  <c r="E2126" i="1"/>
  <c r="C2127" i="1"/>
  <c r="D2127" i="1"/>
  <c r="E2127" i="1"/>
  <c r="C2128" i="1"/>
  <c r="D2128" i="1"/>
  <c r="E2128" i="1"/>
  <c r="C2129" i="1"/>
  <c r="D2129" i="1"/>
  <c r="E2129" i="1"/>
  <c r="C2130" i="1"/>
  <c r="D2130" i="1"/>
  <c r="E2130" i="1"/>
  <c r="C2131" i="1"/>
  <c r="D2131" i="1"/>
  <c r="E2131" i="1"/>
  <c r="C2132" i="1"/>
  <c r="D2132" i="1"/>
  <c r="E2132" i="1"/>
  <c r="C2133" i="1"/>
  <c r="D2133" i="1"/>
  <c r="E2133" i="1"/>
  <c r="C2134" i="1"/>
  <c r="D2134" i="1"/>
  <c r="E2134" i="1"/>
  <c r="C2135" i="1"/>
  <c r="D2135" i="1"/>
  <c r="E2135" i="1"/>
  <c r="C2136" i="1"/>
  <c r="D2136" i="1"/>
  <c r="E2136" i="1"/>
  <c r="C2137" i="1"/>
  <c r="D2137" i="1"/>
  <c r="E2137" i="1"/>
  <c r="C2138" i="1"/>
  <c r="D2138" i="1"/>
  <c r="E2138" i="1"/>
  <c r="C2139" i="1"/>
  <c r="D2139" i="1"/>
  <c r="E2139" i="1"/>
  <c r="C2140" i="1"/>
  <c r="D2140" i="1"/>
  <c r="E2140" i="1"/>
  <c r="C2141" i="1"/>
  <c r="D2141" i="1"/>
  <c r="E2141" i="1"/>
  <c r="C2142" i="1"/>
  <c r="D2142" i="1"/>
  <c r="E2142" i="1"/>
  <c r="C2143" i="1"/>
  <c r="D2143" i="1"/>
  <c r="E2143" i="1"/>
  <c r="C2144" i="1"/>
  <c r="D2144" i="1"/>
  <c r="E2144" i="1"/>
  <c r="C2145" i="1"/>
  <c r="D2145" i="1"/>
  <c r="E2145" i="1"/>
  <c r="C2146" i="1"/>
  <c r="D2146" i="1"/>
  <c r="E2146" i="1"/>
  <c r="C2147" i="1"/>
  <c r="D2147" i="1"/>
  <c r="E2147" i="1"/>
  <c r="C2148" i="1"/>
  <c r="D2148" i="1"/>
  <c r="E2148" i="1"/>
  <c r="C2149" i="1"/>
  <c r="D2149" i="1"/>
  <c r="E2149" i="1"/>
  <c r="C2150" i="1"/>
  <c r="D2150" i="1"/>
  <c r="E2150" i="1"/>
  <c r="C2151" i="1"/>
  <c r="D2151" i="1"/>
  <c r="E2151" i="1"/>
  <c r="C2152" i="1"/>
  <c r="D2152" i="1"/>
  <c r="E2152" i="1"/>
  <c r="C2153" i="1"/>
  <c r="D2153" i="1"/>
  <c r="E2153" i="1"/>
  <c r="C2154" i="1"/>
  <c r="D2154" i="1"/>
  <c r="E2154" i="1"/>
  <c r="C2155" i="1"/>
  <c r="D2155" i="1"/>
  <c r="E2155" i="1"/>
  <c r="C2156" i="1"/>
  <c r="D2156" i="1"/>
  <c r="E2156" i="1"/>
  <c r="C2157" i="1"/>
  <c r="D2157" i="1"/>
  <c r="E2157" i="1"/>
  <c r="C2158" i="1"/>
  <c r="D2158" i="1"/>
  <c r="E2158" i="1"/>
  <c r="C2159" i="1"/>
  <c r="D2159" i="1"/>
  <c r="E2159" i="1"/>
  <c r="C2160" i="1"/>
  <c r="D2160" i="1"/>
  <c r="E2160" i="1"/>
  <c r="C2161" i="1"/>
  <c r="D2161" i="1"/>
  <c r="E2161" i="1"/>
  <c r="C2162" i="1"/>
  <c r="D2162" i="1"/>
  <c r="E2162" i="1"/>
  <c r="C2163" i="1"/>
  <c r="D2163" i="1"/>
  <c r="E2163" i="1"/>
  <c r="C2164" i="1"/>
  <c r="D2164" i="1"/>
  <c r="E2164" i="1"/>
  <c r="C2165" i="1"/>
  <c r="D2165" i="1"/>
  <c r="E2165" i="1"/>
  <c r="C2166" i="1"/>
  <c r="D2166" i="1"/>
  <c r="E2166" i="1"/>
  <c r="C2167" i="1"/>
  <c r="D2167" i="1"/>
  <c r="E2167" i="1"/>
  <c r="C2168" i="1"/>
  <c r="D2168" i="1"/>
  <c r="E2168" i="1"/>
  <c r="C2169" i="1"/>
  <c r="D2169" i="1"/>
  <c r="E2169" i="1"/>
  <c r="C2170" i="1"/>
  <c r="D2170" i="1"/>
  <c r="E2170" i="1"/>
  <c r="C2171" i="1"/>
  <c r="D2171" i="1"/>
  <c r="E2171" i="1"/>
  <c r="C2172" i="1"/>
  <c r="D2172" i="1"/>
  <c r="E2172" i="1"/>
  <c r="C2173" i="1"/>
  <c r="D2173" i="1"/>
  <c r="E2173" i="1"/>
  <c r="C2174" i="1"/>
  <c r="D2174" i="1"/>
  <c r="E2174" i="1"/>
  <c r="C2175" i="1"/>
  <c r="D2175" i="1"/>
  <c r="E2175" i="1"/>
  <c r="C2176" i="1"/>
  <c r="D2176" i="1"/>
  <c r="E2176" i="1"/>
  <c r="C2177" i="1"/>
  <c r="D2177" i="1"/>
  <c r="E2177" i="1"/>
  <c r="C2178" i="1"/>
  <c r="D2178" i="1"/>
  <c r="E2178" i="1"/>
  <c r="C2179" i="1"/>
  <c r="D2179" i="1"/>
  <c r="E2179" i="1"/>
  <c r="C2180" i="1"/>
  <c r="D2180" i="1"/>
  <c r="E2180" i="1"/>
  <c r="C2181" i="1"/>
  <c r="D2181" i="1"/>
  <c r="E2181" i="1"/>
  <c r="C2182" i="1"/>
  <c r="D2182" i="1"/>
  <c r="E2182" i="1"/>
  <c r="C2183" i="1"/>
  <c r="D2183" i="1"/>
  <c r="E2183" i="1"/>
  <c r="C2184" i="1"/>
  <c r="D2184" i="1"/>
  <c r="E2184" i="1"/>
  <c r="C2185" i="1"/>
  <c r="D2185" i="1"/>
  <c r="E2185" i="1"/>
  <c r="C2186" i="1"/>
  <c r="D2186" i="1"/>
  <c r="E2186" i="1"/>
  <c r="C2187" i="1"/>
  <c r="D2187" i="1"/>
  <c r="E2187" i="1"/>
  <c r="C2188" i="1"/>
  <c r="D2188" i="1"/>
  <c r="E2188" i="1"/>
  <c r="C2189" i="1"/>
  <c r="D2189" i="1"/>
  <c r="E2189" i="1"/>
  <c r="C2190" i="1"/>
  <c r="D2190" i="1"/>
  <c r="E2190" i="1"/>
  <c r="C2191" i="1"/>
  <c r="D2191" i="1"/>
  <c r="E2191" i="1"/>
  <c r="C2192" i="1"/>
  <c r="D2192" i="1"/>
  <c r="E2192" i="1"/>
  <c r="C2193" i="1"/>
  <c r="D2193" i="1"/>
  <c r="E2193" i="1"/>
  <c r="C2194" i="1"/>
  <c r="D2194" i="1"/>
  <c r="E2194" i="1"/>
  <c r="C2195" i="1"/>
  <c r="D2195" i="1"/>
  <c r="E2195" i="1"/>
  <c r="C2196" i="1"/>
  <c r="D2196" i="1"/>
  <c r="E2196" i="1"/>
  <c r="C2197" i="1"/>
  <c r="D2197" i="1"/>
  <c r="E2197" i="1"/>
  <c r="C2198" i="1"/>
  <c r="D2198" i="1"/>
  <c r="E2198" i="1"/>
  <c r="C2199" i="1"/>
  <c r="D2199" i="1"/>
  <c r="E2199" i="1"/>
  <c r="C2200" i="1"/>
  <c r="D2200" i="1"/>
  <c r="E2200" i="1"/>
  <c r="C2201" i="1"/>
  <c r="D2201" i="1"/>
  <c r="E2201" i="1"/>
  <c r="C2202" i="1"/>
  <c r="D2202" i="1"/>
  <c r="E2202" i="1"/>
  <c r="C2203" i="1"/>
  <c r="D2203" i="1"/>
  <c r="E2203" i="1"/>
  <c r="C2204" i="1"/>
  <c r="D2204" i="1"/>
  <c r="E2204" i="1"/>
  <c r="C2205" i="1"/>
  <c r="D2205" i="1"/>
  <c r="E2205" i="1"/>
  <c r="C2206" i="1"/>
  <c r="D2206" i="1"/>
  <c r="E2206" i="1"/>
  <c r="C2207" i="1"/>
  <c r="D2207" i="1"/>
  <c r="E2207" i="1"/>
  <c r="C2208" i="1"/>
  <c r="D2208" i="1"/>
  <c r="E2208" i="1"/>
  <c r="C2209" i="1"/>
  <c r="D2209" i="1"/>
  <c r="E2209" i="1"/>
  <c r="C2210" i="1"/>
  <c r="D2210" i="1"/>
  <c r="E2210" i="1"/>
  <c r="C2211" i="1"/>
  <c r="D2211" i="1"/>
  <c r="E2211" i="1"/>
  <c r="C2212" i="1"/>
  <c r="D2212" i="1"/>
  <c r="E2212" i="1"/>
  <c r="C2213" i="1"/>
  <c r="D2213" i="1"/>
  <c r="E2213" i="1"/>
  <c r="C2214" i="1"/>
  <c r="D2214" i="1"/>
  <c r="E2214" i="1"/>
  <c r="C2215" i="1"/>
  <c r="D2215" i="1"/>
  <c r="E2215" i="1"/>
  <c r="C2216" i="1"/>
  <c r="D2216" i="1"/>
  <c r="E2216" i="1"/>
  <c r="C2217" i="1"/>
  <c r="D2217" i="1"/>
  <c r="E2217" i="1"/>
  <c r="C2218" i="1"/>
  <c r="D2218" i="1"/>
  <c r="E2218" i="1"/>
  <c r="C2219" i="1"/>
  <c r="D2219" i="1"/>
  <c r="E2219" i="1"/>
  <c r="C2220" i="1"/>
  <c r="D2220" i="1"/>
  <c r="E2220" i="1"/>
  <c r="C2221" i="1"/>
  <c r="D2221" i="1"/>
  <c r="E2221" i="1"/>
  <c r="C2222" i="1"/>
  <c r="D2222" i="1"/>
  <c r="E2222" i="1"/>
  <c r="C2223" i="1"/>
  <c r="D2223" i="1"/>
  <c r="E2223" i="1"/>
  <c r="C2224" i="1"/>
  <c r="D2224" i="1"/>
  <c r="E2224" i="1"/>
  <c r="C2225" i="1"/>
  <c r="D2225" i="1"/>
  <c r="E2225" i="1"/>
  <c r="C2226" i="1"/>
  <c r="D2226" i="1"/>
  <c r="E2226" i="1"/>
  <c r="C2227" i="1"/>
  <c r="D2227" i="1"/>
  <c r="E2227" i="1"/>
  <c r="C2228" i="1"/>
  <c r="D2228" i="1"/>
  <c r="E2228" i="1"/>
  <c r="C2229" i="1"/>
  <c r="D2229" i="1"/>
  <c r="E2229" i="1"/>
  <c r="C2230" i="1"/>
  <c r="D2230" i="1"/>
  <c r="E2230" i="1"/>
  <c r="C2231" i="1"/>
  <c r="D2231" i="1"/>
  <c r="E2231" i="1"/>
  <c r="C2232" i="1"/>
  <c r="D2232" i="1"/>
  <c r="E2232" i="1"/>
  <c r="C2233" i="1"/>
  <c r="D2233" i="1"/>
  <c r="E2233" i="1"/>
  <c r="C2234" i="1"/>
  <c r="D2234" i="1"/>
  <c r="E2234" i="1"/>
  <c r="C2235" i="1"/>
  <c r="D2235" i="1"/>
  <c r="E2235" i="1"/>
  <c r="C2236" i="1"/>
  <c r="D2236" i="1"/>
  <c r="E2236" i="1"/>
  <c r="C2237" i="1"/>
  <c r="D2237" i="1"/>
  <c r="E2237" i="1"/>
  <c r="C2238" i="1"/>
  <c r="D2238" i="1"/>
  <c r="E2238" i="1"/>
  <c r="C2239" i="1"/>
  <c r="D2239" i="1"/>
  <c r="E2239" i="1"/>
  <c r="C2240" i="1"/>
  <c r="D2240" i="1"/>
  <c r="E2240" i="1"/>
  <c r="C2241" i="1"/>
  <c r="D2241" i="1"/>
  <c r="E2241" i="1"/>
  <c r="C2242" i="1"/>
  <c r="D2242" i="1"/>
  <c r="E2242" i="1"/>
  <c r="C2243" i="1"/>
  <c r="D2243" i="1"/>
  <c r="E2243" i="1"/>
  <c r="C2244" i="1"/>
  <c r="D2244" i="1"/>
  <c r="E2244" i="1"/>
  <c r="C2245" i="1"/>
  <c r="D2245" i="1"/>
  <c r="E2245" i="1"/>
  <c r="C2246" i="1"/>
  <c r="D2246" i="1"/>
  <c r="E2246" i="1"/>
  <c r="C2247" i="1"/>
  <c r="D2247" i="1"/>
  <c r="E2247" i="1"/>
  <c r="C2248" i="1"/>
  <c r="D2248" i="1"/>
  <c r="E2248" i="1"/>
  <c r="C2249" i="1"/>
  <c r="D2249" i="1"/>
  <c r="E2249" i="1"/>
  <c r="C2250" i="1"/>
  <c r="D2250" i="1"/>
  <c r="E2250" i="1"/>
  <c r="C2251" i="1"/>
  <c r="D2251" i="1"/>
  <c r="E2251" i="1"/>
  <c r="C2252" i="1"/>
  <c r="D2252" i="1"/>
  <c r="E2252" i="1"/>
  <c r="C2253" i="1"/>
  <c r="D2253" i="1"/>
  <c r="E2253" i="1"/>
  <c r="C2254" i="1"/>
  <c r="D2254" i="1"/>
  <c r="E2254" i="1"/>
  <c r="C2255" i="1"/>
  <c r="D2255" i="1"/>
  <c r="E2255" i="1"/>
  <c r="C2256" i="1"/>
  <c r="D2256" i="1"/>
  <c r="E2256" i="1"/>
  <c r="C2257" i="1"/>
  <c r="D2257" i="1"/>
  <c r="E2257" i="1"/>
  <c r="C2258" i="1"/>
  <c r="D2258" i="1"/>
  <c r="E2258" i="1"/>
  <c r="C2259" i="1"/>
  <c r="D2259" i="1"/>
  <c r="E2259" i="1"/>
  <c r="C2260" i="1"/>
  <c r="D2260" i="1"/>
  <c r="E2260" i="1"/>
  <c r="C2261" i="1"/>
  <c r="D2261" i="1"/>
  <c r="E2261" i="1"/>
  <c r="C2262" i="1"/>
  <c r="D2262" i="1"/>
  <c r="E2262" i="1"/>
  <c r="C2263" i="1"/>
  <c r="D2263" i="1"/>
  <c r="E2263" i="1"/>
  <c r="C2264" i="1"/>
  <c r="D2264" i="1"/>
  <c r="E2264" i="1"/>
  <c r="C2265" i="1"/>
  <c r="D2265" i="1"/>
  <c r="E2265" i="1"/>
  <c r="C2266" i="1"/>
  <c r="D2266" i="1"/>
  <c r="E2266" i="1"/>
  <c r="C2267" i="1"/>
  <c r="D2267" i="1"/>
  <c r="E2267" i="1"/>
  <c r="C2268" i="1"/>
  <c r="D2268" i="1"/>
  <c r="E2268" i="1"/>
  <c r="C2269" i="1"/>
  <c r="D2269" i="1"/>
  <c r="E2269" i="1"/>
  <c r="C2270" i="1"/>
  <c r="D2270" i="1"/>
  <c r="E2270" i="1"/>
  <c r="C2271" i="1"/>
  <c r="D2271" i="1"/>
  <c r="E2271" i="1"/>
  <c r="C2272" i="1"/>
  <c r="D2272" i="1"/>
  <c r="E2272" i="1"/>
  <c r="C2273" i="1"/>
  <c r="D2273" i="1"/>
  <c r="E2273" i="1"/>
  <c r="C2274" i="1"/>
  <c r="D2274" i="1"/>
  <c r="E2274" i="1"/>
  <c r="C2275" i="1"/>
  <c r="D2275" i="1"/>
  <c r="E2275" i="1"/>
  <c r="C2276" i="1"/>
  <c r="D2276" i="1"/>
  <c r="E2276" i="1"/>
  <c r="C2277" i="1"/>
  <c r="D2277" i="1"/>
  <c r="E2277" i="1"/>
  <c r="C2278" i="1"/>
  <c r="D2278" i="1"/>
  <c r="E2278" i="1"/>
  <c r="C2279" i="1"/>
  <c r="D2279" i="1"/>
  <c r="E2279" i="1"/>
  <c r="C2280" i="1"/>
  <c r="D2280" i="1"/>
  <c r="E2280" i="1"/>
  <c r="C2281" i="1"/>
  <c r="D2281" i="1"/>
  <c r="E2281" i="1"/>
  <c r="C2282" i="1"/>
  <c r="D2282" i="1"/>
  <c r="E2282" i="1"/>
  <c r="C2283" i="1"/>
  <c r="D2283" i="1"/>
  <c r="E2283" i="1"/>
  <c r="C2284" i="1"/>
  <c r="D2284" i="1"/>
  <c r="E2284" i="1"/>
  <c r="C2285" i="1"/>
  <c r="D2285" i="1"/>
  <c r="E2285" i="1"/>
  <c r="C2286" i="1"/>
  <c r="D2286" i="1"/>
  <c r="E2286" i="1"/>
  <c r="C2287" i="1"/>
  <c r="D2287" i="1"/>
  <c r="E2287" i="1"/>
  <c r="C2288" i="1"/>
  <c r="D2288" i="1"/>
  <c r="E2288" i="1"/>
  <c r="C2289" i="1"/>
  <c r="D2289" i="1"/>
  <c r="E2289" i="1"/>
  <c r="C2290" i="1"/>
  <c r="D2290" i="1"/>
  <c r="E2290" i="1"/>
  <c r="C2291" i="1"/>
  <c r="D2291" i="1"/>
  <c r="E2291" i="1"/>
  <c r="C2292" i="1"/>
  <c r="D2292" i="1"/>
  <c r="E2292" i="1"/>
  <c r="C2293" i="1"/>
  <c r="D2293" i="1"/>
  <c r="E2293" i="1"/>
  <c r="C2294" i="1"/>
  <c r="D2294" i="1"/>
  <c r="E2294" i="1"/>
  <c r="C2295" i="1"/>
  <c r="D2295" i="1"/>
  <c r="E2295" i="1"/>
  <c r="C2296" i="1"/>
  <c r="D2296" i="1"/>
  <c r="E2296" i="1"/>
  <c r="C2297" i="1"/>
  <c r="D2297" i="1"/>
  <c r="E2297" i="1"/>
  <c r="C2298" i="1"/>
  <c r="D2298" i="1"/>
  <c r="E2298" i="1"/>
  <c r="C2299" i="1"/>
  <c r="D2299" i="1"/>
  <c r="E2299" i="1"/>
  <c r="C2300" i="1"/>
  <c r="D2300" i="1"/>
  <c r="E2300" i="1"/>
  <c r="C2301" i="1"/>
  <c r="D2301" i="1"/>
  <c r="E2301" i="1"/>
  <c r="C2302" i="1"/>
  <c r="D2302" i="1"/>
  <c r="E2302" i="1"/>
  <c r="C2303" i="1"/>
  <c r="D2303" i="1"/>
  <c r="E2303" i="1"/>
  <c r="C2304" i="1"/>
  <c r="D2304" i="1"/>
  <c r="E2304" i="1"/>
  <c r="C2305" i="1"/>
  <c r="D2305" i="1"/>
  <c r="E2305" i="1"/>
  <c r="C2306" i="1"/>
  <c r="D2306" i="1"/>
  <c r="E2306" i="1"/>
  <c r="C2307" i="1"/>
  <c r="D2307" i="1"/>
  <c r="E2307" i="1"/>
  <c r="C2308" i="1"/>
  <c r="D2308" i="1"/>
  <c r="E2308" i="1"/>
  <c r="C2309" i="1"/>
  <c r="D2309" i="1"/>
  <c r="E2309" i="1"/>
  <c r="C2310" i="1"/>
  <c r="D2310" i="1"/>
  <c r="E2310" i="1"/>
  <c r="C2311" i="1"/>
  <c r="D2311" i="1"/>
  <c r="E2311" i="1"/>
  <c r="C2312" i="1"/>
  <c r="D2312" i="1"/>
  <c r="E2312" i="1"/>
  <c r="C2313" i="1"/>
  <c r="D2313" i="1"/>
  <c r="E2313" i="1"/>
  <c r="C2314" i="1"/>
  <c r="D2314" i="1"/>
  <c r="E2314" i="1"/>
  <c r="C2315" i="1"/>
  <c r="D2315" i="1"/>
  <c r="E2315" i="1"/>
  <c r="C2316" i="1"/>
  <c r="D2316" i="1"/>
  <c r="E2316" i="1"/>
  <c r="C2317" i="1"/>
  <c r="D2317" i="1"/>
  <c r="E2317" i="1"/>
  <c r="C2318" i="1"/>
  <c r="D2318" i="1"/>
  <c r="E2318" i="1"/>
  <c r="C2319" i="1"/>
  <c r="D2319" i="1"/>
  <c r="E2319" i="1"/>
  <c r="C2320" i="1"/>
  <c r="D2320" i="1"/>
  <c r="E2320" i="1"/>
  <c r="C2321" i="1"/>
  <c r="D2321" i="1"/>
  <c r="E2321" i="1"/>
  <c r="C2322" i="1"/>
  <c r="D2322" i="1"/>
  <c r="E2322" i="1"/>
  <c r="C2323" i="1"/>
  <c r="D2323" i="1"/>
  <c r="E2323" i="1"/>
  <c r="C2324" i="1"/>
  <c r="D2324" i="1"/>
  <c r="E2324" i="1"/>
  <c r="C2325" i="1"/>
  <c r="D2325" i="1"/>
  <c r="E2325" i="1"/>
  <c r="C2326" i="1"/>
  <c r="D2326" i="1"/>
  <c r="E2326" i="1"/>
  <c r="C2327" i="1"/>
  <c r="D2327" i="1"/>
  <c r="E2327" i="1"/>
  <c r="C2328" i="1"/>
  <c r="D2328" i="1"/>
  <c r="E2328" i="1"/>
  <c r="C2329" i="1"/>
  <c r="D2329" i="1"/>
  <c r="E2329" i="1"/>
  <c r="C2330" i="1"/>
  <c r="D2330" i="1"/>
  <c r="E2330" i="1"/>
  <c r="C2331" i="1"/>
  <c r="D2331" i="1"/>
  <c r="E2331" i="1"/>
  <c r="C2332" i="1"/>
  <c r="D2332" i="1"/>
  <c r="E2332" i="1"/>
  <c r="C2333" i="1"/>
  <c r="D2333" i="1"/>
  <c r="E2333" i="1"/>
  <c r="C2334" i="1"/>
  <c r="D2334" i="1"/>
  <c r="E2334" i="1"/>
  <c r="C2335" i="1"/>
  <c r="D2335" i="1"/>
  <c r="E2335" i="1"/>
  <c r="C2336" i="1"/>
  <c r="D2336" i="1"/>
  <c r="E2336" i="1"/>
  <c r="C2337" i="1"/>
  <c r="D2337" i="1"/>
  <c r="E2337" i="1"/>
  <c r="C2338" i="1"/>
  <c r="D2338" i="1"/>
  <c r="E2338" i="1"/>
  <c r="C2339" i="1"/>
  <c r="D2339" i="1"/>
  <c r="E2339" i="1"/>
  <c r="C2340" i="1"/>
  <c r="D2340" i="1"/>
  <c r="E2340" i="1"/>
  <c r="C2341" i="1"/>
  <c r="D2341" i="1"/>
  <c r="E2341" i="1"/>
  <c r="C2342" i="1"/>
  <c r="D2342" i="1"/>
  <c r="E2342" i="1"/>
  <c r="C2343" i="1"/>
  <c r="D2343" i="1"/>
  <c r="E2343" i="1"/>
  <c r="C2344" i="1"/>
  <c r="D2344" i="1"/>
  <c r="E2344" i="1"/>
  <c r="C2345" i="1"/>
  <c r="D2345" i="1"/>
  <c r="E2345" i="1"/>
  <c r="C2346" i="1"/>
  <c r="D2346" i="1"/>
  <c r="E2346" i="1"/>
  <c r="C2347" i="1"/>
  <c r="D2347" i="1"/>
  <c r="E2347" i="1"/>
  <c r="C2348" i="1"/>
  <c r="D2348" i="1"/>
  <c r="E2348" i="1"/>
  <c r="C2349" i="1"/>
  <c r="D2349" i="1"/>
  <c r="E2349" i="1"/>
  <c r="C2350" i="1"/>
  <c r="D2350" i="1"/>
  <c r="E2350" i="1"/>
  <c r="C2351" i="1"/>
  <c r="D2351" i="1"/>
  <c r="E2351" i="1"/>
  <c r="C2352" i="1"/>
  <c r="D2352" i="1"/>
  <c r="E2352" i="1"/>
  <c r="C2353" i="1"/>
  <c r="D2353" i="1"/>
  <c r="E2353" i="1"/>
  <c r="C2354" i="1"/>
  <c r="D2354" i="1"/>
  <c r="E2354" i="1"/>
  <c r="C2355" i="1"/>
  <c r="D2355" i="1"/>
  <c r="E2355" i="1"/>
  <c r="C2356" i="1"/>
  <c r="D2356" i="1"/>
  <c r="E2356" i="1"/>
  <c r="C2357" i="1"/>
  <c r="D2357" i="1"/>
  <c r="E2357" i="1"/>
  <c r="C2358" i="1"/>
  <c r="D2358" i="1"/>
  <c r="E2358" i="1"/>
  <c r="C2359" i="1"/>
  <c r="D2359" i="1"/>
  <c r="E2359" i="1"/>
  <c r="C2360" i="1"/>
  <c r="D2360" i="1"/>
  <c r="E2360" i="1"/>
  <c r="C2361" i="1"/>
  <c r="D2361" i="1"/>
  <c r="E2361" i="1"/>
  <c r="C2362" i="1"/>
  <c r="D2362" i="1"/>
  <c r="E2362" i="1"/>
  <c r="C2363" i="1"/>
  <c r="D2363" i="1"/>
  <c r="E2363" i="1"/>
  <c r="C2364" i="1"/>
  <c r="D2364" i="1"/>
  <c r="E2364" i="1"/>
  <c r="C2365" i="1"/>
  <c r="D2365" i="1"/>
  <c r="E2365" i="1"/>
  <c r="C2366" i="1"/>
  <c r="D2366" i="1"/>
  <c r="E2366" i="1"/>
  <c r="C2367" i="1"/>
  <c r="D2367" i="1"/>
  <c r="E2367" i="1"/>
  <c r="C2368" i="1"/>
  <c r="D2368" i="1"/>
  <c r="E2368" i="1"/>
  <c r="C2369" i="1"/>
  <c r="D2369" i="1"/>
  <c r="E2369" i="1"/>
  <c r="C2370" i="1"/>
  <c r="D2370" i="1"/>
  <c r="E2370" i="1"/>
  <c r="C2371" i="1"/>
  <c r="D2371" i="1"/>
  <c r="E2371" i="1"/>
  <c r="C2372" i="1"/>
  <c r="D2372" i="1"/>
  <c r="E2372" i="1"/>
  <c r="C2373" i="1"/>
  <c r="D2373" i="1"/>
  <c r="E2373" i="1"/>
  <c r="C2374" i="1"/>
  <c r="D2374" i="1"/>
  <c r="E2374" i="1"/>
  <c r="C2375" i="1"/>
  <c r="D2375" i="1"/>
  <c r="E2375" i="1"/>
  <c r="C2376" i="1"/>
  <c r="D2376" i="1"/>
  <c r="E2376" i="1"/>
  <c r="C2377" i="1"/>
  <c r="D2377" i="1"/>
  <c r="E2377" i="1"/>
  <c r="C2378" i="1"/>
  <c r="D2378" i="1"/>
  <c r="E2378" i="1"/>
  <c r="C2379" i="1"/>
  <c r="D2379" i="1"/>
  <c r="E2379" i="1"/>
  <c r="C2380" i="1"/>
  <c r="D2380" i="1"/>
  <c r="E2380" i="1"/>
  <c r="C2381" i="1"/>
  <c r="D2381" i="1"/>
  <c r="E2381" i="1"/>
  <c r="C2382" i="1"/>
  <c r="D2382" i="1"/>
  <c r="E2382" i="1"/>
  <c r="C2383" i="1"/>
  <c r="D2383" i="1"/>
  <c r="E2383" i="1"/>
  <c r="C2384" i="1"/>
  <c r="D2384" i="1"/>
  <c r="E2384" i="1"/>
  <c r="C2385" i="1"/>
  <c r="D2385" i="1"/>
  <c r="E2385" i="1"/>
  <c r="C2386" i="1"/>
  <c r="D2386" i="1"/>
  <c r="E2386" i="1"/>
  <c r="C2387" i="1"/>
  <c r="D2387" i="1"/>
  <c r="E2387" i="1"/>
  <c r="C2388" i="1"/>
  <c r="D2388" i="1"/>
  <c r="E2388" i="1"/>
  <c r="C2389" i="1"/>
  <c r="D2389" i="1"/>
  <c r="E2389" i="1"/>
  <c r="C2390" i="1"/>
  <c r="D2390" i="1"/>
  <c r="E2390" i="1"/>
  <c r="C2391" i="1"/>
  <c r="D2391" i="1"/>
  <c r="E2391" i="1"/>
  <c r="C2392" i="1"/>
  <c r="D2392" i="1"/>
  <c r="E2392" i="1"/>
  <c r="C2393" i="1"/>
  <c r="D2393" i="1"/>
  <c r="E2393" i="1"/>
  <c r="C2394" i="1"/>
  <c r="D2394" i="1"/>
  <c r="E2394" i="1"/>
  <c r="C2395" i="1"/>
  <c r="D2395" i="1"/>
  <c r="E2395" i="1"/>
  <c r="C2396" i="1"/>
  <c r="D2396" i="1"/>
  <c r="E2396" i="1"/>
  <c r="C2397" i="1"/>
  <c r="D2397" i="1"/>
  <c r="E2397" i="1"/>
  <c r="C2398" i="1"/>
  <c r="D2398" i="1"/>
  <c r="E2398" i="1"/>
  <c r="C2399" i="1"/>
  <c r="D2399" i="1"/>
  <c r="E2399" i="1"/>
  <c r="C2400" i="1"/>
  <c r="D2400" i="1"/>
  <c r="E2400" i="1"/>
  <c r="C2401" i="1"/>
  <c r="D2401" i="1"/>
  <c r="E2401" i="1"/>
  <c r="C2402" i="1"/>
  <c r="D2402" i="1"/>
  <c r="E2402" i="1"/>
  <c r="C2403" i="1"/>
  <c r="D2403" i="1"/>
  <c r="E2403" i="1"/>
  <c r="C2404" i="1"/>
  <c r="D2404" i="1"/>
  <c r="E2404" i="1"/>
  <c r="C2405" i="1"/>
  <c r="D2405" i="1"/>
  <c r="E2405" i="1"/>
  <c r="C2406" i="1"/>
  <c r="D2406" i="1"/>
  <c r="E2406" i="1"/>
  <c r="C2407" i="1"/>
  <c r="D2407" i="1"/>
  <c r="E2407" i="1"/>
  <c r="C2408" i="1"/>
  <c r="D2408" i="1"/>
  <c r="E2408" i="1"/>
  <c r="C2409" i="1"/>
  <c r="D2409" i="1"/>
  <c r="E2409" i="1"/>
  <c r="C2410" i="1"/>
  <c r="D2410" i="1"/>
  <c r="E2410" i="1"/>
  <c r="C2411" i="1"/>
  <c r="D2411" i="1"/>
  <c r="E2411" i="1"/>
  <c r="C2412" i="1"/>
  <c r="D2412" i="1"/>
  <c r="E2412" i="1"/>
  <c r="C2413" i="1"/>
  <c r="D2413" i="1"/>
  <c r="E2413" i="1"/>
  <c r="C2414" i="1"/>
  <c r="D2414" i="1"/>
  <c r="E2414" i="1"/>
  <c r="C2415" i="1"/>
  <c r="D2415" i="1"/>
  <c r="E2415" i="1"/>
  <c r="C2416" i="1"/>
  <c r="D2416" i="1"/>
  <c r="E2416" i="1"/>
  <c r="C2417" i="1"/>
  <c r="D2417" i="1"/>
  <c r="E2417" i="1"/>
  <c r="C2418" i="1"/>
  <c r="D2418" i="1"/>
  <c r="E2418" i="1"/>
  <c r="C2419" i="1"/>
  <c r="D2419" i="1"/>
  <c r="E2419" i="1"/>
  <c r="C2420" i="1"/>
  <c r="D2420" i="1"/>
  <c r="E2420" i="1"/>
  <c r="C2421" i="1"/>
  <c r="D2421" i="1"/>
  <c r="E2421" i="1"/>
  <c r="C2422" i="1"/>
  <c r="D2422" i="1"/>
  <c r="E2422" i="1"/>
  <c r="C2423" i="1"/>
  <c r="D2423" i="1"/>
  <c r="E2423" i="1"/>
  <c r="C2424" i="1"/>
  <c r="D2424" i="1"/>
  <c r="E2424" i="1"/>
  <c r="C2425" i="1"/>
  <c r="D2425" i="1"/>
  <c r="E2425" i="1"/>
  <c r="C2426" i="1"/>
  <c r="D2426" i="1"/>
  <c r="E2426" i="1"/>
  <c r="C2427" i="1"/>
  <c r="D2427" i="1"/>
  <c r="E2427" i="1"/>
  <c r="C2428" i="1"/>
  <c r="D2428" i="1"/>
  <c r="E2428" i="1"/>
  <c r="C2429" i="1"/>
  <c r="D2429" i="1"/>
  <c r="E2429" i="1"/>
  <c r="C2430" i="1"/>
  <c r="D2430" i="1"/>
  <c r="E2430" i="1"/>
  <c r="C2431" i="1"/>
  <c r="D2431" i="1"/>
  <c r="E2431" i="1"/>
  <c r="C2432" i="1"/>
  <c r="D2432" i="1"/>
  <c r="E2432" i="1"/>
  <c r="C2433" i="1"/>
  <c r="D2433" i="1"/>
  <c r="E2433" i="1"/>
  <c r="C2434" i="1"/>
  <c r="D2434" i="1"/>
  <c r="E2434" i="1"/>
  <c r="C2435" i="1"/>
  <c r="D2435" i="1"/>
  <c r="E2435" i="1"/>
  <c r="C2436" i="1"/>
  <c r="D2436" i="1"/>
  <c r="E2436" i="1"/>
  <c r="C2437" i="1"/>
  <c r="D2437" i="1"/>
  <c r="E2437" i="1"/>
  <c r="C2438" i="1"/>
  <c r="D2438" i="1"/>
  <c r="E2438" i="1"/>
  <c r="C2439" i="1"/>
  <c r="D2439" i="1"/>
  <c r="E2439" i="1"/>
  <c r="C2440" i="1"/>
  <c r="D2440" i="1"/>
  <c r="E2440" i="1"/>
  <c r="C2441" i="1"/>
  <c r="D2441" i="1"/>
  <c r="E2441" i="1"/>
  <c r="C2442" i="1"/>
  <c r="D2442" i="1"/>
  <c r="E2442" i="1"/>
  <c r="C2443" i="1"/>
  <c r="D2443" i="1"/>
  <c r="E2443" i="1"/>
  <c r="C2444" i="1"/>
  <c r="D2444" i="1"/>
  <c r="E2444" i="1"/>
  <c r="C2445" i="1"/>
  <c r="D2445" i="1"/>
  <c r="E2445" i="1"/>
  <c r="C2446" i="1"/>
  <c r="D2446" i="1"/>
  <c r="E2446" i="1"/>
  <c r="C2447" i="1"/>
  <c r="D2447" i="1"/>
  <c r="E2447" i="1"/>
  <c r="C2448" i="1"/>
  <c r="D2448" i="1"/>
  <c r="E2448" i="1"/>
  <c r="C2449" i="1"/>
  <c r="D2449" i="1"/>
  <c r="E2449" i="1"/>
  <c r="C2450" i="1"/>
  <c r="D2450" i="1"/>
  <c r="E2450" i="1"/>
  <c r="C2451" i="1"/>
  <c r="D2451" i="1"/>
  <c r="E2451" i="1"/>
  <c r="C2452" i="1"/>
  <c r="D2452" i="1"/>
  <c r="E2452" i="1"/>
  <c r="C2453" i="1"/>
  <c r="D2453" i="1"/>
  <c r="E2453" i="1"/>
  <c r="C2454" i="1"/>
  <c r="D2454" i="1"/>
  <c r="E2454" i="1"/>
  <c r="C2455" i="1"/>
  <c r="D2455" i="1"/>
  <c r="E2455" i="1"/>
  <c r="C2456" i="1"/>
  <c r="D2456" i="1"/>
  <c r="E2456" i="1"/>
  <c r="C2457" i="1"/>
  <c r="D2457" i="1"/>
  <c r="E2457" i="1"/>
  <c r="C2458" i="1"/>
  <c r="D2458" i="1"/>
  <c r="E2458" i="1"/>
  <c r="C2459" i="1"/>
  <c r="D2459" i="1"/>
  <c r="E2459" i="1"/>
  <c r="C2460" i="1"/>
  <c r="D2460" i="1"/>
  <c r="E2460" i="1"/>
  <c r="C2461" i="1"/>
  <c r="D2461" i="1"/>
  <c r="E2461" i="1"/>
  <c r="C2462" i="1"/>
  <c r="D2462" i="1"/>
  <c r="E2462" i="1"/>
  <c r="C2463" i="1"/>
  <c r="D2463" i="1"/>
  <c r="E2463" i="1"/>
  <c r="C2464" i="1"/>
  <c r="D2464" i="1"/>
  <c r="E2464" i="1"/>
  <c r="C2465" i="1"/>
  <c r="D2465" i="1"/>
  <c r="E2465" i="1"/>
  <c r="C2466" i="1"/>
  <c r="D2466" i="1"/>
  <c r="E2466" i="1"/>
  <c r="C2467" i="1"/>
  <c r="D2467" i="1"/>
  <c r="E2467" i="1"/>
  <c r="C2468" i="1"/>
  <c r="D2468" i="1"/>
  <c r="E2468" i="1"/>
  <c r="C2469" i="1"/>
  <c r="D2469" i="1"/>
  <c r="E2469" i="1"/>
  <c r="C2470" i="1"/>
  <c r="D2470" i="1"/>
  <c r="E2470" i="1"/>
  <c r="C2471" i="1"/>
  <c r="D2471" i="1"/>
  <c r="E2471" i="1"/>
  <c r="C2472" i="1"/>
  <c r="D2472" i="1"/>
  <c r="E2472" i="1"/>
  <c r="C2473" i="1"/>
  <c r="D2473" i="1"/>
  <c r="E2473" i="1"/>
  <c r="C2474" i="1"/>
  <c r="D2474" i="1"/>
  <c r="E2474" i="1"/>
  <c r="C2475" i="1"/>
  <c r="D2475" i="1"/>
  <c r="E2475" i="1"/>
  <c r="C2476" i="1"/>
  <c r="D2476" i="1"/>
  <c r="E2476" i="1"/>
  <c r="C2477" i="1"/>
  <c r="D2477" i="1"/>
  <c r="E2477" i="1"/>
  <c r="C2478" i="1"/>
  <c r="D2478" i="1"/>
  <c r="E2478" i="1"/>
  <c r="C2479" i="1"/>
  <c r="D2479" i="1"/>
  <c r="E2479" i="1"/>
  <c r="C2480" i="1"/>
  <c r="D2480" i="1"/>
  <c r="E2480" i="1"/>
  <c r="C2481" i="1"/>
  <c r="D2481" i="1"/>
  <c r="E2481" i="1"/>
  <c r="C2482" i="1"/>
  <c r="D2482" i="1"/>
  <c r="E2482" i="1"/>
  <c r="C2483" i="1"/>
  <c r="D2483" i="1"/>
  <c r="E2483" i="1"/>
  <c r="C2484" i="1"/>
  <c r="D2484" i="1"/>
  <c r="E2484" i="1"/>
  <c r="C2485" i="1"/>
  <c r="D2485" i="1"/>
  <c r="E2485" i="1"/>
  <c r="C2486" i="1"/>
  <c r="D2486" i="1"/>
  <c r="E2486" i="1"/>
  <c r="C2487" i="1"/>
  <c r="D2487" i="1"/>
  <c r="E2487" i="1"/>
  <c r="C2488" i="1"/>
  <c r="D2488" i="1"/>
  <c r="E2488" i="1"/>
  <c r="C2489" i="1"/>
  <c r="D2489" i="1"/>
  <c r="E2489" i="1"/>
  <c r="C2490" i="1"/>
  <c r="D2490" i="1"/>
  <c r="E2490" i="1"/>
  <c r="C2491" i="1"/>
  <c r="D2491" i="1"/>
  <c r="E2491" i="1"/>
  <c r="C2492" i="1"/>
  <c r="D2492" i="1"/>
  <c r="E2492" i="1"/>
  <c r="C2493" i="1"/>
  <c r="D2493" i="1"/>
  <c r="E2493" i="1"/>
  <c r="C2494" i="1"/>
  <c r="D2494" i="1"/>
  <c r="E2494" i="1"/>
  <c r="C2495" i="1"/>
  <c r="D2495" i="1"/>
  <c r="E2495" i="1"/>
  <c r="C2496" i="1"/>
  <c r="D2496" i="1"/>
  <c r="E2496" i="1"/>
  <c r="C2497" i="1"/>
  <c r="D2497" i="1"/>
  <c r="E2497" i="1"/>
  <c r="C2498" i="1"/>
  <c r="D2498" i="1"/>
  <c r="E2498" i="1"/>
  <c r="C2499" i="1"/>
  <c r="D2499" i="1"/>
  <c r="E2499" i="1"/>
  <c r="C2500" i="1"/>
  <c r="D2500" i="1"/>
  <c r="E2500" i="1"/>
  <c r="C2501" i="1"/>
  <c r="D2501" i="1"/>
  <c r="E2501" i="1"/>
  <c r="C2502" i="1"/>
  <c r="D2502" i="1"/>
  <c r="E2502" i="1"/>
  <c r="C2503" i="1"/>
  <c r="D2503" i="1"/>
  <c r="E2503" i="1"/>
  <c r="C2504" i="1"/>
  <c r="D2504" i="1"/>
  <c r="E2504" i="1"/>
  <c r="C2505" i="1"/>
  <c r="D2505" i="1"/>
  <c r="E2505" i="1"/>
  <c r="C2506" i="1"/>
  <c r="D2506" i="1"/>
  <c r="E2506" i="1"/>
  <c r="C2507" i="1"/>
  <c r="D2507" i="1"/>
  <c r="E2507" i="1"/>
  <c r="C2508" i="1"/>
  <c r="D2508" i="1"/>
  <c r="E2508" i="1"/>
  <c r="C2509" i="1"/>
  <c r="D2509" i="1"/>
  <c r="E2509" i="1"/>
  <c r="C2510" i="1"/>
  <c r="D2510" i="1"/>
  <c r="E2510" i="1"/>
  <c r="C2511" i="1"/>
  <c r="D2511" i="1"/>
  <c r="E2511" i="1"/>
  <c r="C2512" i="1"/>
  <c r="D2512" i="1"/>
  <c r="E2512" i="1"/>
  <c r="C2513" i="1"/>
  <c r="D2513" i="1"/>
  <c r="E2513" i="1"/>
  <c r="C2514" i="1"/>
  <c r="D2514" i="1"/>
  <c r="E2514" i="1"/>
  <c r="C2515" i="1"/>
  <c r="D2515" i="1"/>
  <c r="E2515" i="1"/>
  <c r="C2516" i="1"/>
  <c r="D2516" i="1"/>
  <c r="E2516" i="1"/>
  <c r="C2517" i="1"/>
  <c r="D2517" i="1"/>
  <c r="E2517" i="1"/>
  <c r="C2518" i="1"/>
  <c r="D2518" i="1"/>
  <c r="E2518" i="1"/>
  <c r="C2519" i="1"/>
  <c r="D2519" i="1"/>
  <c r="E2519" i="1"/>
  <c r="C2520" i="1"/>
  <c r="D2520" i="1"/>
  <c r="E2520" i="1"/>
  <c r="C2521" i="1"/>
  <c r="D2521" i="1"/>
  <c r="E2521" i="1"/>
  <c r="C2522" i="1"/>
  <c r="D2522" i="1"/>
  <c r="E2522" i="1"/>
  <c r="C2523" i="1"/>
  <c r="D2523" i="1"/>
  <c r="E2523" i="1"/>
  <c r="C2524" i="1"/>
  <c r="D2524" i="1"/>
  <c r="E2524" i="1"/>
  <c r="C2525" i="1"/>
  <c r="D2525" i="1"/>
  <c r="E2525" i="1"/>
  <c r="C2526" i="1"/>
  <c r="D2526" i="1"/>
  <c r="E2526" i="1"/>
  <c r="C2527" i="1"/>
  <c r="D2527" i="1"/>
  <c r="E2527" i="1"/>
  <c r="C2528" i="1"/>
  <c r="D2528" i="1"/>
  <c r="E2528" i="1"/>
  <c r="C2529" i="1"/>
  <c r="D2529" i="1"/>
  <c r="E2529" i="1"/>
  <c r="C2530" i="1"/>
  <c r="D2530" i="1"/>
  <c r="E2530" i="1"/>
  <c r="C2531" i="1"/>
  <c r="D2531" i="1"/>
  <c r="E2531" i="1"/>
  <c r="C2532" i="1"/>
  <c r="D2532" i="1"/>
  <c r="E2532" i="1"/>
  <c r="C2533" i="1"/>
  <c r="D2533" i="1"/>
  <c r="E2533" i="1"/>
  <c r="C2534" i="1"/>
  <c r="D2534" i="1"/>
  <c r="E2534" i="1"/>
  <c r="C2535" i="1"/>
  <c r="D2535" i="1"/>
  <c r="E2535" i="1"/>
  <c r="C2536" i="1"/>
  <c r="D2536" i="1"/>
  <c r="E2536" i="1"/>
  <c r="C2537" i="1"/>
  <c r="D2537" i="1"/>
  <c r="E2537" i="1"/>
  <c r="C2538" i="1"/>
  <c r="D2538" i="1"/>
  <c r="E2538" i="1"/>
  <c r="C2539" i="1"/>
  <c r="D2539" i="1"/>
  <c r="E2539" i="1"/>
  <c r="C2540" i="1"/>
  <c r="D2540" i="1"/>
  <c r="E2540" i="1"/>
  <c r="C2541" i="1"/>
  <c r="D2541" i="1"/>
  <c r="E2541" i="1"/>
  <c r="C2542" i="1"/>
  <c r="D2542" i="1"/>
  <c r="E2542" i="1"/>
  <c r="C2543" i="1"/>
  <c r="D2543" i="1"/>
  <c r="E2543" i="1"/>
  <c r="C2544" i="1"/>
  <c r="D2544" i="1"/>
  <c r="E2544" i="1"/>
  <c r="C2545" i="1"/>
  <c r="D2545" i="1"/>
  <c r="E2545" i="1"/>
  <c r="C2546" i="1"/>
  <c r="D2546" i="1"/>
  <c r="E2546" i="1"/>
  <c r="C2547" i="1"/>
  <c r="D2547" i="1"/>
  <c r="E2547" i="1"/>
  <c r="C2548" i="1"/>
  <c r="D2548" i="1"/>
  <c r="E2548" i="1"/>
  <c r="C2549" i="1"/>
  <c r="D2549" i="1"/>
  <c r="E2549" i="1"/>
  <c r="C2550" i="1"/>
  <c r="D2550" i="1"/>
  <c r="E2550" i="1"/>
  <c r="C2551" i="1"/>
  <c r="D2551" i="1"/>
  <c r="E2551" i="1"/>
  <c r="C2552" i="1"/>
  <c r="D2552" i="1"/>
  <c r="E2552" i="1"/>
  <c r="C2553" i="1"/>
  <c r="D2553" i="1"/>
  <c r="E2553" i="1"/>
  <c r="C2554" i="1"/>
  <c r="D2554" i="1"/>
  <c r="E2554" i="1"/>
  <c r="C2555" i="1"/>
  <c r="D2555" i="1"/>
  <c r="E2555" i="1"/>
  <c r="C2556" i="1"/>
  <c r="D2556" i="1"/>
  <c r="E2556" i="1"/>
  <c r="C2557" i="1"/>
  <c r="D2557" i="1"/>
  <c r="E2557" i="1"/>
  <c r="C2558" i="1"/>
  <c r="D2558" i="1"/>
  <c r="E2558" i="1"/>
  <c r="C2559" i="1"/>
  <c r="D2559" i="1"/>
  <c r="E2559" i="1"/>
  <c r="C2560" i="1"/>
  <c r="D2560" i="1"/>
  <c r="E2560" i="1"/>
  <c r="C2561" i="1"/>
  <c r="D2561" i="1"/>
  <c r="E2561" i="1"/>
  <c r="C2562" i="1"/>
  <c r="D2562" i="1"/>
  <c r="E2562" i="1"/>
  <c r="C2563" i="1"/>
  <c r="D2563" i="1"/>
  <c r="E2563" i="1"/>
  <c r="C2564" i="1"/>
  <c r="D2564" i="1"/>
  <c r="E2564" i="1"/>
  <c r="C2565" i="1"/>
  <c r="D2565" i="1"/>
  <c r="E2565" i="1"/>
  <c r="C2566" i="1"/>
  <c r="D2566" i="1"/>
  <c r="E2566" i="1"/>
  <c r="C2567" i="1"/>
  <c r="D2567" i="1"/>
  <c r="E2567" i="1"/>
  <c r="C2568" i="1"/>
  <c r="D2568" i="1"/>
  <c r="E2568" i="1"/>
  <c r="C2569" i="1"/>
  <c r="D2569" i="1"/>
  <c r="E2569" i="1"/>
  <c r="C2570" i="1"/>
  <c r="D2570" i="1"/>
  <c r="E2570" i="1"/>
  <c r="C2571" i="1"/>
  <c r="D2571" i="1"/>
  <c r="E2571" i="1"/>
  <c r="C2572" i="1"/>
  <c r="D2572" i="1"/>
  <c r="E2572" i="1"/>
  <c r="C2573" i="1"/>
  <c r="D2573" i="1"/>
  <c r="E2573" i="1"/>
  <c r="C2574" i="1"/>
  <c r="D2574" i="1"/>
  <c r="E2574" i="1"/>
  <c r="C2575" i="1"/>
  <c r="D2575" i="1"/>
  <c r="E2575" i="1"/>
  <c r="C2576" i="1"/>
  <c r="D2576" i="1"/>
  <c r="E2576" i="1"/>
  <c r="C2577" i="1"/>
  <c r="D2577" i="1"/>
  <c r="E2577" i="1"/>
  <c r="C2578" i="1"/>
  <c r="D2578" i="1"/>
  <c r="E2578" i="1"/>
  <c r="C2579" i="1"/>
  <c r="D2579" i="1"/>
  <c r="E2579" i="1"/>
  <c r="C2580" i="1"/>
  <c r="D2580" i="1"/>
  <c r="E2580" i="1"/>
  <c r="C2581" i="1"/>
  <c r="D2581" i="1"/>
  <c r="E2581" i="1"/>
  <c r="C2582" i="1"/>
  <c r="D2582" i="1"/>
  <c r="E2582" i="1"/>
  <c r="C2583" i="1"/>
  <c r="D2583" i="1"/>
  <c r="E2583" i="1"/>
  <c r="C2584" i="1"/>
  <c r="D2584" i="1"/>
  <c r="E2584" i="1"/>
  <c r="C2585" i="1"/>
  <c r="D2585" i="1"/>
  <c r="E2585" i="1"/>
  <c r="C2586" i="1"/>
  <c r="D2586" i="1"/>
  <c r="E2586" i="1"/>
  <c r="C2587" i="1"/>
  <c r="D2587" i="1"/>
  <c r="E2587" i="1"/>
  <c r="C2588" i="1"/>
  <c r="D2588" i="1"/>
  <c r="E2588" i="1"/>
  <c r="C2589" i="1"/>
  <c r="D2589" i="1"/>
  <c r="E2589" i="1"/>
  <c r="C2590" i="1"/>
  <c r="D2590" i="1"/>
  <c r="E2590" i="1"/>
  <c r="C2591" i="1"/>
  <c r="D2591" i="1"/>
  <c r="E2591" i="1"/>
  <c r="C2592" i="1"/>
  <c r="D2592" i="1"/>
  <c r="E2592" i="1"/>
  <c r="C2593" i="1"/>
  <c r="D2593" i="1"/>
  <c r="E2593" i="1"/>
  <c r="C2594" i="1"/>
  <c r="D2594" i="1"/>
  <c r="E2594" i="1"/>
  <c r="C2595" i="1"/>
  <c r="D2595" i="1"/>
  <c r="E2595" i="1"/>
  <c r="C2596" i="1"/>
  <c r="D2596" i="1"/>
  <c r="E2596" i="1"/>
  <c r="C2597" i="1"/>
  <c r="D2597" i="1"/>
  <c r="E2597" i="1"/>
  <c r="C2598" i="1"/>
  <c r="D2598" i="1"/>
  <c r="E2598" i="1"/>
  <c r="C2599" i="1"/>
  <c r="D2599" i="1"/>
  <c r="E2599" i="1"/>
  <c r="C2600" i="1"/>
  <c r="D2600" i="1"/>
  <c r="E2600" i="1"/>
  <c r="C2601" i="1"/>
  <c r="D2601" i="1"/>
  <c r="E2601" i="1"/>
  <c r="C2602" i="1"/>
  <c r="D2602" i="1"/>
  <c r="E2602" i="1"/>
  <c r="C2603" i="1"/>
  <c r="D2603" i="1"/>
  <c r="E2603" i="1"/>
  <c r="C2604" i="1"/>
  <c r="D2604" i="1"/>
  <c r="E2604" i="1"/>
  <c r="C2605" i="1"/>
  <c r="D2605" i="1"/>
  <c r="E2605" i="1"/>
  <c r="C2606" i="1"/>
  <c r="D2606" i="1"/>
  <c r="E2606" i="1"/>
  <c r="C2607" i="1"/>
  <c r="D2607" i="1"/>
  <c r="E2607" i="1"/>
  <c r="C2608" i="1"/>
  <c r="D2608" i="1"/>
  <c r="E2608" i="1"/>
  <c r="C2609" i="1"/>
  <c r="D2609" i="1"/>
  <c r="E2609" i="1"/>
  <c r="C2610" i="1"/>
  <c r="D2610" i="1"/>
  <c r="E2610" i="1"/>
  <c r="C2611" i="1"/>
  <c r="D2611" i="1"/>
  <c r="E2611" i="1"/>
  <c r="C2612" i="1"/>
  <c r="D2612" i="1"/>
  <c r="E2612" i="1"/>
  <c r="C2613" i="1"/>
  <c r="D2613" i="1"/>
  <c r="E2613" i="1"/>
  <c r="C2614" i="1"/>
  <c r="D2614" i="1"/>
  <c r="E2614" i="1"/>
  <c r="C2615" i="1"/>
  <c r="D2615" i="1"/>
  <c r="E2615" i="1"/>
  <c r="C2616" i="1"/>
  <c r="D2616" i="1"/>
  <c r="E2616" i="1"/>
  <c r="C2617" i="1"/>
  <c r="D2617" i="1"/>
  <c r="E2617" i="1"/>
  <c r="C2618" i="1"/>
  <c r="D2618" i="1"/>
  <c r="E2618" i="1"/>
  <c r="C2619" i="1"/>
  <c r="D2619" i="1"/>
  <c r="E2619" i="1"/>
  <c r="C2620" i="1"/>
  <c r="D2620" i="1"/>
  <c r="E2620" i="1"/>
  <c r="C2621" i="1"/>
  <c r="D2621" i="1"/>
  <c r="E2621" i="1"/>
  <c r="C2622" i="1"/>
  <c r="D2622" i="1"/>
  <c r="E2622" i="1"/>
  <c r="C2623" i="1"/>
  <c r="D2623" i="1"/>
  <c r="E2623" i="1"/>
  <c r="C2624" i="1"/>
  <c r="D2624" i="1"/>
  <c r="E2624" i="1"/>
  <c r="C2625" i="1"/>
  <c r="D2625" i="1"/>
  <c r="E2625" i="1"/>
  <c r="C2626" i="1"/>
  <c r="D2626" i="1"/>
  <c r="E2626" i="1"/>
  <c r="C2627" i="1"/>
  <c r="D2627" i="1"/>
  <c r="E2627" i="1"/>
  <c r="C2628" i="1"/>
  <c r="D2628" i="1"/>
  <c r="E2628" i="1"/>
  <c r="C2629" i="1"/>
  <c r="D2629" i="1"/>
  <c r="E2629" i="1"/>
  <c r="C2630" i="1"/>
  <c r="D2630" i="1"/>
  <c r="E2630" i="1"/>
  <c r="C2631" i="1"/>
  <c r="D2631" i="1"/>
  <c r="E2631" i="1"/>
  <c r="C2632" i="1"/>
  <c r="D2632" i="1"/>
  <c r="E2632" i="1"/>
  <c r="C2633" i="1"/>
  <c r="D2633" i="1"/>
  <c r="E2633" i="1"/>
  <c r="C2634" i="1"/>
  <c r="D2634" i="1"/>
  <c r="E2634" i="1"/>
  <c r="C2635" i="1"/>
  <c r="D2635" i="1"/>
  <c r="E2635" i="1"/>
  <c r="C2636" i="1"/>
  <c r="D2636" i="1"/>
  <c r="E2636" i="1"/>
  <c r="C2637" i="1"/>
  <c r="D2637" i="1"/>
  <c r="E2637" i="1"/>
  <c r="C2638" i="1"/>
  <c r="D2638" i="1"/>
  <c r="E2638" i="1"/>
  <c r="C2639" i="1"/>
  <c r="D2639" i="1"/>
  <c r="E2639" i="1"/>
  <c r="C2640" i="1"/>
  <c r="D2640" i="1"/>
  <c r="E2640" i="1"/>
  <c r="C2641" i="1"/>
  <c r="D2641" i="1"/>
  <c r="E2641" i="1"/>
  <c r="C2642" i="1"/>
  <c r="D2642" i="1"/>
  <c r="E2642" i="1"/>
  <c r="C2643" i="1"/>
  <c r="D2643" i="1"/>
  <c r="E2643" i="1"/>
  <c r="C2644" i="1"/>
  <c r="D2644" i="1"/>
  <c r="E2644" i="1"/>
  <c r="C2645" i="1"/>
  <c r="D2645" i="1"/>
  <c r="E2645" i="1"/>
  <c r="C2646" i="1"/>
  <c r="D2646" i="1"/>
  <c r="E2646" i="1"/>
  <c r="C2647" i="1"/>
  <c r="D2647" i="1"/>
  <c r="E2647" i="1"/>
  <c r="C2648" i="1"/>
  <c r="D2648" i="1"/>
  <c r="E2648" i="1"/>
  <c r="C2649" i="1"/>
  <c r="D2649" i="1"/>
  <c r="E2649" i="1"/>
  <c r="C2650" i="1"/>
  <c r="D2650" i="1"/>
  <c r="E2650" i="1"/>
  <c r="C2651" i="1"/>
  <c r="D2651" i="1"/>
  <c r="E2651" i="1"/>
  <c r="C2652" i="1"/>
  <c r="D2652" i="1"/>
  <c r="E2652" i="1"/>
  <c r="C2653" i="1"/>
  <c r="D2653" i="1"/>
  <c r="E2653" i="1"/>
  <c r="C2654" i="1"/>
  <c r="D2654" i="1"/>
  <c r="E2654" i="1"/>
  <c r="C2655" i="1"/>
  <c r="D2655" i="1"/>
  <c r="E2655" i="1"/>
  <c r="C2656" i="1"/>
  <c r="D2656" i="1"/>
  <c r="E2656" i="1"/>
  <c r="C2657" i="1"/>
  <c r="D2657" i="1"/>
  <c r="E2657" i="1"/>
  <c r="C2658" i="1"/>
  <c r="D2658" i="1"/>
  <c r="E2658" i="1"/>
  <c r="C2659" i="1"/>
  <c r="D2659" i="1"/>
  <c r="E2659" i="1"/>
  <c r="C2660" i="1"/>
  <c r="D2660" i="1"/>
  <c r="E2660" i="1"/>
  <c r="C2661" i="1"/>
  <c r="D2661" i="1"/>
  <c r="E2661" i="1"/>
  <c r="C2662" i="1"/>
  <c r="D2662" i="1"/>
  <c r="E2662" i="1"/>
  <c r="C2663" i="1"/>
  <c r="D2663" i="1"/>
  <c r="E2663" i="1"/>
  <c r="C2664" i="1"/>
  <c r="D2664" i="1"/>
  <c r="E2664" i="1"/>
  <c r="C2665" i="1"/>
  <c r="D2665" i="1"/>
  <c r="E2665" i="1"/>
  <c r="C2666" i="1"/>
  <c r="D2666" i="1"/>
  <c r="E2666" i="1"/>
  <c r="C2667" i="1"/>
  <c r="D2667" i="1"/>
  <c r="E2667" i="1"/>
  <c r="C2668" i="1"/>
  <c r="D2668" i="1"/>
  <c r="E2668" i="1"/>
  <c r="C2669" i="1"/>
  <c r="D2669" i="1"/>
  <c r="E2669" i="1"/>
  <c r="C2670" i="1"/>
  <c r="D2670" i="1"/>
  <c r="E2670" i="1"/>
  <c r="C2671" i="1"/>
  <c r="D2671" i="1"/>
  <c r="E2671" i="1"/>
  <c r="C2672" i="1"/>
  <c r="D2672" i="1"/>
  <c r="E2672" i="1"/>
  <c r="C2673" i="1"/>
  <c r="D2673" i="1"/>
  <c r="E2673" i="1"/>
  <c r="C2674" i="1"/>
  <c r="D2674" i="1"/>
  <c r="E2674" i="1"/>
  <c r="C2675" i="1"/>
  <c r="D2675" i="1"/>
  <c r="E2675" i="1"/>
  <c r="C2676" i="1"/>
  <c r="D2676" i="1"/>
  <c r="E2676" i="1"/>
  <c r="C2677" i="1"/>
  <c r="D2677" i="1"/>
  <c r="E2677" i="1"/>
  <c r="C2678" i="1"/>
  <c r="D2678" i="1"/>
  <c r="E2678" i="1"/>
  <c r="C2679" i="1"/>
  <c r="D2679" i="1"/>
  <c r="E2679" i="1"/>
  <c r="C2680" i="1"/>
  <c r="D2680" i="1"/>
  <c r="E2680" i="1"/>
  <c r="C2681" i="1"/>
  <c r="D2681" i="1"/>
  <c r="E2681" i="1"/>
  <c r="C2682" i="1"/>
  <c r="D2682" i="1"/>
  <c r="E2682" i="1"/>
  <c r="C2683" i="1"/>
  <c r="D2683" i="1"/>
  <c r="E2683" i="1"/>
  <c r="C2684" i="1"/>
  <c r="D2684" i="1"/>
  <c r="E2684" i="1"/>
  <c r="C2685" i="1"/>
  <c r="D2685" i="1"/>
  <c r="E2685" i="1"/>
  <c r="C2686" i="1"/>
  <c r="D2686" i="1"/>
  <c r="E2686" i="1"/>
  <c r="C2687" i="1"/>
  <c r="D2687" i="1"/>
  <c r="E2687" i="1"/>
  <c r="C2688" i="1"/>
  <c r="D2688" i="1"/>
  <c r="E2688" i="1"/>
  <c r="C2689" i="1"/>
  <c r="D2689" i="1"/>
  <c r="E2689" i="1"/>
  <c r="C2690" i="1"/>
  <c r="D2690" i="1"/>
  <c r="E2690" i="1"/>
  <c r="C2691" i="1"/>
  <c r="D2691" i="1"/>
  <c r="E2691" i="1"/>
  <c r="C2692" i="1"/>
  <c r="D2692" i="1"/>
  <c r="E2692" i="1"/>
  <c r="C2693" i="1"/>
  <c r="D2693" i="1"/>
  <c r="E2693" i="1"/>
  <c r="C2694" i="1"/>
  <c r="D2694" i="1"/>
  <c r="E2694" i="1"/>
  <c r="C2695" i="1"/>
  <c r="D2695" i="1"/>
  <c r="E2695" i="1"/>
  <c r="C2696" i="1"/>
  <c r="D2696" i="1"/>
  <c r="E2696" i="1"/>
  <c r="C2697" i="1"/>
  <c r="D2697" i="1"/>
  <c r="E2697" i="1"/>
  <c r="C2698" i="1"/>
  <c r="D2698" i="1"/>
  <c r="E2698" i="1"/>
  <c r="C2699" i="1"/>
  <c r="D2699" i="1"/>
  <c r="E2699" i="1"/>
  <c r="C2700" i="1"/>
  <c r="D2700" i="1"/>
  <c r="E2700" i="1"/>
  <c r="C2701" i="1"/>
  <c r="D2701" i="1"/>
  <c r="E2701" i="1"/>
  <c r="C2702" i="1"/>
  <c r="D2702" i="1"/>
  <c r="E2702" i="1"/>
  <c r="C2703" i="1"/>
  <c r="D2703" i="1"/>
  <c r="E2703" i="1"/>
  <c r="C2704" i="1"/>
  <c r="D2704" i="1"/>
  <c r="E2704" i="1"/>
  <c r="C2705" i="1"/>
  <c r="D2705" i="1"/>
  <c r="E2705" i="1"/>
  <c r="C2706" i="1"/>
  <c r="D2706" i="1"/>
  <c r="E2706" i="1"/>
  <c r="C2707" i="1"/>
  <c r="D2707" i="1"/>
  <c r="E2707" i="1"/>
  <c r="C2708" i="1"/>
  <c r="D2708" i="1"/>
  <c r="E2708" i="1"/>
  <c r="C2709" i="1"/>
  <c r="D2709" i="1"/>
  <c r="E2709" i="1"/>
  <c r="C2710" i="1"/>
  <c r="D2710" i="1"/>
  <c r="E2710" i="1"/>
  <c r="C2711" i="1"/>
  <c r="D2711" i="1"/>
  <c r="E2711" i="1"/>
  <c r="C2712" i="1"/>
  <c r="D2712" i="1"/>
  <c r="E2712" i="1"/>
  <c r="C2713" i="1"/>
  <c r="D2713" i="1"/>
  <c r="E2713" i="1"/>
  <c r="C2714" i="1"/>
  <c r="D2714" i="1"/>
  <c r="E2714" i="1"/>
  <c r="C2715" i="1"/>
  <c r="D2715" i="1"/>
  <c r="E2715" i="1"/>
  <c r="C2716" i="1"/>
  <c r="D2716" i="1"/>
  <c r="E2716" i="1"/>
  <c r="C2717" i="1"/>
  <c r="D2717" i="1"/>
  <c r="E2717" i="1"/>
  <c r="C2718" i="1"/>
  <c r="D2718" i="1"/>
  <c r="E2718" i="1"/>
  <c r="C2719" i="1"/>
  <c r="D2719" i="1"/>
  <c r="E2719" i="1"/>
  <c r="C2720" i="1"/>
  <c r="D2720" i="1"/>
  <c r="E2720" i="1"/>
  <c r="C2721" i="1"/>
  <c r="D2721" i="1"/>
  <c r="E2721" i="1"/>
  <c r="C2722" i="1"/>
  <c r="D2722" i="1"/>
  <c r="E2722" i="1"/>
  <c r="C2723" i="1"/>
  <c r="D2723" i="1"/>
  <c r="E2723" i="1"/>
  <c r="C2724" i="1"/>
  <c r="D2724" i="1"/>
  <c r="E2724" i="1"/>
  <c r="C2725" i="1"/>
  <c r="D2725" i="1"/>
  <c r="E2725" i="1"/>
  <c r="C2726" i="1"/>
  <c r="D2726" i="1"/>
  <c r="E2726" i="1"/>
  <c r="C2727" i="1"/>
  <c r="D2727" i="1"/>
  <c r="E2727" i="1"/>
  <c r="C2728" i="1"/>
  <c r="D2728" i="1"/>
  <c r="E2728" i="1"/>
  <c r="C2729" i="1"/>
  <c r="D2729" i="1"/>
  <c r="E2729" i="1"/>
  <c r="C2730" i="1"/>
  <c r="D2730" i="1"/>
  <c r="E2730" i="1"/>
  <c r="C2731" i="1"/>
  <c r="D2731" i="1"/>
  <c r="E2731" i="1"/>
  <c r="C2732" i="1"/>
  <c r="D2732" i="1"/>
  <c r="E2732" i="1"/>
  <c r="C2733" i="1"/>
  <c r="D2733" i="1"/>
  <c r="E2733" i="1"/>
  <c r="C2734" i="1"/>
  <c r="D2734" i="1"/>
  <c r="E2734" i="1"/>
  <c r="C2735" i="1"/>
  <c r="D2735" i="1"/>
  <c r="E2735" i="1"/>
  <c r="C2736" i="1"/>
  <c r="D2736" i="1"/>
  <c r="E2736" i="1"/>
  <c r="C2737" i="1"/>
  <c r="D2737" i="1"/>
  <c r="E2737" i="1"/>
  <c r="C2738" i="1"/>
  <c r="D2738" i="1"/>
  <c r="E2738" i="1"/>
  <c r="C2739" i="1"/>
  <c r="D2739" i="1"/>
  <c r="E2739" i="1"/>
  <c r="C2740" i="1"/>
  <c r="D2740" i="1"/>
  <c r="E2740" i="1"/>
  <c r="C2741" i="1"/>
  <c r="D2741" i="1"/>
  <c r="E2741" i="1"/>
  <c r="C2742" i="1"/>
  <c r="D2742" i="1"/>
  <c r="E2742" i="1"/>
  <c r="C2743" i="1"/>
  <c r="D2743" i="1"/>
  <c r="E2743" i="1"/>
  <c r="C2744" i="1"/>
  <c r="D2744" i="1"/>
  <c r="E2744" i="1"/>
  <c r="C2745" i="1"/>
  <c r="D2745" i="1"/>
  <c r="E2745" i="1"/>
  <c r="C2746" i="1"/>
  <c r="D2746" i="1"/>
  <c r="E2746" i="1"/>
  <c r="C2747" i="1"/>
  <c r="D2747" i="1"/>
  <c r="E2747" i="1"/>
  <c r="C2748" i="1"/>
  <c r="D2748" i="1"/>
  <c r="E2748" i="1"/>
  <c r="C2749" i="1"/>
  <c r="D2749" i="1"/>
  <c r="E2749" i="1"/>
  <c r="C2750" i="1"/>
  <c r="D2750" i="1"/>
  <c r="E2750" i="1"/>
  <c r="C2751" i="1"/>
  <c r="D2751" i="1"/>
  <c r="E2751" i="1"/>
  <c r="C2752" i="1"/>
  <c r="D2752" i="1"/>
  <c r="E2752" i="1"/>
  <c r="C2753" i="1"/>
  <c r="D2753" i="1"/>
  <c r="E2753" i="1"/>
  <c r="C2754" i="1"/>
  <c r="D2754" i="1"/>
  <c r="E2754" i="1"/>
  <c r="C2755" i="1"/>
  <c r="D2755" i="1"/>
  <c r="E2755" i="1"/>
  <c r="C2756" i="1"/>
  <c r="D2756" i="1"/>
  <c r="E2756" i="1"/>
  <c r="C2757" i="1"/>
  <c r="D2757" i="1"/>
  <c r="E2757" i="1"/>
  <c r="C2758" i="1"/>
  <c r="D2758" i="1"/>
  <c r="E2758" i="1"/>
  <c r="C2759" i="1"/>
  <c r="D2759" i="1"/>
  <c r="E2759" i="1"/>
  <c r="C2760" i="1"/>
  <c r="D2760" i="1"/>
  <c r="E2760" i="1"/>
  <c r="C2761" i="1"/>
  <c r="D2761" i="1"/>
  <c r="E2761" i="1"/>
  <c r="C2762" i="1"/>
  <c r="D2762" i="1"/>
  <c r="E2762" i="1"/>
  <c r="C2763" i="1"/>
  <c r="D2763" i="1"/>
  <c r="E2763" i="1"/>
  <c r="C2764" i="1"/>
  <c r="D2764" i="1"/>
  <c r="E2764" i="1"/>
  <c r="C2765" i="1"/>
  <c r="D2765" i="1"/>
  <c r="E2765" i="1"/>
  <c r="C2766" i="1"/>
  <c r="D2766" i="1"/>
  <c r="E2766" i="1"/>
  <c r="C2767" i="1"/>
  <c r="D2767" i="1"/>
  <c r="E2767" i="1"/>
  <c r="C2768" i="1"/>
  <c r="D2768" i="1"/>
  <c r="E2768" i="1"/>
  <c r="C2769" i="1"/>
  <c r="D2769" i="1"/>
  <c r="E2769" i="1"/>
  <c r="C2770" i="1"/>
  <c r="D2770" i="1"/>
  <c r="E2770" i="1"/>
  <c r="C2771" i="1"/>
  <c r="D2771" i="1"/>
  <c r="E2771" i="1"/>
  <c r="C2772" i="1"/>
  <c r="D2772" i="1"/>
  <c r="E2772" i="1"/>
  <c r="C2773" i="1"/>
  <c r="D2773" i="1"/>
  <c r="E2773" i="1"/>
  <c r="C2774" i="1"/>
  <c r="D2774" i="1"/>
  <c r="E2774" i="1"/>
  <c r="C2775" i="1"/>
  <c r="D2775" i="1"/>
  <c r="E2775" i="1"/>
  <c r="C2776" i="1"/>
  <c r="D2776" i="1"/>
  <c r="E2776" i="1"/>
  <c r="C2777" i="1"/>
  <c r="D2777" i="1"/>
  <c r="E2777" i="1"/>
  <c r="C2778" i="1"/>
  <c r="D2778" i="1"/>
  <c r="E2778" i="1"/>
  <c r="C2779" i="1"/>
  <c r="D2779" i="1"/>
  <c r="E2779" i="1"/>
  <c r="C2780" i="1"/>
  <c r="D2780" i="1"/>
  <c r="E2780" i="1"/>
  <c r="C2781" i="1"/>
  <c r="D2781" i="1"/>
  <c r="E2781" i="1"/>
  <c r="C2782" i="1"/>
  <c r="D2782" i="1"/>
  <c r="E2782" i="1"/>
  <c r="C2783" i="1"/>
  <c r="D2783" i="1"/>
  <c r="E2783" i="1"/>
  <c r="C2784" i="1"/>
  <c r="D2784" i="1"/>
  <c r="E2784" i="1"/>
  <c r="C2785" i="1"/>
  <c r="D2785" i="1"/>
  <c r="E2785" i="1"/>
  <c r="C2786" i="1"/>
  <c r="D2786" i="1"/>
  <c r="E2786" i="1"/>
  <c r="C2787" i="1"/>
  <c r="D2787" i="1"/>
  <c r="E2787" i="1"/>
  <c r="C2788" i="1"/>
  <c r="D2788" i="1"/>
  <c r="E2788" i="1"/>
  <c r="C2789" i="1"/>
  <c r="D2789" i="1"/>
  <c r="E2789" i="1"/>
  <c r="C2790" i="1"/>
  <c r="D2790" i="1"/>
  <c r="E2790" i="1"/>
  <c r="C2791" i="1"/>
  <c r="D2791" i="1"/>
  <c r="E2791" i="1"/>
  <c r="C2792" i="1"/>
  <c r="D2792" i="1"/>
  <c r="E2792" i="1"/>
  <c r="C2793" i="1"/>
  <c r="D2793" i="1"/>
  <c r="E2793" i="1"/>
  <c r="C2794" i="1"/>
  <c r="D2794" i="1"/>
  <c r="E2794" i="1"/>
  <c r="C2795" i="1"/>
  <c r="D2795" i="1"/>
  <c r="E2795" i="1"/>
  <c r="C2796" i="1"/>
  <c r="D2796" i="1"/>
  <c r="E2796" i="1"/>
  <c r="C2797" i="1"/>
  <c r="D2797" i="1"/>
  <c r="E2797" i="1"/>
  <c r="C2798" i="1"/>
  <c r="D2798" i="1"/>
  <c r="E2798" i="1"/>
  <c r="C2799" i="1"/>
  <c r="D2799" i="1"/>
  <c r="E2799" i="1"/>
  <c r="C2800" i="1"/>
  <c r="D2800" i="1"/>
  <c r="E2800" i="1"/>
  <c r="C2801" i="1"/>
  <c r="D2801" i="1"/>
  <c r="E2801" i="1"/>
  <c r="C2802" i="1"/>
  <c r="D2802" i="1"/>
  <c r="E2802" i="1"/>
  <c r="C2803" i="1"/>
  <c r="D2803" i="1"/>
  <c r="E2803" i="1"/>
  <c r="C2804" i="1"/>
  <c r="D2804" i="1"/>
  <c r="E2804" i="1"/>
  <c r="C2805" i="1"/>
  <c r="D2805" i="1"/>
  <c r="E2805" i="1"/>
  <c r="C2806" i="1"/>
  <c r="D2806" i="1"/>
  <c r="E2806" i="1"/>
  <c r="C2807" i="1"/>
  <c r="D2807" i="1"/>
  <c r="E2807" i="1"/>
  <c r="C2808" i="1"/>
  <c r="D2808" i="1"/>
  <c r="E2808" i="1"/>
  <c r="C2809" i="1"/>
  <c r="D2809" i="1"/>
  <c r="E2809" i="1"/>
  <c r="C2810" i="1"/>
  <c r="D2810" i="1"/>
  <c r="E2810" i="1"/>
  <c r="C2811" i="1"/>
  <c r="D2811" i="1"/>
  <c r="E2811" i="1"/>
  <c r="C2812" i="1"/>
  <c r="D2812" i="1"/>
  <c r="E2812" i="1"/>
  <c r="C2813" i="1"/>
  <c r="D2813" i="1"/>
  <c r="E2813" i="1"/>
  <c r="C2814" i="1"/>
  <c r="D2814" i="1"/>
  <c r="E2814" i="1"/>
  <c r="C2815" i="1"/>
  <c r="D2815" i="1"/>
  <c r="E2815" i="1"/>
  <c r="C2816" i="1"/>
  <c r="D2816" i="1"/>
  <c r="E2816" i="1"/>
  <c r="C2817" i="1"/>
  <c r="D2817" i="1"/>
  <c r="E2817" i="1"/>
  <c r="C2818" i="1"/>
  <c r="D2818" i="1"/>
  <c r="E2818" i="1"/>
  <c r="C2819" i="1"/>
  <c r="D2819" i="1"/>
  <c r="E2819" i="1"/>
  <c r="C2820" i="1"/>
  <c r="D2820" i="1"/>
  <c r="E2820" i="1"/>
  <c r="C2821" i="1"/>
  <c r="D2821" i="1"/>
  <c r="E2821" i="1"/>
  <c r="C2822" i="1"/>
  <c r="D2822" i="1"/>
  <c r="E2822" i="1"/>
  <c r="C2823" i="1"/>
  <c r="D2823" i="1"/>
  <c r="E2823" i="1"/>
  <c r="C2824" i="1"/>
  <c r="D2824" i="1"/>
  <c r="E2824" i="1"/>
  <c r="C2825" i="1"/>
  <c r="D2825" i="1"/>
  <c r="E2825" i="1"/>
  <c r="C2826" i="1"/>
  <c r="D2826" i="1"/>
  <c r="E2826" i="1"/>
  <c r="C2827" i="1"/>
  <c r="D2827" i="1"/>
  <c r="E2827" i="1"/>
  <c r="C2828" i="1"/>
  <c r="D2828" i="1"/>
  <c r="E2828" i="1"/>
  <c r="C2829" i="1"/>
  <c r="D2829" i="1"/>
  <c r="E2829" i="1"/>
  <c r="C2830" i="1"/>
  <c r="D2830" i="1"/>
  <c r="E2830" i="1"/>
  <c r="C2831" i="1"/>
  <c r="D2831" i="1"/>
  <c r="E2831" i="1"/>
  <c r="C2832" i="1"/>
  <c r="D2832" i="1"/>
  <c r="E2832" i="1"/>
  <c r="C2833" i="1"/>
  <c r="D2833" i="1"/>
  <c r="E2833" i="1"/>
  <c r="C2834" i="1"/>
  <c r="D2834" i="1"/>
  <c r="E2834" i="1"/>
  <c r="C2835" i="1"/>
  <c r="D2835" i="1"/>
  <c r="E2835" i="1"/>
  <c r="C2836" i="1"/>
  <c r="D2836" i="1"/>
  <c r="E2836" i="1"/>
  <c r="C2837" i="1"/>
  <c r="D2837" i="1"/>
  <c r="E2837" i="1"/>
  <c r="C2838" i="1"/>
  <c r="D2838" i="1"/>
  <c r="E2838" i="1"/>
  <c r="C2839" i="1"/>
  <c r="D2839" i="1"/>
  <c r="E2839" i="1"/>
  <c r="C2840" i="1"/>
  <c r="D2840" i="1"/>
  <c r="E2840" i="1"/>
  <c r="C2841" i="1"/>
  <c r="D2841" i="1"/>
  <c r="E2841" i="1"/>
  <c r="C2842" i="1"/>
  <c r="D2842" i="1"/>
  <c r="E2842" i="1"/>
  <c r="C2843" i="1"/>
  <c r="D2843" i="1"/>
  <c r="E2843" i="1"/>
  <c r="C2844" i="1"/>
  <c r="D2844" i="1"/>
  <c r="E2844" i="1"/>
  <c r="C2845" i="1"/>
  <c r="D2845" i="1"/>
  <c r="E2845" i="1"/>
  <c r="C2846" i="1"/>
  <c r="D2846" i="1"/>
  <c r="E2846" i="1"/>
  <c r="C2847" i="1"/>
  <c r="D2847" i="1"/>
  <c r="E2847" i="1"/>
  <c r="C2848" i="1"/>
  <c r="D2848" i="1"/>
  <c r="E2848" i="1"/>
  <c r="C2849" i="1"/>
  <c r="D2849" i="1"/>
  <c r="E2849" i="1"/>
  <c r="C2850" i="1"/>
  <c r="D2850" i="1"/>
  <c r="E2850" i="1"/>
  <c r="C2851" i="1"/>
  <c r="D2851" i="1"/>
  <c r="E2851" i="1"/>
  <c r="C2852" i="1"/>
  <c r="D2852" i="1"/>
  <c r="E2852" i="1"/>
  <c r="C2853" i="1"/>
  <c r="D2853" i="1"/>
  <c r="E2853" i="1"/>
  <c r="C2854" i="1"/>
  <c r="D2854" i="1"/>
  <c r="E2854" i="1"/>
  <c r="C2855" i="1"/>
  <c r="D2855" i="1"/>
  <c r="E2855" i="1"/>
  <c r="C2856" i="1"/>
  <c r="D2856" i="1"/>
  <c r="E2856" i="1"/>
  <c r="C2857" i="1"/>
  <c r="D2857" i="1"/>
  <c r="E2857" i="1"/>
  <c r="C2858" i="1"/>
  <c r="D2858" i="1"/>
  <c r="E2858" i="1"/>
  <c r="C2859" i="1"/>
  <c r="D2859" i="1"/>
  <c r="E2859" i="1"/>
  <c r="C2860" i="1"/>
  <c r="D2860" i="1"/>
  <c r="E2860" i="1"/>
  <c r="C2861" i="1"/>
  <c r="D2861" i="1"/>
  <c r="E2861" i="1"/>
  <c r="C2862" i="1"/>
  <c r="D2862" i="1"/>
  <c r="E2862" i="1"/>
  <c r="C2863" i="1"/>
  <c r="D2863" i="1"/>
  <c r="E2863" i="1"/>
  <c r="C2864" i="1"/>
  <c r="D2864" i="1"/>
  <c r="E2864" i="1"/>
  <c r="C2865" i="1"/>
  <c r="D2865" i="1"/>
  <c r="E2865" i="1"/>
  <c r="C2866" i="1"/>
  <c r="D2866" i="1"/>
  <c r="E2866" i="1"/>
  <c r="C2867" i="1"/>
  <c r="D2867" i="1"/>
  <c r="E2867" i="1"/>
  <c r="C2868" i="1"/>
  <c r="D2868" i="1"/>
  <c r="E2868" i="1"/>
  <c r="C2869" i="1"/>
  <c r="D2869" i="1"/>
  <c r="E2869" i="1"/>
  <c r="C2870" i="1"/>
  <c r="D2870" i="1"/>
  <c r="E2870" i="1"/>
  <c r="C2871" i="1"/>
  <c r="D2871" i="1"/>
  <c r="E2871" i="1"/>
  <c r="C2872" i="1"/>
  <c r="D2872" i="1"/>
  <c r="E2872" i="1"/>
  <c r="C2873" i="1"/>
  <c r="D2873" i="1"/>
  <c r="E2873" i="1"/>
  <c r="C2874" i="1"/>
  <c r="D2874" i="1"/>
  <c r="E2874" i="1"/>
  <c r="C2875" i="1"/>
  <c r="D2875" i="1"/>
  <c r="E2875" i="1"/>
  <c r="C2876" i="1"/>
  <c r="D2876" i="1"/>
  <c r="E2876" i="1"/>
  <c r="C2877" i="1"/>
  <c r="D2877" i="1"/>
  <c r="E2877" i="1"/>
  <c r="C2878" i="1"/>
  <c r="D2878" i="1"/>
  <c r="E2878" i="1"/>
  <c r="C2879" i="1"/>
  <c r="D2879" i="1"/>
  <c r="E2879" i="1"/>
  <c r="C2880" i="1"/>
  <c r="D2880" i="1"/>
  <c r="E2880" i="1"/>
  <c r="C2881" i="1"/>
  <c r="D2881" i="1"/>
  <c r="E2881" i="1"/>
  <c r="C2882" i="1"/>
  <c r="D2882" i="1"/>
  <c r="E2882" i="1"/>
  <c r="C2883" i="1"/>
  <c r="D2883" i="1"/>
  <c r="E2883" i="1"/>
  <c r="C2884" i="1"/>
  <c r="D2884" i="1"/>
  <c r="E2884" i="1"/>
  <c r="C2885" i="1"/>
  <c r="D2885" i="1"/>
  <c r="E2885" i="1"/>
  <c r="C2886" i="1"/>
  <c r="D2886" i="1"/>
  <c r="E2886" i="1"/>
  <c r="C2887" i="1"/>
  <c r="D2887" i="1"/>
  <c r="E2887" i="1"/>
  <c r="C2888" i="1"/>
  <c r="D2888" i="1"/>
  <c r="E2888" i="1"/>
  <c r="C2889" i="1"/>
  <c r="D2889" i="1"/>
  <c r="E2889" i="1"/>
  <c r="C2890" i="1"/>
  <c r="D2890" i="1"/>
  <c r="E2890" i="1"/>
  <c r="C2891" i="1"/>
  <c r="D2891" i="1"/>
  <c r="E2891" i="1"/>
  <c r="C2892" i="1"/>
  <c r="D2892" i="1"/>
  <c r="E2892" i="1"/>
  <c r="C2893" i="1"/>
  <c r="D2893" i="1"/>
  <c r="E2893" i="1"/>
  <c r="C2894" i="1"/>
  <c r="D2894" i="1"/>
  <c r="E2894" i="1"/>
  <c r="C2895" i="1"/>
  <c r="D2895" i="1"/>
  <c r="E2895" i="1"/>
  <c r="C2896" i="1"/>
  <c r="D2896" i="1"/>
  <c r="E2896" i="1"/>
  <c r="C2897" i="1"/>
  <c r="D2897" i="1"/>
  <c r="E2897" i="1"/>
  <c r="C2898" i="1"/>
  <c r="D2898" i="1"/>
  <c r="E2898" i="1"/>
  <c r="C2899" i="1"/>
  <c r="D2899" i="1"/>
  <c r="E2899" i="1"/>
  <c r="C2900" i="1"/>
  <c r="D2900" i="1"/>
  <c r="E2900" i="1"/>
  <c r="C2901" i="1"/>
  <c r="D2901" i="1"/>
  <c r="E2901" i="1"/>
  <c r="C2902" i="1"/>
  <c r="D2902" i="1"/>
  <c r="E2902" i="1"/>
  <c r="C2903" i="1"/>
  <c r="D2903" i="1"/>
  <c r="E2903" i="1"/>
  <c r="C2904" i="1"/>
  <c r="D2904" i="1"/>
  <c r="E2904" i="1"/>
  <c r="C2905" i="1"/>
  <c r="D2905" i="1"/>
  <c r="E2905" i="1"/>
  <c r="C2906" i="1"/>
  <c r="D2906" i="1"/>
  <c r="E2906" i="1"/>
  <c r="C2907" i="1"/>
  <c r="D2907" i="1"/>
  <c r="E2907" i="1"/>
  <c r="C2908" i="1"/>
  <c r="D2908" i="1"/>
  <c r="E2908" i="1"/>
  <c r="C2909" i="1"/>
  <c r="D2909" i="1"/>
  <c r="E2909" i="1"/>
  <c r="C2910" i="1"/>
  <c r="D2910" i="1"/>
  <c r="E2910" i="1"/>
  <c r="C2911" i="1"/>
  <c r="D2911" i="1"/>
  <c r="E2911" i="1"/>
  <c r="C2912" i="1"/>
  <c r="D2912" i="1"/>
  <c r="E2912" i="1"/>
  <c r="C2913" i="1"/>
  <c r="D2913" i="1"/>
  <c r="E2913" i="1"/>
  <c r="C2914" i="1"/>
  <c r="D2914" i="1"/>
  <c r="E2914" i="1"/>
  <c r="C2915" i="1"/>
  <c r="D2915" i="1"/>
  <c r="E2915" i="1"/>
  <c r="C2916" i="1"/>
  <c r="D2916" i="1"/>
  <c r="E2916" i="1"/>
  <c r="C2917" i="1"/>
  <c r="D2917" i="1"/>
  <c r="E2917" i="1"/>
  <c r="C2918" i="1"/>
  <c r="D2918" i="1"/>
  <c r="E2918" i="1"/>
  <c r="C2919" i="1"/>
  <c r="D2919" i="1"/>
  <c r="E2919" i="1"/>
  <c r="C2920" i="1"/>
  <c r="D2920" i="1"/>
  <c r="E2920" i="1"/>
  <c r="C2921" i="1"/>
  <c r="D2921" i="1"/>
  <c r="E2921" i="1"/>
  <c r="C2922" i="1"/>
  <c r="D2922" i="1"/>
  <c r="E2922" i="1"/>
  <c r="C2923" i="1"/>
  <c r="D2923" i="1"/>
  <c r="E2923" i="1"/>
  <c r="C2924" i="1"/>
  <c r="D2924" i="1"/>
  <c r="E2924" i="1"/>
  <c r="C2925" i="1"/>
  <c r="D2925" i="1"/>
  <c r="E2925" i="1"/>
  <c r="C2926" i="1"/>
  <c r="D2926" i="1"/>
  <c r="E2926" i="1"/>
  <c r="C2927" i="1"/>
  <c r="D2927" i="1"/>
  <c r="E2927" i="1"/>
  <c r="C2928" i="1"/>
  <c r="D2928" i="1"/>
  <c r="E2928" i="1"/>
  <c r="C2929" i="1"/>
  <c r="D2929" i="1"/>
  <c r="E2929" i="1"/>
  <c r="C2930" i="1"/>
  <c r="D2930" i="1"/>
  <c r="E2930" i="1"/>
  <c r="C2931" i="1"/>
  <c r="D2931" i="1"/>
  <c r="E2931" i="1"/>
  <c r="C2932" i="1"/>
  <c r="D2932" i="1"/>
  <c r="E2932" i="1"/>
  <c r="C2933" i="1"/>
  <c r="D2933" i="1"/>
  <c r="E2933" i="1"/>
  <c r="C2934" i="1"/>
  <c r="D2934" i="1"/>
  <c r="E2934" i="1"/>
  <c r="C2935" i="1"/>
  <c r="D2935" i="1"/>
  <c r="E2935" i="1"/>
  <c r="C2936" i="1"/>
  <c r="D2936" i="1"/>
  <c r="E2936" i="1"/>
  <c r="C2937" i="1"/>
  <c r="D2937" i="1"/>
  <c r="E2937" i="1"/>
  <c r="C2938" i="1"/>
  <c r="D2938" i="1"/>
  <c r="E2938" i="1"/>
  <c r="C2939" i="1"/>
  <c r="D2939" i="1"/>
  <c r="E2939" i="1"/>
  <c r="C2940" i="1"/>
  <c r="D2940" i="1"/>
  <c r="E2940" i="1"/>
  <c r="C2941" i="1"/>
  <c r="D2941" i="1"/>
  <c r="E2941" i="1"/>
  <c r="C2942" i="1"/>
  <c r="D2942" i="1"/>
  <c r="E2942" i="1"/>
  <c r="C2943" i="1"/>
  <c r="D2943" i="1"/>
  <c r="E2943" i="1"/>
  <c r="C2944" i="1"/>
  <c r="D2944" i="1"/>
  <c r="E2944" i="1"/>
  <c r="C2945" i="1"/>
  <c r="D2945" i="1"/>
  <c r="E2945" i="1"/>
  <c r="C2946" i="1"/>
  <c r="D2946" i="1"/>
  <c r="E2946" i="1"/>
  <c r="C2947" i="1"/>
  <c r="D2947" i="1"/>
  <c r="E2947" i="1"/>
  <c r="C2948" i="1"/>
  <c r="D2948" i="1"/>
  <c r="E2948" i="1"/>
  <c r="C2949" i="1"/>
  <c r="D2949" i="1"/>
  <c r="E2949" i="1"/>
  <c r="C2950" i="1"/>
  <c r="D2950" i="1"/>
  <c r="E2950" i="1"/>
  <c r="C2951" i="1"/>
  <c r="D2951" i="1"/>
  <c r="E2951" i="1"/>
  <c r="C2952" i="1"/>
  <c r="D2952" i="1"/>
  <c r="E2952" i="1"/>
  <c r="C2953" i="1"/>
  <c r="D2953" i="1"/>
  <c r="E2953" i="1"/>
  <c r="C2954" i="1"/>
  <c r="D2954" i="1"/>
  <c r="E2954" i="1"/>
  <c r="C2955" i="1"/>
  <c r="D2955" i="1"/>
  <c r="E2955" i="1"/>
  <c r="C2956" i="1"/>
  <c r="D2956" i="1"/>
  <c r="E2956" i="1"/>
  <c r="C2957" i="1"/>
  <c r="D2957" i="1"/>
  <c r="E2957" i="1"/>
  <c r="C2958" i="1"/>
  <c r="D2958" i="1"/>
  <c r="E2958" i="1"/>
  <c r="C2959" i="1"/>
  <c r="D2959" i="1"/>
  <c r="E2959" i="1"/>
  <c r="C2960" i="1"/>
  <c r="D2960" i="1"/>
  <c r="E2960" i="1"/>
  <c r="C2961" i="1"/>
  <c r="D2961" i="1"/>
  <c r="E2961" i="1"/>
  <c r="C2962" i="1"/>
  <c r="D2962" i="1"/>
  <c r="E2962" i="1"/>
  <c r="C2963" i="1"/>
  <c r="D2963" i="1"/>
  <c r="E2963" i="1"/>
  <c r="C2964" i="1"/>
  <c r="D2964" i="1"/>
  <c r="E2964" i="1"/>
  <c r="C2965" i="1"/>
  <c r="D2965" i="1"/>
  <c r="E2965" i="1"/>
  <c r="C2966" i="1"/>
  <c r="D2966" i="1"/>
  <c r="E2966" i="1"/>
  <c r="C2967" i="1"/>
  <c r="D2967" i="1"/>
  <c r="E2967" i="1"/>
  <c r="C2968" i="1"/>
  <c r="D2968" i="1"/>
  <c r="E2968" i="1"/>
  <c r="C2969" i="1"/>
  <c r="D2969" i="1"/>
  <c r="E2969" i="1"/>
  <c r="C2970" i="1"/>
  <c r="D2970" i="1"/>
  <c r="E2970" i="1"/>
  <c r="C2971" i="1"/>
  <c r="D2971" i="1"/>
  <c r="E2971" i="1"/>
  <c r="C2972" i="1"/>
  <c r="D2972" i="1"/>
  <c r="E2972" i="1"/>
  <c r="C2973" i="1"/>
  <c r="D2973" i="1"/>
  <c r="E2973" i="1"/>
  <c r="C2974" i="1"/>
  <c r="D2974" i="1"/>
  <c r="E2974" i="1"/>
  <c r="C2975" i="1"/>
  <c r="D2975" i="1"/>
  <c r="E2975" i="1"/>
  <c r="C2976" i="1"/>
  <c r="D2976" i="1"/>
  <c r="E2976" i="1"/>
  <c r="C2977" i="1"/>
  <c r="D2977" i="1"/>
  <c r="E2977" i="1"/>
  <c r="C2978" i="1"/>
  <c r="D2978" i="1"/>
  <c r="E2978" i="1"/>
  <c r="C2979" i="1"/>
  <c r="D2979" i="1"/>
  <c r="E2979" i="1"/>
  <c r="C2980" i="1"/>
  <c r="D2980" i="1"/>
  <c r="E2980" i="1"/>
  <c r="C2981" i="1"/>
  <c r="D2981" i="1"/>
  <c r="E2981" i="1"/>
  <c r="C2982" i="1"/>
  <c r="D2982" i="1"/>
  <c r="E2982" i="1"/>
  <c r="C2983" i="1"/>
  <c r="D2983" i="1"/>
  <c r="E2983" i="1"/>
  <c r="C2984" i="1"/>
  <c r="D2984" i="1"/>
  <c r="E2984" i="1"/>
  <c r="C2985" i="1"/>
  <c r="D2985" i="1"/>
  <c r="E2985" i="1"/>
  <c r="C2986" i="1"/>
  <c r="D2986" i="1"/>
  <c r="E2986" i="1"/>
  <c r="C2987" i="1"/>
  <c r="D2987" i="1"/>
  <c r="E2987" i="1"/>
  <c r="C2988" i="1"/>
  <c r="D2988" i="1"/>
  <c r="E2988" i="1"/>
  <c r="C2989" i="1"/>
  <c r="D2989" i="1"/>
  <c r="E2989" i="1"/>
  <c r="C2990" i="1"/>
  <c r="D2990" i="1"/>
  <c r="E2990" i="1"/>
  <c r="C2991" i="1"/>
  <c r="D2991" i="1"/>
  <c r="E2991" i="1"/>
  <c r="C2992" i="1"/>
  <c r="D2992" i="1"/>
  <c r="E2992" i="1"/>
  <c r="C2993" i="1"/>
  <c r="D2993" i="1"/>
  <c r="E2993" i="1"/>
  <c r="C2994" i="1"/>
  <c r="D2994" i="1"/>
  <c r="E2994" i="1"/>
  <c r="C2995" i="1"/>
  <c r="D2995" i="1"/>
  <c r="E2995" i="1"/>
  <c r="C2996" i="1"/>
  <c r="D2996" i="1"/>
  <c r="E2996" i="1"/>
  <c r="C2997" i="1"/>
  <c r="D2997" i="1"/>
  <c r="E2997" i="1"/>
  <c r="C2998" i="1"/>
  <c r="D2998" i="1"/>
  <c r="E2998" i="1"/>
  <c r="C2999" i="1"/>
  <c r="D2999" i="1"/>
  <c r="E2999" i="1"/>
  <c r="C3000" i="1"/>
  <c r="D3000" i="1"/>
  <c r="E3000" i="1"/>
  <c r="C3001" i="1"/>
  <c r="D3001" i="1"/>
  <c r="E3001" i="1"/>
  <c r="C3002" i="1"/>
  <c r="D3002" i="1"/>
  <c r="E3002" i="1"/>
  <c r="C3003" i="1"/>
  <c r="D3003" i="1"/>
  <c r="E3003" i="1"/>
  <c r="C3004" i="1"/>
  <c r="D3004" i="1"/>
  <c r="E3004" i="1"/>
  <c r="C3005" i="1"/>
  <c r="D3005" i="1"/>
  <c r="E3005" i="1"/>
  <c r="C3006" i="1"/>
  <c r="D3006" i="1"/>
  <c r="E3006" i="1"/>
  <c r="C3007" i="1"/>
  <c r="D3007" i="1"/>
  <c r="E3007" i="1"/>
  <c r="C3008" i="1"/>
  <c r="D3008" i="1"/>
  <c r="E3008" i="1"/>
  <c r="C3009" i="1"/>
  <c r="D3009" i="1"/>
  <c r="E3009" i="1"/>
  <c r="C3010" i="1"/>
  <c r="D3010" i="1"/>
  <c r="E3010" i="1"/>
  <c r="C3011" i="1"/>
  <c r="D3011" i="1"/>
  <c r="E3011" i="1"/>
  <c r="C3012" i="1"/>
  <c r="D3012" i="1"/>
  <c r="E3012" i="1"/>
  <c r="C3013" i="1"/>
  <c r="D3013" i="1"/>
  <c r="E3013" i="1"/>
  <c r="C3014" i="1"/>
  <c r="D3014" i="1"/>
  <c r="E3014" i="1"/>
  <c r="C3015" i="1"/>
  <c r="D3015" i="1"/>
  <c r="E3015" i="1"/>
  <c r="C3016" i="1"/>
  <c r="D3016" i="1"/>
  <c r="E3016" i="1"/>
  <c r="C3017" i="1"/>
  <c r="D3017" i="1"/>
  <c r="E3017" i="1"/>
  <c r="C3018" i="1"/>
  <c r="D3018" i="1"/>
  <c r="E3018" i="1"/>
  <c r="C3019" i="1"/>
  <c r="D3019" i="1"/>
  <c r="E3019" i="1"/>
  <c r="C3020" i="1"/>
  <c r="D3020" i="1"/>
  <c r="E3020" i="1"/>
  <c r="C3021" i="1"/>
  <c r="D3021" i="1"/>
  <c r="E3021" i="1"/>
  <c r="C3022" i="1"/>
  <c r="D3022" i="1"/>
  <c r="E3022" i="1"/>
  <c r="C3023" i="1"/>
  <c r="D3023" i="1"/>
  <c r="E3023" i="1"/>
  <c r="C3024" i="1"/>
  <c r="D3024" i="1"/>
  <c r="E3024" i="1"/>
  <c r="C3025" i="1"/>
  <c r="D3025" i="1"/>
  <c r="E3025" i="1"/>
  <c r="C3026" i="1"/>
  <c r="D3026" i="1"/>
  <c r="E3026" i="1"/>
  <c r="C3027" i="1"/>
  <c r="D3027" i="1"/>
  <c r="E3027" i="1"/>
  <c r="C3028" i="1"/>
  <c r="D3028" i="1"/>
  <c r="E3028" i="1"/>
  <c r="C3029" i="1"/>
  <c r="D3029" i="1"/>
  <c r="E3029" i="1"/>
  <c r="C3030" i="1"/>
  <c r="D3030" i="1"/>
  <c r="E3030" i="1"/>
  <c r="C3031" i="1"/>
  <c r="D3031" i="1"/>
  <c r="E3031" i="1"/>
  <c r="C3032" i="1"/>
  <c r="D3032" i="1"/>
  <c r="E3032" i="1"/>
  <c r="C3033" i="1"/>
  <c r="D3033" i="1"/>
  <c r="E3033" i="1"/>
  <c r="C3034" i="1"/>
  <c r="D3034" i="1"/>
  <c r="E3034" i="1"/>
  <c r="C3035" i="1"/>
  <c r="D3035" i="1"/>
  <c r="E3035" i="1"/>
  <c r="C3036" i="1"/>
  <c r="D3036" i="1"/>
  <c r="E3036" i="1"/>
  <c r="C3037" i="1"/>
  <c r="D3037" i="1"/>
  <c r="E3037" i="1"/>
  <c r="C3038" i="1"/>
  <c r="D3038" i="1"/>
  <c r="E3038" i="1"/>
  <c r="C3039" i="1"/>
  <c r="D3039" i="1"/>
  <c r="E3039" i="1"/>
  <c r="C3040" i="1"/>
  <c r="D3040" i="1"/>
  <c r="E3040" i="1"/>
  <c r="C3041" i="1"/>
  <c r="D3041" i="1"/>
  <c r="E3041" i="1"/>
  <c r="C3042" i="1"/>
  <c r="D3042" i="1"/>
  <c r="E3042" i="1"/>
  <c r="C3043" i="1"/>
  <c r="D3043" i="1"/>
  <c r="E3043" i="1"/>
  <c r="C3044" i="1"/>
  <c r="D3044" i="1"/>
  <c r="E3044" i="1"/>
  <c r="C3045" i="1"/>
  <c r="D3045" i="1"/>
  <c r="E3045" i="1"/>
  <c r="C3046" i="1"/>
  <c r="D3046" i="1"/>
  <c r="E3046" i="1"/>
  <c r="C3047" i="1"/>
  <c r="D3047" i="1"/>
  <c r="E3047" i="1"/>
  <c r="C3048" i="1"/>
  <c r="D3048" i="1"/>
  <c r="E3048" i="1"/>
  <c r="C3049" i="1"/>
  <c r="D3049" i="1"/>
  <c r="E3049" i="1"/>
  <c r="C3050" i="1"/>
  <c r="D3050" i="1"/>
  <c r="E3050" i="1"/>
  <c r="C3051" i="1"/>
  <c r="D3051" i="1"/>
  <c r="E3051" i="1"/>
  <c r="C3052" i="1"/>
  <c r="D3052" i="1"/>
  <c r="E3052" i="1"/>
  <c r="C3053" i="1"/>
  <c r="D3053" i="1"/>
  <c r="E3053" i="1"/>
  <c r="C3054" i="1"/>
  <c r="D3054" i="1"/>
  <c r="E3054" i="1"/>
  <c r="C3055" i="1"/>
  <c r="D3055" i="1"/>
  <c r="E3055" i="1"/>
  <c r="C3056" i="1"/>
  <c r="D3056" i="1"/>
  <c r="E3056" i="1"/>
  <c r="C3057" i="1"/>
  <c r="D3057" i="1"/>
  <c r="E3057" i="1"/>
  <c r="C3058" i="1"/>
  <c r="D3058" i="1"/>
  <c r="E3058" i="1"/>
  <c r="C3059" i="1"/>
  <c r="D3059" i="1"/>
  <c r="E3059" i="1"/>
  <c r="C3060" i="1"/>
  <c r="D3060" i="1"/>
  <c r="E3060" i="1"/>
  <c r="C3061" i="1"/>
  <c r="D3061" i="1"/>
  <c r="E3061" i="1"/>
  <c r="C3062" i="1"/>
  <c r="D3062" i="1"/>
  <c r="E3062" i="1"/>
  <c r="C3063" i="1"/>
  <c r="D3063" i="1"/>
  <c r="E3063" i="1"/>
  <c r="C3064" i="1"/>
  <c r="D3064" i="1"/>
  <c r="E3064" i="1"/>
  <c r="C3065" i="1"/>
  <c r="D3065" i="1"/>
  <c r="E3065" i="1"/>
  <c r="C3066" i="1"/>
  <c r="D3066" i="1"/>
  <c r="E3066" i="1"/>
  <c r="C3067" i="1"/>
  <c r="D3067" i="1"/>
  <c r="E3067" i="1"/>
  <c r="C3068" i="1"/>
  <c r="D3068" i="1"/>
  <c r="E3068" i="1"/>
  <c r="C3069" i="1"/>
  <c r="D3069" i="1"/>
  <c r="E3069" i="1"/>
  <c r="C3070" i="1"/>
  <c r="D3070" i="1"/>
  <c r="E3070" i="1"/>
  <c r="C3071" i="1"/>
  <c r="D3071" i="1"/>
  <c r="E3071" i="1"/>
  <c r="C3072" i="1"/>
  <c r="D3072" i="1"/>
  <c r="E3072" i="1"/>
  <c r="C3073" i="1"/>
  <c r="D3073" i="1"/>
  <c r="E3073" i="1"/>
  <c r="C3074" i="1"/>
  <c r="D3074" i="1"/>
  <c r="E3074" i="1"/>
  <c r="C3075" i="1"/>
  <c r="D3075" i="1"/>
  <c r="E3075" i="1"/>
  <c r="C3076" i="1"/>
  <c r="D3076" i="1"/>
  <c r="E3076" i="1"/>
  <c r="C3077" i="1"/>
  <c r="D3077" i="1"/>
  <c r="E3077" i="1"/>
  <c r="C3078" i="1"/>
  <c r="D3078" i="1"/>
  <c r="E3078" i="1"/>
  <c r="C3079" i="1"/>
  <c r="D3079" i="1"/>
  <c r="E3079" i="1"/>
  <c r="C3080" i="1"/>
  <c r="D3080" i="1"/>
  <c r="E3080" i="1"/>
  <c r="C3081" i="1"/>
  <c r="D3081" i="1"/>
  <c r="E3081" i="1"/>
  <c r="C3082" i="1"/>
  <c r="D3082" i="1"/>
  <c r="E3082" i="1"/>
  <c r="C3083" i="1"/>
  <c r="D3083" i="1"/>
  <c r="E3083" i="1"/>
  <c r="C3084" i="1"/>
  <c r="D3084" i="1"/>
  <c r="E3084" i="1"/>
  <c r="C3085" i="1"/>
  <c r="D3085" i="1"/>
  <c r="E3085" i="1"/>
  <c r="C3086" i="1"/>
  <c r="D3086" i="1"/>
  <c r="E3086" i="1"/>
  <c r="C3087" i="1"/>
  <c r="D3087" i="1"/>
  <c r="E3087" i="1"/>
  <c r="C3088" i="1"/>
  <c r="D3088" i="1"/>
  <c r="E3088" i="1"/>
  <c r="C3089" i="1"/>
  <c r="D3089" i="1"/>
  <c r="E3089" i="1"/>
  <c r="C3090" i="1"/>
  <c r="D3090" i="1"/>
  <c r="E3090" i="1"/>
  <c r="C3091" i="1"/>
  <c r="D3091" i="1"/>
  <c r="E3091" i="1"/>
  <c r="C3092" i="1"/>
  <c r="D3092" i="1"/>
  <c r="E3092" i="1"/>
  <c r="C3093" i="1"/>
  <c r="D3093" i="1"/>
  <c r="E3093" i="1"/>
  <c r="C3094" i="1"/>
  <c r="D3094" i="1"/>
  <c r="E3094" i="1"/>
  <c r="C3095" i="1"/>
  <c r="D3095" i="1"/>
  <c r="E3095" i="1"/>
  <c r="C3096" i="1"/>
  <c r="D3096" i="1"/>
  <c r="E3096" i="1"/>
  <c r="C3097" i="1"/>
  <c r="D3097" i="1"/>
  <c r="E3097" i="1"/>
  <c r="C3098" i="1"/>
  <c r="D3098" i="1"/>
  <c r="E3098" i="1"/>
  <c r="C3099" i="1"/>
  <c r="D3099" i="1"/>
  <c r="E3099" i="1"/>
  <c r="C3100" i="1"/>
  <c r="D3100" i="1"/>
  <c r="E3100" i="1"/>
  <c r="C3101" i="1"/>
  <c r="D3101" i="1"/>
  <c r="E3101" i="1"/>
  <c r="C3102" i="1"/>
  <c r="D3102" i="1"/>
  <c r="E3102" i="1"/>
  <c r="C3103" i="1"/>
  <c r="D3103" i="1"/>
  <c r="E3103" i="1"/>
  <c r="C3104" i="1"/>
  <c r="D3104" i="1"/>
  <c r="E3104" i="1"/>
  <c r="C3105" i="1"/>
  <c r="D3105" i="1"/>
  <c r="E3105" i="1"/>
  <c r="C3106" i="1"/>
  <c r="D3106" i="1"/>
  <c r="E3106" i="1"/>
  <c r="C3107" i="1"/>
  <c r="D3107" i="1"/>
  <c r="E3107" i="1"/>
  <c r="C3108" i="1"/>
  <c r="D3108" i="1"/>
  <c r="E3108" i="1"/>
  <c r="C3109" i="1"/>
  <c r="D3109" i="1"/>
  <c r="E3109" i="1"/>
  <c r="C3110" i="1"/>
  <c r="D3110" i="1"/>
  <c r="E3110" i="1"/>
  <c r="C3111" i="1"/>
  <c r="D3111" i="1"/>
  <c r="E3111" i="1"/>
  <c r="C3112" i="1"/>
  <c r="D3112" i="1"/>
  <c r="E3112" i="1"/>
  <c r="C3113" i="1"/>
  <c r="D3113" i="1"/>
  <c r="E3113" i="1"/>
  <c r="C3114" i="1"/>
  <c r="D3114" i="1"/>
  <c r="E3114" i="1"/>
  <c r="C3115" i="1"/>
  <c r="D3115" i="1"/>
  <c r="E3115" i="1"/>
  <c r="C3116" i="1"/>
  <c r="D3116" i="1"/>
  <c r="E3116" i="1"/>
  <c r="C3117" i="1"/>
  <c r="D3117" i="1"/>
  <c r="E3117" i="1"/>
  <c r="C3118" i="1"/>
  <c r="D3118" i="1"/>
  <c r="E3118" i="1"/>
  <c r="C3119" i="1"/>
  <c r="D3119" i="1"/>
  <c r="E3119" i="1"/>
  <c r="C3120" i="1"/>
  <c r="D3120" i="1"/>
  <c r="E3120" i="1"/>
  <c r="C3121" i="1"/>
  <c r="D3121" i="1"/>
  <c r="E3121" i="1"/>
  <c r="C3122" i="1"/>
  <c r="D3122" i="1"/>
  <c r="E3122" i="1"/>
  <c r="C3123" i="1"/>
  <c r="D3123" i="1"/>
  <c r="E3123" i="1"/>
  <c r="C3124" i="1"/>
  <c r="D3124" i="1"/>
  <c r="E3124" i="1"/>
  <c r="C3125" i="1"/>
  <c r="D3125" i="1"/>
  <c r="E3125" i="1"/>
  <c r="C3126" i="1"/>
  <c r="D3126" i="1"/>
  <c r="E3126" i="1"/>
  <c r="C3127" i="1"/>
  <c r="D3127" i="1"/>
  <c r="E3127" i="1"/>
  <c r="C3128" i="1"/>
  <c r="D3128" i="1"/>
  <c r="E3128" i="1"/>
  <c r="C3129" i="1"/>
  <c r="D3129" i="1"/>
  <c r="E3129" i="1"/>
  <c r="C3130" i="1"/>
  <c r="D3130" i="1"/>
  <c r="E3130" i="1"/>
  <c r="C3131" i="1"/>
  <c r="D3131" i="1"/>
  <c r="E3131" i="1"/>
  <c r="C3132" i="1"/>
  <c r="D3132" i="1"/>
  <c r="E3132" i="1"/>
  <c r="C3133" i="1"/>
  <c r="D3133" i="1"/>
  <c r="E3133" i="1"/>
  <c r="C3134" i="1"/>
  <c r="D3134" i="1"/>
  <c r="E3134" i="1"/>
  <c r="C3135" i="1"/>
  <c r="D3135" i="1"/>
  <c r="E3135" i="1"/>
  <c r="C3136" i="1"/>
  <c r="D3136" i="1"/>
  <c r="E3136" i="1"/>
  <c r="C3137" i="1"/>
  <c r="D3137" i="1"/>
  <c r="E3137" i="1"/>
  <c r="C3138" i="1"/>
  <c r="D3138" i="1"/>
  <c r="E3138" i="1"/>
  <c r="C3139" i="1"/>
  <c r="D3139" i="1"/>
  <c r="E3139" i="1"/>
  <c r="C3140" i="1"/>
  <c r="D3140" i="1"/>
  <c r="E3140" i="1"/>
  <c r="C3141" i="1"/>
  <c r="D3141" i="1"/>
  <c r="E3141" i="1"/>
  <c r="C3142" i="1"/>
  <c r="D3142" i="1"/>
  <c r="E3142" i="1"/>
  <c r="C3143" i="1"/>
  <c r="D3143" i="1"/>
  <c r="E3143" i="1"/>
  <c r="C3144" i="1"/>
  <c r="D3144" i="1"/>
  <c r="E3144" i="1"/>
  <c r="C3145" i="1"/>
  <c r="D3145" i="1"/>
  <c r="E3145" i="1"/>
  <c r="C3146" i="1"/>
  <c r="D3146" i="1"/>
  <c r="E3146" i="1"/>
  <c r="C3147" i="1"/>
  <c r="D3147" i="1"/>
  <c r="E3147" i="1"/>
  <c r="C3148" i="1"/>
  <c r="D3148" i="1"/>
  <c r="E3148" i="1"/>
  <c r="C3149" i="1"/>
  <c r="D3149" i="1"/>
  <c r="E3149" i="1"/>
  <c r="C3150" i="1"/>
  <c r="D3150" i="1"/>
  <c r="E3150" i="1"/>
  <c r="C3151" i="1"/>
  <c r="D3151" i="1"/>
  <c r="E3151" i="1"/>
  <c r="C3152" i="1"/>
  <c r="D3152" i="1"/>
  <c r="E3152" i="1"/>
  <c r="C3153" i="1"/>
  <c r="D3153" i="1"/>
  <c r="E3153" i="1"/>
  <c r="C3154" i="1"/>
  <c r="D3154" i="1"/>
  <c r="E3154" i="1"/>
  <c r="C3155" i="1"/>
  <c r="D3155" i="1"/>
  <c r="E3155" i="1"/>
  <c r="C3156" i="1"/>
  <c r="D3156" i="1"/>
  <c r="E3156" i="1"/>
  <c r="C3157" i="1"/>
  <c r="D3157" i="1"/>
  <c r="E3157" i="1"/>
  <c r="C3158" i="1"/>
  <c r="D3158" i="1"/>
  <c r="E3158" i="1"/>
  <c r="C3159" i="1"/>
  <c r="D3159" i="1"/>
  <c r="E3159" i="1"/>
  <c r="C3160" i="1"/>
  <c r="D3160" i="1"/>
  <c r="E3160" i="1"/>
  <c r="C3161" i="1"/>
  <c r="D3161" i="1"/>
  <c r="E3161" i="1"/>
  <c r="C3162" i="1"/>
  <c r="D3162" i="1"/>
  <c r="E3162" i="1"/>
  <c r="C3163" i="1"/>
  <c r="D3163" i="1"/>
  <c r="E3163" i="1"/>
  <c r="C3164" i="1"/>
  <c r="D3164" i="1"/>
  <c r="E3164" i="1"/>
  <c r="C3165" i="1"/>
  <c r="D3165" i="1"/>
  <c r="E3165" i="1"/>
  <c r="C3166" i="1"/>
  <c r="D3166" i="1"/>
  <c r="E3166" i="1"/>
  <c r="C3167" i="1"/>
  <c r="D3167" i="1"/>
  <c r="E3167" i="1"/>
  <c r="C3168" i="1"/>
  <c r="D3168" i="1"/>
  <c r="E3168" i="1"/>
  <c r="C3169" i="1"/>
  <c r="D3169" i="1"/>
  <c r="E3169" i="1"/>
  <c r="C3170" i="1"/>
  <c r="D3170" i="1"/>
  <c r="E3170" i="1"/>
  <c r="C3171" i="1"/>
  <c r="D3171" i="1"/>
  <c r="E3171" i="1"/>
  <c r="C3172" i="1"/>
  <c r="D3172" i="1"/>
  <c r="E3172" i="1"/>
  <c r="C3173" i="1"/>
  <c r="D3173" i="1"/>
  <c r="E3173" i="1"/>
  <c r="C3174" i="1"/>
  <c r="D3174" i="1"/>
  <c r="E3174" i="1"/>
  <c r="C3175" i="1"/>
  <c r="D3175" i="1"/>
  <c r="E3175" i="1"/>
  <c r="C3176" i="1"/>
  <c r="D3176" i="1"/>
  <c r="E3176" i="1"/>
  <c r="C3177" i="1"/>
  <c r="D3177" i="1"/>
  <c r="E3177" i="1"/>
  <c r="C3178" i="1"/>
  <c r="D3178" i="1"/>
  <c r="E3178" i="1"/>
  <c r="C3179" i="1"/>
  <c r="D3179" i="1"/>
  <c r="E3179" i="1"/>
  <c r="C3180" i="1"/>
  <c r="D3180" i="1"/>
  <c r="E3180" i="1"/>
  <c r="C3181" i="1"/>
  <c r="D3181" i="1"/>
  <c r="E3181" i="1"/>
  <c r="C3182" i="1"/>
  <c r="D3182" i="1"/>
  <c r="E3182" i="1"/>
  <c r="C3183" i="1"/>
  <c r="D3183" i="1"/>
  <c r="E3183" i="1"/>
  <c r="C3184" i="1"/>
  <c r="D3184" i="1"/>
  <c r="E3184" i="1"/>
  <c r="C3185" i="1"/>
  <c r="D3185" i="1"/>
  <c r="E3185" i="1"/>
  <c r="C3186" i="1"/>
  <c r="D3186" i="1"/>
  <c r="E3186" i="1"/>
  <c r="C3187" i="1"/>
  <c r="D3187" i="1"/>
  <c r="E3187" i="1"/>
  <c r="C3188" i="1"/>
  <c r="D3188" i="1"/>
  <c r="E3188" i="1"/>
  <c r="C3189" i="1"/>
  <c r="D3189" i="1"/>
  <c r="E3189" i="1"/>
  <c r="C3190" i="1"/>
  <c r="D3190" i="1"/>
  <c r="E3190" i="1"/>
  <c r="C3191" i="1"/>
  <c r="D3191" i="1"/>
  <c r="E3191" i="1"/>
  <c r="C3192" i="1"/>
  <c r="D3192" i="1"/>
  <c r="E3192" i="1"/>
  <c r="C3193" i="1"/>
  <c r="D3193" i="1"/>
  <c r="E3193" i="1"/>
  <c r="C3194" i="1"/>
  <c r="D3194" i="1"/>
  <c r="E3194" i="1"/>
  <c r="C3195" i="1"/>
  <c r="D3195" i="1"/>
  <c r="E3195" i="1"/>
  <c r="C3196" i="1"/>
  <c r="D3196" i="1"/>
  <c r="E3196" i="1"/>
  <c r="C3197" i="1"/>
  <c r="D3197" i="1"/>
  <c r="E3197" i="1"/>
  <c r="C3198" i="1"/>
  <c r="D3198" i="1"/>
  <c r="E3198" i="1"/>
  <c r="C3199" i="1"/>
  <c r="D3199" i="1"/>
  <c r="E3199" i="1"/>
  <c r="C3200" i="1"/>
  <c r="D3200" i="1"/>
  <c r="E3200" i="1"/>
  <c r="C3201" i="1"/>
  <c r="D3201" i="1"/>
  <c r="E3201" i="1"/>
  <c r="C3202" i="1"/>
  <c r="D3202" i="1"/>
  <c r="E3202" i="1"/>
  <c r="C3203" i="1"/>
  <c r="D3203" i="1"/>
  <c r="E3203" i="1"/>
  <c r="C3204" i="1"/>
  <c r="D3204" i="1"/>
  <c r="E3204" i="1"/>
  <c r="C3205" i="1"/>
  <c r="D3205" i="1"/>
  <c r="E3205" i="1"/>
  <c r="C3206" i="1"/>
  <c r="D3206" i="1"/>
  <c r="E3206" i="1"/>
  <c r="C3207" i="1"/>
  <c r="D3207" i="1"/>
  <c r="E3207" i="1"/>
  <c r="C3208" i="1"/>
  <c r="D3208" i="1"/>
  <c r="E3208" i="1"/>
  <c r="C3209" i="1"/>
  <c r="D3209" i="1"/>
  <c r="E3209" i="1"/>
  <c r="C3210" i="1"/>
  <c r="D3210" i="1"/>
  <c r="E3210" i="1"/>
  <c r="C3211" i="1"/>
  <c r="D3211" i="1"/>
  <c r="E3211" i="1"/>
  <c r="C3212" i="1"/>
  <c r="D3212" i="1"/>
  <c r="E3212" i="1"/>
  <c r="C3213" i="1"/>
  <c r="D3213" i="1"/>
  <c r="E3213" i="1"/>
  <c r="C3214" i="1"/>
  <c r="D3214" i="1"/>
  <c r="E3214" i="1"/>
  <c r="C3215" i="1"/>
  <c r="D3215" i="1"/>
  <c r="E3215" i="1"/>
  <c r="C3216" i="1"/>
  <c r="D3216" i="1"/>
  <c r="E3216" i="1"/>
  <c r="C3217" i="1"/>
  <c r="D3217" i="1"/>
  <c r="E3217" i="1"/>
  <c r="C3218" i="1"/>
  <c r="D3218" i="1"/>
  <c r="E3218" i="1"/>
  <c r="C3219" i="1"/>
  <c r="D3219" i="1"/>
  <c r="E3219" i="1"/>
  <c r="C3220" i="1"/>
  <c r="D3220" i="1"/>
  <c r="E3220" i="1"/>
  <c r="C3221" i="1"/>
  <c r="D3221" i="1"/>
  <c r="E3221" i="1"/>
  <c r="C3222" i="1"/>
  <c r="D3222" i="1"/>
  <c r="E3222" i="1"/>
  <c r="C3223" i="1"/>
  <c r="D3223" i="1"/>
  <c r="E3223" i="1"/>
  <c r="C3224" i="1"/>
  <c r="D3224" i="1"/>
  <c r="E3224" i="1"/>
  <c r="C3225" i="1"/>
  <c r="D3225" i="1"/>
  <c r="E3225" i="1"/>
  <c r="C3226" i="1"/>
  <c r="D3226" i="1"/>
  <c r="E3226" i="1"/>
  <c r="C3227" i="1"/>
  <c r="D3227" i="1"/>
  <c r="E3227" i="1"/>
  <c r="C3228" i="1"/>
  <c r="D3228" i="1"/>
  <c r="E3228" i="1"/>
  <c r="C3229" i="1"/>
  <c r="D3229" i="1"/>
  <c r="E3229" i="1"/>
  <c r="C3230" i="1"/>
  <c r="D3230" i="1"/>
  <c r="E3230" i="1"/>
  <c r="C3231" i="1"/>
  <c r="D3231" i="1"/>
  <c r="E3231" i="1"/>
  <c r="C3232" i="1"/>
  <c r="D3232" i="1"/>
  <c r="E3232" i="1"/>
  <c r="C3233" i="1"/>
  <c r="D3233" i="1"/>
  <c r="E3233" i="1"/>
  <c r="C3234" i="1"/>
  <c r="D3234" i="1"/>
  <c r="E3234" i="1"/>
  <c r="C3235" i="1"/>
  <c r="D3235" i="1"/>
  <c r="E3235" i="1"/>
  <c r="C3236" i="1"/>
  <c r="D3236" i="1"/>
  <c r="E3236" i="1"/>
  <c r="C3237" i="1"/>
  <c r="D3237" i="1"/>
  <c r="E3237" i="1"/>
  <c r="C3238" i="1"/>
  <c r="D3238" i="1"/>
  <c r="E3238" i="1"/>
  <c r="C3239" i="1"/>
  <c r="D3239" i="1"/>
  <c r="E3239" i="1"/>
  <c r="C3240" i="1"/>
  <c r="D3240" i="1"/>
  <c r="E3240" i="1"/>
  <c r="C3241" i="1"/>
  <c r="D3241" i="1"/>
  <c r="E3241" i="1"/>
  <c r="C3242" i="1"/>
  <c r="D3242" i="1"/>
  <c r="E3242" i="1"/>
  <c r="C3243" i="1"/>
  <c r="D3243" i="1"/>
  <c r="E3243" i="1"/>
  <c r="C3244" i="1"/>
  <c r="D3244" i="1"/>
  <c r="E3244" i="1"/>
  <c r="C3245" i="1"/>
  <c r="D3245" i="1"/>
  <c r="E3245" i="1"/>
  <c r="C3246" i="1"/>
  <c r="D3246" i="1"/>
  <c r="E3246" i="1"/>
  <c r="C3247" i="1"/>
  <c r="D3247" i="1"/>
  <c r="E3247" i="1"/>
  <c r="C3248" i="1"/>
  <c r="D3248" i="1"/>
  <c r="E3248" i="1"/>
  <c r="C3249" i="1"/>
  <c r="D3249" i="1"/>
  <c r="E3249" i="1"/>
  <c r="C3250" i="1"/>
  <c r="D3250" i="1"/>
  <c r="E3250" i="1"/>
  <c r="C3251" i="1"/>
  <c r="D3251" i="1"/>
  <c r="E3251" i="1"/>
  <c r="C3252" i="1"/>
  <c r="D3252" i="1"/>
  <c r="E3252" i="1"/>
  <c r="C3253" i="1"/>
  <c r="D3253" i="1"/>
  <c r="E3253" i="1"/>
  <c r="C3254" i="1"/>
  <c r="D3254" i="1"/>
  <c r="E3254" i="1"/>
  <c r="C3255" i="1"/>
  <c r="D3255" i="1"/>
  <c r="E3255" i="1"/>
  <c r="C3256" i="1"/>
  <c r="D3256" i="1"/>
  <c r="E3256" i="1"/>
  <c r="C3257" i="1"/>
  <c r="D3257" i="1"/>
  <c r="E3257" i="1"/>
  <c r="C3258" i="1"/>
  <c r="D3258" i="1"/>
  <c r="E3258" i="1"/>
  <c r="C3259" i="1"/>
  <c r="D3259" i="1"/>
  <c r="E3259" i="1"/>
  <c r="C3260" i="1"/>
  <c r="D3260" i="1"/>
  <c r="E3260" i="1"/>
  <c r="C3261" i="1"/>
  <c r="D3261" i="1"/>
  <c r="E3261" i="1"/>
  <c r="C3262" i="1"/>
  <c r="D3262" i="1"/>
  <c r="E3262" i="1"/>
  <c r="C3263" i="1"/>
  <c r="D3263" i="1"/>
  <c r="E3263" i="1"/>
  <c r="C3264" i="1"/>
  <c r="D3264" i="1"/>
  <c r="E3264" i="1"/>
  <c r="C3265" i="1"/>
  <c r="D3265" i="1"/>
  <c r="E3265" i="1"/>
  <c r="C3266" i="1"/>
  <c r="D3266" i="1"/>
  <c r="E3266" i="1"/>
  <c r="C3267" i="1"/>
  <c r="D3267" i="1"/>
  <c r="E3267" i="1"/>
  <c r="C3268" i="1"/>
  <c r="D3268" i="1"/>
  <c r="E3268" i="1"/>
  <c r="C3269" i="1"/>
  <c r="D3269" i="1"/>
  <c r="E3269" i="1"/>
  <c r="C3270" i="1"/>
  <c r="D3270" i="1"/>
  <c r="E3270" i="1"/>
  <c r="C3271" i="1"/>
  <c r="D3271" i="1"/>
  <c r="E3271" i="1"/>
  <c r="C3272" i="1"/>
  <c r="D3272" i="1"/>
  <c r="E3272" i="1"/>
  <c r="C3273" i="1"/>
  <c r="D3273" i="1"/>
  <c r="E3273" i="1"/>
  <c r="C3274" i="1"/>
  <c r="D3274" i="1"/>
  <c r="E3274" i="1"/>
  <c r="C3275" i="1"/>
  <c r="D3275" i="1"/>
  <c r="E3275" i="1"/>
  <c r="C3276" i="1"/>
  <c r="D3276" i="1"/>
  <c r="E3276" i="1"/>
  <c r="C3277" i="1"/>
  <c r="D3277" i="1"/>
  <c r="E3277" i="1"/>
  <c r="C3278" i="1"/>
  <c r="D3278" i="1"/>
  <c r="E3278" i="1"/>
  <c r="C3279" i="1"/>
  <c r="D3279" i="1"/>
  <c r="E3279" i="1"/>
  <c r="C3280" i="1"/>
  <c r="D3280" i="1"/>
  <c r="E3280" i="1"/>
  <c r="C3281" i="1"/>
  <c r="D3281" i="1"/>
  <c r="E3281" i="1"/>
  <c r="C3282" i="1"/>
  <c r="D3282" i="1"/>
  <c r="E3282" i="1"/>
  <c r="C3283" i="1"/>
  <c r="D3283" i="1"/>
  <c r="E3283" i="1"/>
  <c r="C3284" i="1"/>
  <c r="D3284" i="1"/>
  <c r="E3284" i="1"/>
  <c r="C3285" i="1"/>
  <c r="D3285" i="1"/>
  <c r="E3285" i="1"/>
  <c r="C3286" i="1"/>
  <c r="D3286" i="1"/>
  <c r="E3286" i="1"/>
  <c r="C3287" i="1"/>
  <c r="D3287" i="1"/>
  <c r="E3287" i="1"/>
  <c r="C3288" i="1"/>
  <c r="D3288" i="1"/>
  <c r="E3288" i="1"/>
  <c r="C3289" i="1"/>
  <c r="D3289" i="1"/>
  <c r="E3289" i="1"/>
  <c r="C3290" i="1"/>
  <c r="D3290" i="1"/>
  <c r="E3290" i="1"/>
  <c r="C3291" i="1"/>
  <c r="D3291" i="1"/>
  <c r="E3291" i="1"/>
  <c r="C3292" i="1"/>
  <c r="D3292" i="1"/>
  <c r="E3292" i="1"/>
  <c r="C3293" i="1"/>
  <c r="D3293" i="1"/>
  <c r="E3293" i="1"/>
  <c r="C3294" i="1"/>
  <c r="D3294" i="1"/>
  <c r="E3294" i="1"/>
  <c r="C3295" i="1"/>
  <c r="D3295" i="1"/>
  <c r="E3295" i="1"/>
  <c r="C3296" i="1"/>
  <c r="D3296" i="1"/>
  <c r="E3296" i="1"/>
  <c r="C3297" i="1"/>
  <c r="D3297" i="1"/>
  <c r="E3297" i="1"/>
  <c r="C3298" i="1"/>
  <c r="D3298" i="1"/>
  <c r="E3298" i="1"/>
  <c r="C3299" i="1"/>
  <c r="D3299" i="1"/>
  <c r="E3299" i="1"/>
  <c r="C3300" i="1"/>
  <c r="D3300" i="1"/>
  <c r="E3300" i="1"/>
  <c r="C3301" i="1"/>
  <c r="D3301" i="1"/>
  <c r="E3301" i="1"/>
  <c r="C3302" i="1"/>
  <c r="D3302" i="1"/>
  <c r="E3302" i="1"/>
  <c r="C3303" i="1"/>
  <c r="D3303" i="1"/>
  <c r="E3303" i="1"/>
  <c r="C3304" i="1"/>
  <c r="D3304" i="1"/>
  <c r="E3304" i="1"/>
  <c r="C3305" i="1"/>
  <c r="D3305" i="1"/>
  <c r="E3305" i="1"/>
  <c r="C3306" i="1"/>
  <c r="D3306" i="1"/>
  <c r="E3306" i="1"/>
  <c r="C3307" i="1"/>
  <c r="D3307" i="1"/>
  <c r="E3307" i="1"/>
  <c r="C3308" i="1"/>
  <c r="D3308" i="1"/>
  <c r="E3308" i="1"/>
  <c r="C3309" i="1"/>
  <c r="D3309" i="1"/>
  <c r="E3309" i="1"/>
  <c r="C3310" i="1"/>
  <c r="D3310" i="1"/>
  <c r="E3310" i="1"/>
  <c r="C3311" i="1"/>
  <c r="D3311" i="1"/>
  <c r="E3311" i="1"/>
  <c r="C3312" i="1"/>
  <c r="D3312" i="1"/>
  <c r="E3312" i="1"/>
  <c r="C3313" i="1"/>
  <c r="D3313" i="1"/>
  <c r="E3313" i="1"/>
  <c r="C3314" i="1"/>
  <c r="D3314" i="1"/>
  <c r="E3314" i="1"/>
  <c r="C3315" i="1"/>
  <c r="D3315" i="1"/>
  <c r="E3315" i="1"/>
  <c r="C3316" i="1"/>
  <c r="D3316" i="1"/>
  <c r="E3316" i="1"/>
  <c r="C3317" i="1"/>
  <c r="D3317" i="1"/>
  <c r="E3317" i="1"/>
  <c r="C3318" i="1"/>
  <c r="D3318" i="1"/>
  <c r="E3318" i="1"/>
  <c r="C3319" i="1"/>
  <c r="D3319" i="1"/>
  <c r="E3319" i="1"/>
  <c r="C3320" i="1"/>
  <c r="D3320" i="1"/>
  <c r="E3320" i="1"/>
  <c r="C3321" i="1"/>
  <c r="D3321" i="1"/>
  <c r="E3321" i="1"/>
  <c r="C3322" i="1"/>
  <c r="D3322" i="1"/>
  <c r="E3322" i="1"/>
  <c r="C3323" i="1"/>
  <c r="D3323" i="1"/>
  <c r="E3323" i="1"/>
  <c r="C3324" i="1"/>
  <c r="D3324" i="1"/>
  <c r="E3324" i="1"/>
  <c r="C3325" i="1"/>
  <c r="D3325" i="1"/>
  <c r="E3325" i="1"/>
  <c r="C3326" i="1"/>
  <c r="D3326" i="1"/>
  <c r="E3326" i="1"/>
  <c r="C3327" i="1"/>
  <c r="D3327" i="1"/>
  <c r="E3327" i="1"/>
  <c r="C3328" i="1"/>
  <c r="D3328" i="1"/>
  <c r="E3328" i="1"/>
  <c r="C3329" i="1"/>
  <c r="D3329" i="1"/>
  <c r="E3329" i="1"/>
  <c r="C3330" i="1"/>
  <c r="D3330" i="1"/>
  <c r="E3330" i="1"/>
  <c r="C3331" i="1"/>
  <c r="D3331" i="1"/>
  <c r="E3331" i="1"/>
  <c r="C3332" i="1"/>
  <c r="D3332" i="1"/>
  <c r="E3332" i="1"/>
  <c r="C3333" i="1"/>
  <c r="D3333" i="1"/>
  <c r="E3333" i="1"/>
  <c r="C3334" i="1"/>
  <c r="D3334" i="1"/>
  <c r="E3334" i="1"/>
  <c r="C3335" i="1"/>
  <c r="D3335" i="1"/>
  <c r="E3335" i="1"/>
  <c r="C3336" i="1"/>
  <c r="D3336" i="1"/>
  <c r="E3336" i="1"/>
  <c r="C3337" i="1"/>
  <c r="D3337" i="1"/>
  <c r="E3337" i="1"/>
  <c r="C3338" i="1"/>
  <c r="D3338" i="1"/>
  <c r="E3338" i="1"/>
  <c r="C3339" i="1"/>
  <c r="D3339" i="1"/>
  <c r="E3339" i="1"/>
  <c r="C3340" i="1"/>
  <c r="D3340" i="1"/>
  <c r="E3340" i="1"/>
  <c r="C3341" i="1"/>
  <c r="D3341" i="1"/>
  <c r="E3341" i="1"/>
  <c r="C3342" i="1"/>
  <c r="D3342" i="1"/>
  <c r="E3342" i="1"/>
  <c r="C3343" i="1"/>
  <c r="D3343" i="1"/>
  <c r="E3343" i="1"/>
  <c r="C3344" i="1"/>
  <c r="D3344" i="1"/>
  <c r="E3344" i="1"/>
  <c r="C3345" i="1"/>
  <c r="D3345" i="1"/>
  <c r="E3345" i="1"/>
  <c r="C3346" i="1"/>
  <c r="D3346" i="1"/>
  <c r="E3346" i="1"/>
  <c r="C3347" i="1"/>
  <c r="D3347" i="1"/>
  <c r="E3347" i="1"/>
  <c r="C3348" i="1"/>
  <c r="D3348" i="1"/>
  <c r="E3348" i="1"/>
  <c r="C3349" i="1"/>
  <c r="D3349" i="1"/>
  <c r="E3349" i="1"/>
  <c r="C3350" i="1"/>
  <c r="D3350" i="1"/>
  <c r="E3350" i="1"/>
  <c r="C3351" i="1"/>
  <c r="D3351" i="1"/>
  <c r="E3351" i="1"/>
  <c r="C3352" i="1"/>
  <c r="D3352" i="1"/>
  <c r="E3352" i="1"/>
  <c r="C3353" i="1"/>
  <c r="D3353" i="1"/>
  <c r="E3353" i="1"/>
  <c r="C3354" i="1"/>
  <c r="D3354" i="1"/>
  <c r="E3354" i="1"/>
  <c r="C3355" i="1"/>
  <c r="D3355" i="1"/>
  <c r="E3355" i="1"/>
  <c r="C3356" i="1"/>
  <c r="D3356" i="1"/>
  <c r="E3356" i="1"/>
  <c r="C3357" i="1"/>
  <c r="D3357" i="1"/>
  <c r="E3357" i="1"/>
  <c r="C3358" i="1"/>
  <c r="D3358" i="1"/>
  <c r="E3358" i="1"/>
  <c r="C3359" i="1"/>
  <c r="D3359" i="1"/>
  <c r="E3359" i="1"/>
  <c r="C3360" i="1"/>
  <c r="D3360" i="1"/>
  <c r="E3360" i="1"/>
  <c r="C3361" i="1"/>
  <c r="D3361" i="1"/>
  <c r="E3361" i="1"/>
  <c r="C3362" i="1"/>
  <c r="D3362" i="1"/>
  <c r="E3362" i="1"/>
  <c r="C3363" i="1"/>
  <c r="D3363" i="1"/>
  <c r="E3363" i="1"/>
  <c r="C3364" i="1"/>
  <c r="D3364" i="1"/>
  <c r="E3364" i="1"/>
  <c r="C3365" i="1"/>
  <c r="D3365" i="1"/>
  <c r="E3365" i="1"/>
  <c r="C3366" i="1"/>
  <c r="D3366" i="1"/>
  <c r="E3366" i="1"/>
  <c r="C3367" i="1"/>
  <c r="D3367" i="1"/>
  <c r="E3367" i="1"/>
  <c r="C3368" i="1"/>
  <c r="D3368" i="1"/>
  <c r="E3368" i="1"/>
  <c r="C3369" i="1"/>
  <c r="D3369" i="1"/>
  <c r="E3369" i="1"/>
  <c r="C3370" i="1"/>
  <c r="D3370" i="1"/>
  <c r="E3370" i="1"/>
  <c r="C3371" i="1"/>
  <c r="D3371" i="1"/>
  <c r="E3371" i="1"/>
  <c r="C3372" i="1"/>
  <c r="D3372" i="1"/>
  <c r="E3372" i="1"/>
  <c r="C3373" i="1"/>
  <c r="D3373" i="1"/>
  <c r="E3373" i="1"/>
  <c r="C3374" i="1"/>
  <c r="D3374" i="1"/>
  <c r="E3374" i="1"/>
  <c r="C3375" i="1"/>
  <c r="D3375" i="1"/>
  <c r="E3375" i="1"/>
  <c r="C3376" i="1"/>
  <c r="D3376" i="1"/>
  <c r="E3376" i="1"/>
  <c r="C3377" i="1"/>
  <c r="D3377" i="1"/>
  <c r="E3377" i="1"/>
  <c r="C3378" i="1"/>
  <c r="D3378" i="1"/>
  <c r="E3378" i="1"/>
  <c r="C3379" i="1"/>
  <c r="D3379" i="1"/>
  <c r="E3379" i="1"/>
  <c r="C3380" i="1"/>
  <c r="D3380" i="1"/>
  <c r="E3380" i="1"/>
  <c r="C3381" i="1"/>
  <c r="D3381" i="1"/>
  <c r="E3381" i="1"/>
  <c r="C3382" i="1"/>
  <c r="D3382" i="1"/>
  <c r="E3382" i="1"/>
  <c r="C3383" i="1"/>
  <c r="D3383" i="1"/>
  <c r="E3383" i="1"/>
  <c r="C3384" i="1"/>
  <c r="D3384" i="1"/>
  <c r="E3384" i="1"/>
  <c r="C3385" i="1"/>
  <c r="D3385" i="1"/>
  <c r="E3385" i="1"/>
  <c r="C3386" i="1"/>
  <c r="D3386" i="1"/>
  <c r="E3386" i="1"/>
  <c r="C3387" i="1"/>
  <c r="D3387" i="1"/>
  <c r="E3387" i="1"/>
  <c r="C3388" i="1"/>
  <c r="D3388" i="1"/>
  <c r="E3388" i="1"/>
  <c r="C3389" i="1"/>
  <c r="D3389" i="1"/>
  <c r="E3389" i="1"/>
  <c r="C3390" i="1"/>
  <c r="D3390" i="1"/>
  <c r="E3390" i="1"/>
  <c r="C3391" i="1"/>
  <c r="D3391" i="1"/>
  <c r="E3391" i="1"/>
  <c r="C3392" i="1"/>
  <c r="D3392" i="1"/>
  <c r="E3392" i="1"/>
  <c r="C3393" i="1"/>
  <c r="D3393" i="1"/>
  <c r="E3393" i="1"/>
  <c r="C3394" i="1"/>
  <c r="D3394" i="1"/>
  <c r="E3394" i="1"/>
  <c r="C3395" i="1"/>
  <c r="D3395" i="1"/>
  <c r="E3395" i="1"/>
  <c r="C3396" i="1"/>
  <c r="D3396" i="1"/>
  <c r="E3396" i="1"/>
  <c r="C3397" i="1"/>
  <c r="D3397" i="1"/>
  <c r="E3397" i="1"/>
  <c r="C3398" i="1"/>
  <c r="D3398" i="1"/>
  <c r="E3398" i="1"/>
  <c r="C3399" i="1"/>
  <c r="D3399" i="1"/>
  <c r="E3399" i="1"/>
  <c r="C3400" i="1"/>
  <c r="D3400" i="1"/>
  <c r="E3400" i="1"/>
  <c r="C3401" i="1"/>
  <c r="D3401" i="1"/>
  <c r="E3401" i="1"/>
  <c r="C3402" i="1"/>
  <c r="D3402" i="1"/>
  <c r="E3402" i="1"/>
  <c r="C3403" i="1"/>
  <c r="D3403" i="1"/>
  <c r="E3403" i="1"/>
  <c r="C3404" i="1"/>
  <c r="D3404" i="1"/>
  <c r="E3404" i="1"/>
  <c r="C3405" i="1"/>
  <c r="D3405" i="1"/>
  <c r="E3405" i="1"/>
  <c r="C3406" i="1"/>
  <c r="D3406" i="1"/>
  <c r="E3406" i="1"/>
  <c r="C3407" i="1"/>
  <c r="D3407" i="1"/>
  <c r="E3407" i="1"/>
  <c r="C3408" i="1"/>
  <c r="D3408" i="1"/>
  <c r="E3408" i="1"/>
  <c r="C3409" i="1"/>
  <c r="D3409" i="1"/>
  <c r="E3409" i="1"/>
  <c r="C3410" i="1"/>
  <c r="D3410" i="1"/>
  <c r="E3410" i="1"/>
  <c r="C3411" i="1"/>
  <c r="D3411" i="1"/>
  <c r="E3411" i="1"/>
  <c r="C3412" i="1"/>
  <c r="D3412" i="1"/>
  <c r="E3412" i="1"/>
  <c r="C3413" i="1"/>
  <c r="D3413" i="1"/>
  <c r="E3413" i="1"/>
  <c r="C3414" i="1"/>
  <c r="D3414" i="1"/>
  <c r="E3414" i="1"/>
  <c r="C3415" i="1"/>
  <c r="D3415" i="1"/>
  <c r="E3415" i="1"/>
  <c r="C3416" i="1"/>
  <c r="D3416" i="1"/>
  <c r="E3416" i="1"/>
  <c r="C3417" i="1"/>
  <c r="D3417" i="1"/>
  <c r="E3417" i="1"/>
  <c r="C3418" i="1"/>
  <c r="D3418" i="1"/>
  <c r="E3418" i="1"/>
  <c r="C3419" i="1"/>
  <c r="D3419" i="1"/>
  <c r="E3419" i="1"/>
  <c r="C3420" i="1"/>
  <c r="D3420" i="1"/>
  <c r="E3420" i="1"/>
  <c r="C3421" i="1"/>
  <c r="D3421" i="1"/>
  <c r="E3421" i="1"/>
  <c r="C3422" i="1"/>
  <c r="D3422" i="1"/>
  <c r="E3422" i="1"/>
  <c r="C3423" i="1"/>
  <c r="D3423" i="1"/>
  <c r="E3423" i="1"/>
  <c r="C3424" i="1"/>
  <c r="D3424" i="1"/>
  <c r="E3424" i="1"/>
  <c r="C3425" i="1"/>
  <c r="D3425" i="1"/>
  <c r="E3425" i="1"/>
  <c r="C3426" i="1"/>
  <c r="D3426" i="1"/>
  <c r="E3426" i="1"/>
  <c r="C3427" i="1"/>
  <c r="D3427" i="1"/>
  <c r="E3427" i="1"/>
  <c r="C3428" i="1"/>
  <c r="D3428" i="1"/>
  <c r="E3428" i="1"/>
  <c r="C3429" i="1"/>
  <c r="D3429" i="1"/>
  <c r="E3429" i="1"/>
  <c r="C3430" i="1"/>
  <c r="D3430" i="1"/>
  <c r="E3430" i="1"/>
  <c r="C3431" i="1"/>
  <c r="D3431" i="1"/>
  <c r="E3431" i="1"/>
  <c r="C3432" i="1"/>
  <c r="D3432" i="1"/>
  <c r="E3432" i="1"/>
  <c r="C3433" i="1"/>
  <c r="D3433" i="1"/>
  <c r="E3433" i="1"/>
  <c r="C3434" i="1"/>
  <c r="D3434" i="1"/>
  <c r="E3434" i="1"/>
  <c r="C3435" i="1"/>
  <c r="D3435" i="1"/>
  <c r="E3435" i="1"/>
  <c r="C3436" i="1"/>
  <c r="D3436" i="1"/>
  <c r="E3436" i="1"/>
  <c r="C3437" i="1"/>
  <c r="D3437" i="1"/>
  <c r="E3437" i="1"/>
  <c r="C3438" i="1"/>
  <c r="D3438" i="1"/>
  <c r="E3438" i="1"/>
  <c r="C3439" i="1"/>
  <c r="D3439" i="1"/>
  <c r="E3439" i="1"/>
  <c r="C3440" i="1"/>
  <c r="D3440" i="1"/>
  <c r="E3440" i="1"/>
  <c r="C3441" i="1"/>
  <c r="D3441" i="1"/>
  <c r="E3441" i="1"/>
  <c r="C3442" i="1"/>
  <c r="D3442" i="1"/>
  <c r="E3442" i="1"/>
  <c r="C3443" i="1"/>
  <c r="D3443" i="1"/>
  <c r="E3443" i="1"/>
  <c r="C3444" i="1"/>
  <c r="D3444" i="1"/>
  <c r="E3444" i="1"/>
  <c r="C3445" i="1"/>
  <c r="D3445" i="1"/>
  <c r="E3445" i="1"/>
  <c r="C3446" i="1"/>
  <c r="D3446" i="1"/>
  <c r="E3446" i="1"/>
  <c r="C3447" i="1"/>
  <c r="D3447" i="1"/>
  <c r="E3447" i="1"/>
  <c r="C3448" i="1"/>
  <c r="D3448" i="1"/>
  <c r="E3448" i="1"/>
  <c r="C3449" i="1"/>
  <c r="D3449" i="1"/>
  <c r="E3449" i="1"/>
  <c r="C3450" i="1"/>
  <c r="D3450" i="1"/>
  <c r="E3450" i="1"/>
  <c r="C3451" i="1"/>
  <c r="D3451" i="1"/>
  <c r="E3451" i="1"/>
  <c r="C3452" i="1"/>
  <c r="D3452" i="1"/>
  <c r="E3452" i="1"/>
  <c r="C3453" i="1"/>
  <c r="D3453" i="1"/>
  <c r="E3453" i="1"/>
  <c r="C3454" i="1"/>
  <c r="D3454" i="1"/>
  <c r="E3454" i="1"/>
  <c r="C3455" i="1"/>
  <c r="D3455" i="1"/>
  <c r="E3455" i="1"/>
  <c r="C3456" i="1"/>
  <c r="D3456" i="1"/>
  <c r="E3456" i="1"/>
  <c r="C3457" i="1"/>
  <c r="D3457" i="1"/>
  <c r="E3457" i="1"/>
  <c r="C3458" i="1"/>
  <c r="D3458" i="1"/>
  <c r="E3458" i="1"/>
  <c r="C3459" i="1"/>
  <c r="D3459" i="1"/>
  <c r="E3459" i="1"/>
  <c r="C3460" i="1"/>
  <c r="D3460" i="1"/>
  <c r="E3460" i="1"/>
  <c r="C3461" i="1"/>
  <c r="D3461" i="1"/>
  <c r="E3461" i="1"/>
  <c r="C3462" i="1"/>
  <c r="D3462" i="1"/>
  <c r="E3462" i="1"/>
  <c r="C3463" i="1"/>
  <c r="D3463" i="1"/>
  <c r="E3463" i="1"/>
  <c r="C3464" i="1"/>
  <c r="D3464" i="1"/>
  <c r="E3464" i="1"/>
  <c r="C3465" i="1"/>
  <c r="D3465" i="1"/>
  <c r="E3465" i="1"/>
  <c r="C3466" i="1"/>
  <c r="D3466" i="1"/>
  <c r="E3466" i="1"/>
  <c r="C3467" i="1"/>
  <c r="D3467" i="1"/>
  <c r="E3467" i="1"/>
  <c r="C3468" i="1"/>
  <c r="D3468" i="1"/>
  <c r="E3468" i="1"/>
  <c r="C3469" i="1"/>
  <c r="D3469" i="1"/>
  <c r="E3469" i="1"/>
  <c r="C3470" i="1"/>
  <c r="D3470" i="1"/>
  <c r="E3470" i="1"/>
  <c r="C3471" i="1"/>
  <c r="D3471" i="1"/>
  <c r="E3471" i="1"/>
  <c r="C3472" i="1"/>
  <c r="D3472" i="1"/>
  <c r="E3472" i="1"/>
  <c r="C3473" i="1"/>
  <c r="D3473" i="1"/>
  <c r="E3473" i="1"/>
  <c r="C3474" i="1"/>
  <c r="D3474" i="1"/>
  <c r="E3474" i="1"/>
  <c r="C3475" i="1"/>
  <c r="D3475" i="1"/>
  <c r="E3475" i="1"/>
  <c r="C3476" i="1"/>
  <c r="D3476" i="1"/>
  <c r="E3476" i="1"/>
  <c r="C3477" i="1"/>
  <c r="D3477" i="1"/>
  <c r="E3477" i="1"/>
  <c r="C3478" i="1"/>
  <c r="D3478" i="1"/>
  <c r="E3478" i="1"/>
  <c r="C3479" i="1"/>
  <c r="D3479" i="1"/>
  <c r="E3479" i="1"/>
  <c r="C3480" i="1"/>
  <c r="D3480" i="1"/>
  <c r="E3480" i="1"/>
  <c r="C3481" i="1"/>
  <c r="D3481" i="1"/>
  <c r="E3481" i="1"/>
  <c r="C3482" i="1"/>
  <c r="D3482" i="1"/>
  <c r="E3482" i="1"/>
  <c r="C3483" i="1"/>
  <c r="D3483" i="1"/>
  <c r="E3483" i="1"/>
  <c r="C3484" i="1"/>
  <c r="D3484" i="1"/>
  <c r="E3484" i="1"/>
  <c r="C3485" i="1"/>
  <c r="D3485" i="1"/>
  <c r="E3485" i="1"/>
  <c r="C3486" i="1"/>
  <c r="D3486" i="1"/>
  <c r="E3486" i="1"/>
  <c r="C3487" i="1"/>
  <c r="D3487" i="1"/>
  <c r="E3487" i="1"/>
  <c r="C3488" i="1"/>
  <c r="D3488" i="1"/>
  <c r="E3488" i="1"/>
  <c r="C3489" i="1"/>
  <c r="D3489" i="1"/>
  <c r="E3489" i="1"/>
  <c r="C3490" i="1"/>
  <c r="D3490" i="1"/>
  <c r="E3490" i="1"/>
  <c r="C3491" i="1"/>
  <c r="D3491" i="1"/>
  <c r="E3491" i="1"/>
  <c r="C3492" i="1"/>
  <c r="D3492" i="1"/>
  <c r="E3492" i="1"/>
  <c r="C3493" i="1"/>
  <c r="D3493" i="1"/>
  <c r="E3493" i="1"/>
  <c r="C3494" i="1"/>
  <c r="D3494" i="1"/>
  <c r="E3494" i="1"/>
  <c r="C3495" i="1"/>
  <c r="D3495" i="1"/>
  <c r="E3495" i="1"/>
  <c r="C3496" i="1"/>
  <c r="D3496" i="1"/>
  <c r="E3496" i="1"/>
  <c r="C3497" i="1"/>
  <c r="D3497" i="1"/>
  <c r="E3497" i="1"/>
  <c r="C3498" i="1"/>
  <c r="D3498" i="1"/>
  <c r="E3498" i="1"/>
  <c r="C3499" i="1"/>
  <c r="D3499" i="1"/>
  <c r="E3499" i="1"/>
  <c r="C3500" i="1"/>
  <c r="D3500" i="1"/>
  <c r="E3500" i="1"/>
  <c r="C3501" i="1"/>
  <c r="D3501" i="1"/>
  <c r="E3501" i="1"/>
  <c r="C3502" i="1"/>
  <c r="D3502" i="1"/>
  <c r="E3502" i="1"/>
  <c r="C3503" i="1"/>
  <c r="D3503" i="1"/>
  <c r="E3503" i="1"/>
  <c r="C3504" i="1"/>
  <c r="D3504" i="1"/>
  <c r="E3504" i="1"/>
  <c r="C3505" i="1"/>
  <c r="D3505" i="1"/>
  <c r="E3505" i="1"/>
  <c r="C3506" i="1"/>
  <c r="D3506" i="1"/>
  <c r="E3506" i="1"/>
  <c r="C3507" i="1"/>
  <c r="D3507" i="1"/>
  <c r="E3507" i="1"/>
  <c r="C3508" i="1"/>
  <c r="D3508" i="1"/>
  <c r="E3508" i="1"/>
  <c r="C3509" i="1"/>
  <c r="D3509" i="1"/>
  <c r="E3509" i="1"/>
  <c r="C3510" i="1"/>
  <c r="D3510" i="1"/>
  <c r="E3510" i="1"/>
  <c r="C3511" i="1"/>
  <c r="D3511" i="1"/>
  <c r="E3511" i="1"/>
  <c r="C3512" i="1"/>
  <c r="D3512" i="1"/>
  <c r="E3512" i="1"/>
  <c r="C3513" i="1"/>
  <c r="D3513" i="1"/>
  <c r="E3513" i="1"/>
  <c r="C3514" i="1"/>
  <c r="D3514" i="1"/>
  <c r="E3514" i="1"/>
  <c r="C3515" i="1"/>
  <c r="D3515" i="1"/>
  <c r="E3515" i="1"/>
  <c r="C3516" i="1"/>
  <c r="D3516" i="1"/>
  <c r="E3516" i="1"/>
  <c r="C3517" i="1"/>
  <c r="D3517" i="1"/>
  <c r="E3517" i="1"/>
  <c r="C3518" i="1"/>
  <c r="D3518" i="1"/>
  <c r="E3518" i="1"/>
  <c r="C3519" i="1"/>
  <c r="D3519" i="1"/>
  <c r="E3519" i="1"/>
  <c r="C3520" i="1"/>
  <c r="D3520" i="1"/>
  <c r="E3520" i="1"/>
  <c r="C3521" i="1"/>
  <c r="D3521" i="1"/>
  <c r="E3521" i="1"/>
  <c r="C3522" i="1"/>
  <c r="D3522" i="1"/>
  <c r="E3522" i="1"/>
  <c r="C3523" i="1"/>
  <c r="D3523" i="1"/>
  <c r="E3523" i="1"/>
  <c r="C3524" i="1"/>
  <c r="D3524" i="1"/>
  <c r="E3524" i="1"/>
  <c r="C3525" i="1"/>
  <c r="D3525" i="1"/>
  <c r="E3525" i="1"/>
  <c r="C3526" i="1"/>
  <c r="D3526" i="1"/>
  <c r="E3526" i="1"/>
  <c r="C3527" i="1"/>
  <c r="D3527" i="1"/>
  <c r="E3527" i="1"/>
  <c r="C3528" i="1"/>
  <c r="D3528" i="1"/>
  <c r="E3528" i="1"/>
  <c r="C3529" i="1"/>
  <c r="D3529" i="1"/>
  <c r="E3529" i="1"/>
  <c r="C3530" i="1"/>
  <c r="D3530" i="1"/>
  <c r="E3530" i="1"/>
  <c r="C3531" i="1"/>
  <c r="D3531" i="1"/>
  <c r="E3531" i="1"/>
  <c r="C3532" i="1"/>
  <c r="D3532" i="1"/>
  <c r="E3532" i="1"/>
  <c r="C3533" i="1"/>
  <c r="D3533" i="1"/>
  <c r="E3533" i="1"/>
  <c r="C3534" i="1"/>
  <c r="D3534" i="1"/>
  <c r="E3534" i="1"/>
  <c r="C3535" i="1"/>
  <c r="D3535" i="1"/>
  <c r="E3535" i="1"/>
  <c r="C3536" i="1"/>
  <c r="D3536" i="1"/>
  <c r="E3536" i="1"/>
  <c r="C3537" i="1"/>
  <c r="D3537" i="1"/>
  <c r="E3537" i="1"/>
  <c r="C3538" i="1"/>
  <c r="D3538" i="1"/>
  <c r="E3538" i="1"/>
  <c r="C3539" i="1"/>
  <c r="D3539" i="1"/>
  <c r="E3539" i="1"/>
  <c r="C3540" i="1"/>
  <c r="D3540" i="1"/>
  <c r="E3540" i="1"/>
  <c r="C3541" i="1"/>
  <c r="D3541" i="1"/>
  <c r="E3541" i="1"/>
  <c r="C3542" i="1"/>
  <c r="D3542" i="1"/>
  <c r="E3542" i="1"/>
  <c r="C3543" i="1"/>
  <c r="D3543" i="1"/>
  <c r="E3543" i="1"/>
  <c r="C3544" i="1"/>
  <c r="D3544" i="1"/>
  <c r="E3544" i="1"/>
  <c r="C3545" i="1"/>
  <c r="D3545" i="1"/>
  <c r="E3545" i="1"/>
  <c r="C3546" i="1"/>
  <c r="D3546" i="1"/>
  <c r="E3546" i="1"/>
  <c r="C3547" i="1"/>
  <c r="D3547" i="1"/>
  <c r="E3547" i="1"/>
  <c r="C3548" i="1"/>
  <c r="D3548" i="1"/>
  <c r="E3548" i="1"/>
  <c r="C3549" i="1"/>
  <c r="D3549" i="1"/>
  <c r="E3549" i="1"/>
  <c r="C3550" i="1"/>
  <c r="D3550" i="1"/>
  <c r="E3550" i="1"/>
  <c r="C3551" i="1"/>
  <c r="D3551" i="1"/>
  <c r="E3551" i="1"/>
  <c r="C3552" i="1"/>
  <c r="D3552" i="1"/>
  <c r="E3552" i="1"/>
  <c r="C3553" i="1"/>
  <c r="D3553" i="1"/>
  <c r="E3553" i="1"/>
  <c r="C3554" i="1"/>
  <c r="D3554" i="1"/>
  <c r="E3554" i="1"/>
  <c r="C3555" i="1"/>
  <c r="D3555" i="1"/>
  <c r="E3555" i="1"/>
  <c r="C3556" i="1"/>
  <c r="D3556" i="1"/>
  <c r="E3556" i="1"/>
  <c r="C3557" i="1"/>
  <c r="D3557" i="1"/>
  <c r="E3557" i="1"/>
  <c r="C3558" i="1"/>
  <c r="D3558" i="1"/>
  <c r="E3558" i="1"/>
  <c r="C3559" i="1"/>
  <c r="D3559" i="1"/>
  <c r="E3559" i="1"/>
  <c r="C3560" i="1"/>
  <c r="D3560" i="1"/>
  <c r="E3560" i="1"/>
  <c r="C3561" i="1"/>
  <c r="D3561" i="1"/>
  <c r="E3561" i="1"/>
  <c r="C3562" i="1"/>
  <c r="D3562" i="1"/>
  <c r="E3562" i="1"/>
  <c r="C3563" i="1"/>
  <c r="D3563" i="1"/>
  <c r="E3563" i="1"/>
  <c r="C3564" i="1"/>
  <c r="D3564" i="1"/>
  <c r="E3564" i="1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G201" i="22"/>
  <c r="G202" i="22"/>
  <c r="G203" i="22"/>
  <c r="G204" i="22"/>
  <c r="G205" i="22"/>
  <c r="G206" i="22"/>
  <c r="G207" i="22"/>
  <c r="G208" i="22"/>
  <c r="G209" i="22"/>
  <c r="G210" i="22"/>
  <c r="G211" i="22"/>
  <c r="G212" i="22"/>
  <c r="G213" i="22"/>
  <c r="G214" i="22"/>
  <c r="G215" i="22"/>
  <c r="G216" i="22"/>
  <c r="G217" i="22"/>
  <c r="G218" i="22"/>
  <c r="G219" i="22"/>
  <c r="G220" i="22"/>
  <c r="G221" i="22"/>
  <c r="G222" i="22"/>
  <c r="G223" i="22"/>
  <c r="G224" i="22"/>
  <c r="G225" i="22"/>
  <c r="G226" i="22"/>
  <c r="G227" i="22"/>
  <c r="G228" i="22"/>
  <c r="G229" i="22"/>
  <c r="G230" i="22"/>
  <c r="G231" i="22"/>
  <c r="G232" i="22"/>
  <c r="G233" i="22"/>
  <c r="G234" i="22"/>
  <c r="G235" i="22"/>
  <c r="G236" i="22"/>
  <c r="G237" i="22"/>
  <c r="G238" i="22"/>
  <c r="G239" i="22"/>
  <c r="G240" i="22"/>
  <c r="G241" i="22"/>
  <c r="G242" i="22"/>
  <c r="G243" i="22"/>
  <c r="G244" i="22"/>
  <c r="G245" i="22"/>
  <c r="G246" i="22"/>
  <c r="G247" i="22"/>
  <c r="G248" i="22"/>
  <c r="G249" i="22"/>
  <c r="G250" i="22"/>
  <c r="G251" i="22"/>
  <c r="G252" i="22"/>
  <c r="G253" i="22"/>
  <c r="G254" i="22"/>
  <c r="G255" i="22"/>
  <c r="G256" i="22"/>
  <c r="G257" i="22"/>
  <c r="G258" i="22"/>
  <c r="G259" i="22"/>
  <c r="G260" i="22"/>
  <c r="G261" i="22"/>
  <c r="G262" i="22"/>
  <c r="G263" i="22"/>
  <c r="G264" i="22"/>
  <c r="G265" i="22"/>
  <c r="G266" i="22"/>
  <c r="G267" i="22"/>
  <c r="G268" i="22"/>
  <c r="G269" i="22"/>
  <c r="G270" i="22"/>
  <c r="G271" i="22"/>
  <c r="G272" i="22"/>
  <c r="G273" i="22"/>
  <c r="G274" i="22"/>
  <c r="G275" i="22"/>
  <c r="G276" i="22"/>
  <c r="G277" i="22"/>
  <c r="G278" i="22"/>
  <c r="G279" i="22"/>
  <c r="G280" i="22"/>
  <c r="G281" i="22"/>
  <c r="G282" i="22"/>
  <c r="G283" i="22"/>
  <c r="G284" i="22"/>
  <c r="G285" i="22"/>
  <c r="G286" i="22"/>
  <c r="G287" i="22"/>
  <c r="G288" i="22"/>
  <c r="G289" i="22"/>
  <c r="G290" i="22"/>
  <c r="G291" i="22"/>
  <c r="G292" i="22"/>
  <c r="G293" i="22"/>
  <c r="G294" i="22"/>
  <c r="G295" i="22"/>
  <c r="G296" i="22"/>
  <c r="G297" i="22"/>
  <c r="G298" i="22"/>
  <c r="G299" i="22"/>
  <c r="G300" i="22"/>
  <c r="G301" i="22"/>
  <c r="G302" i="22"/>
  <c r="G303" i="22"/>
  <c r="G304" i="22"/>
  <c r="G305" i="22"/>
  <c r="G306" i="22"/>
  <c r="G307" i="22"/>
  <c r="G308" i="22"/>
  <c r="G309" i="22"/>
  <c r="G310" i="22"/>
  <c r="G311" i="22"/>
  <c r="G312" i="22"/>
  <c r="G313" i="22"/>
  <c r="G314" i="22"/>
  <c r="G315" i="22"/>
  <c r="G316" i="22"/>
  <c r="G317" i="22"/>
  <c r="G318" i="22"/>
  <c r="G319" i="22"/>
  <c r="G320" i="22"/>
  <c r="G321" i="22"/>
  <c r="G322" i="22"/>
  <c r="G323" i="22"/>
  <c r="G324" i="22"/>
  <c r="G325" i="22"/>
  <c r="G326" i="22"/>
  <c r="G327" i="22"/>
  <c r="G328" i="22"/>
  <c r="G329" i="22"/>
  <c r="G330" i="22"/>
  <c r="G331" i="22"/>
  <c r="G332" i="22"/>
  <c r="G333" i="22"/>
  <c r="G334" i="22"/>
  <c r="G335" i="22"/>
  <c r="G336" i="22"/>
  <c r="G337" i="22"/>
  <c r="G338" i="22"/>
  <c r="G339" i="22"/>
  <c r="G340" i="22"/>
  <c r="G341" i="22"/>
  <c r="G342" i="22"/>
  <c r="G343" i="22"/>
  <c r="G344" i="22"/>
  <c r="G345" i="22"/>
  <c r="G346" i="22"/>
  <c r="G347" i="22"/>
  <c r="G348" i="22"/>
  <c r="G349" i="22"/>
  <c r="G350" i="22"/>
  <c r="G351" i="22"/>
  <c r="G352" i="22"/>
  <c r="G353" i="22"/>
  <c r="G354" i="22"/>
  <c r="G355" i="22"/>
  <c r="G356" i="22"/>
  <c r="G357" i="22"/>
  <c r="G358" i="22"/>
  <c r="G359" i="22"/>
  <c r="G360" i="22"/>
  <c r="G361" i="22"/>
  <c r="G362" i="22"/>
  <c r="G363" i="22"/>
  <c r="G364" i="22"/>
  <c r="G365" i="22"/>
  <c r="G366" i="22"/>
  <c r="G367" i="22"/>
  <c r="G368" i="22"/>
  <c r="G369" i="22"/>
  <c r="G370" i="22"/>
  <c r="G371" i="22"/>
  <c r="G372" i="22"/>
  <c r="G373" i="22"/>
  <c r="G374" i="22"/>
  <c r="G375" i="22"/>
  <c r="G376" i="22"/>
  <c r="G377" i="22"/>
  <c r="G378" i="22"/>
  <c r="G379" i="22"/>
  <c r="G380" i="22"/>
  <c r="G381" i="22"/>
  <c r="G382" i="22"/>
  <c r="G383" i="22"/>
  <c r="G384" i="22"/>
  <c r="G385" i="22"/>
  <c r="G386" i="22"/>
  <c r="G387" i="22"/>
  <c r="G388" i="22"/>
  <c r="G389" i="22"/>
  <c r="G390" i="22"/>
  <c r="G391" i="22"/>
  <c r="G392" i="22"/>
  <c r="G393" i="22"/>
  <c r="G394" i="22"/>
  <c r="G395" i="22"/>
  <c r="G396" i="22"/>
  <c r="G397" i="22"/>
  <c r="G398" i="22"/>
  <c r="G399" i="22"/>
  <c r="G400" i="22"/>
  <c r="G401" i="22"/>
  <c r="G402" i="22"/>
  <c r="G403" i="22"/>
  <c r="G404" i="22"/>
  <c r="G405" i="22"/>
  <c r="G406" i="22"/>
  <c r="G407" i="22"/>
  <c r="G408" i="22"/>
  <c r="G409" i="22"/>
  <c r="G410" i="22"/>
  <c r="G411" i="22"/>
  <c r="G412" i="22"/>
  <c r="G413" i="22"/>
  <c r="G414" i="22"/>
  <c r="G415" i="22"/>
  <c r="G416" i="22"/>
  <c r="G417" i="22"/>
  <c r="G418" i="22"/>
  <c r="G419" i="22"/>
  <c r="G420" i="22"/>
  <c r="G421" i="22"/>
  <c r="G422" i="22"/>
  <c r="G423" i="22"/>
  <c r="G424" i="22"/>
  <c r="G425" i="22"/>
  <c r="G426" i="22"/>
  <c r="G427" i="22"/>
  <c r="G428" i="22"/>
  <c r="G429" i="22"/>
  <c r="G430" i="22"/>
  <c r="G431" i="22"/>
  <c r="G432" i="22"/>
  <c r="G433" i="22"/>
  <c r="G434" i="22"/>
  <c r="G435" i="22"/>
  <c r="G436" i="22"/>
  <c r="G437" i="22"/>
  <c r="G438" i="22"/>
  <c r="G439" i="22"/>
  <c r="G440" i="22"/>
  <c r="G441" i="22"/>
  <c r="G442" i="22"/>
  <c r="G443" i="22"/>
  <c r="G444" i="22"/>
  <c r="G445" i="22"/>
  <c r="G446" i="22"/>
  <c r="G447" i="22"/>
  <c r="G448" i="22"/>
  <c r="G449" i="22"/>
  <c r="G450" i="22"/>
  <c r="G451" i="22"/>
  <c r="G452" i="22"/>
  <c r="G453" i="22"/>
  <c r="G454" i="22"/>
  <c r="G455" i="22"/>
  <c r="G456" i="22"/>
  <c r="G457" i="22"/>
  <c r="G458" i="22"/>
  <c r="G459" i="22"/>
  <c r="G460" i="22"/>
  <c r="G461" i="22"/>
  <c r="G462" i="22"/>
  <c r="G463" i="22"/>
  <c r="G464" i="22"/>
  <c r="G465" i="22"/>
  <c r="G466" i="22"/>
  <c r="G467" i="22"/>
  <c r="G468" i="22"/>
  <c r="G469" i="22"/>
  <c r="G470" i="22"/>
  <c r="G471" i="22"/>
  <c r="G472" i="22"/>
  <c r="G473" i="22"/>
  <c r="G474" i="22"/>
  <c r="G475" i="22"/>
  <c r="G476" i="22"/>
  <c r="G477" i="22"/>
  <c r="G478" i="22"/>
  <c r="G479" i="22"/>
  <c r="G480" i="22"/>
  <c r="G481" i="22"/>
  <c r="G482" i="22"/>
  <c r="G483" i="22"/>
  <c r="G484" i="22"/>
  <c r="G485" i="22"/>
  <c r="G486" i="22"/>
  <c r="G487" i="22"/>
  <c r="G488" i="22"/>
  <c r="G489" i="22"/>
  <c r="G490" i="22"/>
  <c r="G491" i="22"/>
  <c r="G492" i="22"/>
  <c r="G493" i="22"/>
  <c r="G494" i="22"/>
  <c r="G495" i="22"/>
  <c r="G496" i="22"/>
  <c r="G497" i="22"/>
  <c r="G498" i="22"/>
  <c r="G499" i="22"/>
  <c r="G500" i="22"/>
  <c r="G501" i="22"/>
  <c r="G502" i="22"/>
  <c r="G503" i="22"/>
  <c r="G504" i="22"/>
  <c r="G505" i="22"/>
  <c r="G506" i="22"/>
  <c r="G507" i="22"/>
  <c r="G508" i="22"/>
  <c r="G509" i="22"/>
  <c r="G510" i="22"/>
  <c r="G511" i="22"/>
  <c r="G512" i="22"/>
  <c r="G513" i="22"/>
  <c r="G514" i="22"/>
  <c r="G515" i="22"/>
  <c r="G516" i="22"/>
  <c r="G517" i="22"/>
  <c r="G518" i="22"/>
  <c r="G519" i="22"/>
  <c r="G520" i="22"/>
  <c r="G521" i="22"/>
  <c r="G522" i="22"/>
  <c r="G523" i="22"/>
  <c r="G524" i="22"/>
  <c r="G525" i="22"/>
  <c r="G526" i="22"/>
  <c r="G527" i="22"/>
  <c r="G528" i="22"/>
  <c r="G529" i="22"/>
  <c r="G530" i="22"/>
  <c r="G531" i="22"/>
  <c r="G532" i="22"/>
  <c r="G533" i="22"/>
  <c r="G534" i="22"/>
  <c r="G535" i="22"/>
  <c r="G536" i="22"/>
  <c r="G537" i="22"/>
  <c r="G538" i="22"/>
  <c r="G539" i="22"/>
  <c r="G540" i="22"/>
  <c r="G541" i="22"/>
  <c r="G542" i="22"/>
  <c r="G543" i="22"/>
  <c r="G544" i="22"/>
  <c r="G545" i="22"/>
  <c r="G546" i="22"/>
  <c r="G547" i="22"/>
  <c r="G548" i="22"/>
  <c r="G549" i="22"/>
  <c r="G550" i="22"/>
  <c r="G551" i="22"/>
  <c r="G552" i="22"/>
  <c r="G553" i="22"/>
  <c r="G554" i="22"/>
  <c r="G555" i="22"/>
  <c r="G556" i="22"/>
  <c r="G557" i="22"/>
  <c r="G558" i="22"/>
  <c r="G559" i="22"/>
  <c r="G560" i="22"/>
  <c r="G561" i="22"/>
  <c r="G562" i="22"/>
  <c r="G563" i="22"/>
  <c r="G564" i="22"/>
  <c r="G565" i="22"/>
  <c r="G566" i="22"/>
  <c r="G567" i="22"/>
  <c r="G568" i="22"/>
  <c r="G569" i="22"/>
  <c r="G570" i="22"/>
  <c r="G571" i="22"/>
  <c r="G572" i="22"/>
  <c r="G573" i="22"/>
  <c r="G574" i="22"/>
  <c r="G575" i="22"/>
  <c r="G576" i="22"/>
  <c r="G577" i="22"/>
  <c r="G578" i="22"/>
  <c r="G579" i="22"/>
  <c r="G580" i="22"/>
  <c r="G581" i="22"/>
  <c r="G582" i="22"/>
  <c r="G583" i="22"/>
  <c r="G584" i="22"/>
  <c r="G585" i="22"/>
  <c r="G586" i="22"/>
  <c r="G587" i="22"/>
  <c r="G588" i="22"/>
  <c r="G589" i="22"/>
  <c r="G590" i="22"/>
  <c r="G591" i="22"/>
  <c r="G592" i="22"/>
  <c r="G593" i="22"/>
  <c r="G594" i="22"/>
  <c r="G595" i="22"/>
  <c r="G596" i="22"/>
  <c r="G597" i="22"/>
  <c r="G598" i="22"/>
  <c r="G599" i="22"/>
  <c r="G600" i="22"/>
  <c r="G601" i="22"/>
  <c r="G602" i="22"/>
  <c r="G603" i="22"/>
  <c r="G604" i="22"/>
  <c r="G605" i="22"/>
  <c r="G606" i="22"/>
  <c r="G607" i="22"/>
  <c r="G608" i="22"/>
  <c r="G609" i="22"/>
  <c r="G610" i="22"/>
  <c r="G611" i="22"/>
  <c r="G612" i="22"/>
  <c r="G613" i="22"/>
  <c r="G614" i="22"/>
  <c r="G615" i="22"/>
  <c r="G616" i="22"/>
  <c r="G617" i="22"/>
  <c r="G618" i="22"/>
  <c r="G619" i="22"/>
  <c r="G620" i="22"/>
  <c r="G621" i="22"/>
  <c r="G622" i="22"/>
  <c r="G623" i="22"/>
  <c r="G624" i="22"/>
  <c r="G625" i="22"/>
  <c r="G626" i="22"/>
  <c r="G627" i="22"/>
  <c r="G628" i="22"/>
  <c r="G629" i="22"/>
  <c r="G630" i="22"/>
  <c r="G631" i="22"/>
  <c r="G632" i="22"/>
  <c r="G633" i="22"/>
  <c r="G634" i="22"/>
  <c r="G635" i="22"/>
  <c r="G636" i="22"/>
  <c r="G637" i="22"/>
  <c r="G638" i="22"/>
  <c r="G639" i="22"/>
  <c r="G640" i="22"/>
  <c r="G641" i="22"/>
  <c r="G642" i="22"/>
  <c r="G643" i="22"/>
  <c r="G644" i="22"/>
  <c r="G645" i="22"/>
  <c r="G646" i="22"/>
  <c r="G647" i="22"/>
  <c r="G648" i="22"/>
  <c r="G649" i="22"/>
  <c r="G650" i="22"/>
  <c r="G651" i="22"/>
  <c r="G652" i="22"/>
  <c r="G653" i="22"/>
  <c r="G654" i="22"/>
  <c r="G655" i="22"/>
  <c r="G656" i="22"/>
  <c r="G657" i="22"/>
  <c r="G658" i="22"/>
  <c r="G659" i="22"/>
  <c r="G660" i="22"/>
  <c r="G661" i="22"/>
  <c r="G662" i="22"/>
  <c r="G663" i="22"/>
  <c r="G664" i="22"/>
  <c r="G665" i="22"/>
  <c r="G666" i="22"/>
  <c r="G667" i="22"/>
  <c r="G668" i="22"/>
  <c r="G669" i="22"/>
  <c r="G670" i="22"/>
  <c r="G671" i="22"/>
  <c r="G672" i="22"/>
  <c r="G673" i="22"/>
  <c r="G674" i="22"/>
  <c r="G675" i="22"/>
  <c r="G676" i="22"/>
  <c r="G677" i="22"/>
  <c r="G678" i="22"/>
  <c r="G679" i="22"/>
  <c r="G680" i="22"/>
  <c r="G681" i="22"/>
  <c r="G682" i="22"/>
  <c r="G683" i="22"/>
  <c r="G684" i="22"/>
  <c r="G685" i="22"/>
  <c r="G686" i="22"/>
  <c r="G687" i="22"/>
  <c r="G688" i="22"/>
  <c r="G689" i="22"/>
  <c r="G690" i="22"/>
  <c r="G691" i="22"/>
  <c r="G692" i="22"/>
  <c r="G693" i="22"/>
  <c r="G694" i="22"/>
  <c r="G695" i="22"/>
  <c r="G696" i="22"/>
  <c r="G697" i="22"/>
  <c r="G698" i="22"/>
  <c r="G699" i="22"/>
  <c r="G700" i="22"/>
  <c r="G701" i="22"/>
  <c r="G702" i="22"/>
  <c r="G703" i="22"/>
  <c r="G704" i="22"/>
  <c r="G705" i="22"/>
  <c r="G706" i="22"/>
  <c r="G707" i="22"/>
  <c r="G708" i="22"/>
  <c r="G709" i="22"/>
  <c r="G710" i="22"/>
  <c r="G711" i="22"/>
  <c r="G712" i="22"/>
  <c r="G713" i="22"/>
  <c r="G714" i="22"/>
  <c r="G715" i="22"/>
  <c r="G716" i="22"/>
  <c r="G717" i="22"/>
  <c r="G718" i="22"/>
  <c r="G719" i="22"/>
  <c r="G720" i="22"/>
  <c r="G721" i="22"/>
  <c r="G722" i="22"/>
  <c r="G723" i="22"/>
  <c r="G724" i="22"/>
  <c r="G725" i="22"/>
  <c r="G726" i="22"/>
  <c r="G727" i="22"/>
  <c r="G728" i="22"/>
  <c r="G729" i="22"/>
  <c r="G730" i="22"/>
  <c r="G731" i="22"/>
  <c r="G732" i="22"/>
  <c r="G733" i="22"/>
  <c r="G734" i="22"/>
  <c r="G735" i="22"/>
  <c r="G736" i="22"/>
  <c r="G737" i="22"/>
  <c r="G738" i="22"/>
  <c r="G739" i="22"/>
  <c r="G740" i="22"/>
  <c r="G741" i="22"/>
  <c r="G742" i="22"/>
  <c r="G743" i="22"/>
  <c r="G744" i="22"/>
  <c r="G745" i="22"/>
  <c r="G746" i="22"/>
  <c r="G747" i="22"/>
  <c r="G748" i="22"/>
  <c r="G749" i="22"/>
  <c r="G750" i="22"/>
  <c r="G751" i="22"/>
  <c r="G752" i="22"/>
  <c r="G753" i="22"/>
  <c r="G754" i="22"/>
  <c r="G755" i="22"/>
  <c r="G756" i="22"/>
  <c r="G757" i="22"/>
  <c r="G758" i="22"/>
  <c r="G759" i="22"/>
  <c r="G760" i="22"/>
  <c r="G761" i="22"/>
  <c r="G762" i="22"/>
  <c r="G763" i="22"/>
  <c r="G764" i="22"/>
  <c r="G765" i="22"/>
  <c r="G766" i="22"/>
  <c r="G767" i="22"/>
  <c r="G768" i="22"/>
  <c r="G769" i="22"/>
  <c r="G770" i="22"/>
  <c r="G771" i="22"/>
  <c r="G772" i="22"/>
  <c r="G773" i="22"/>
  <c r="G774" i="22"/>
  <c r="G775" i="22"/>
  <c r="G776" i="22"/>
  <c r="G777" i="22"/>
  <c r="G778" i="22"/>
  <c r="G779" i="22"/>
  <c r="G780" i="22"/>
  <c r="G781" i="22"/>
  <c r="G782" i="22"/>
  <c r="G783" i="22"/>
  <c r="G784" i="22"/>
  <c r="G785" i="22"/>
  <c r="G786" i="22"/>
  <c r="G787" i="22"/>
  <c r="G788" i="22"/>
  <c r="G789" i="22"/>
  <c r="G790" i="22"/>
  <c r="G791" i="22"/>
  <c r="G792" i="22"/>
  <c r="G793" i="22"/>
  <c r="G794" i="22"/>
  <c r="G795" i="22"/>
  <c r="G796" i="22"/>
  <c r="G797" i="22"/>
  <c r="G798" i="22"/>
  <c r="G799" i="22"/>
  <c r="G800" i="22"/>
  <c r="G801" i="22"/>
  <c r="G802" i="22"/>
  <c r="G803" i="22"/>
  <c r="G804" i="22"/>
  <c r="G805" i="22"/>
  <c r="G806" i="22"/>
  <c r="G807" i="22"/>
  <c r="G808" i="22"/>
  <c r="G809" i="22"/>
  <c r="G810" i="22"/>
  <c r="G811" i="22"/>
  <c r="G812" i="22"/>
  <c r="G813" i="22"/>
  <c r="G814" i="22"/>
  <c r="G815" i="22"/>
  <c r="G816" i="22"/>
  <c r="G817" i="22"/>
  <c r="G818" i="22"/>
  <c r="G819" i="22"/>
  <c r="G820" i="22"/>
  <c r="G821" i="22"/>
  <c r="G822" i="22"/>
  <c r="G823" i="22"/>
  <c r="G824" i="22"/>
  <c r="G825" i="22"/>
  <c r="G826" i="22"/>
  <c r="G827" i="22"/>
  <c r="G828" i="22"/>
  <c r="G829" i="22"/>
  <c r="G830" i="22"/>
  <c r="G831" i="22"/>
  <c r="G832" i="22"/>
  <c r="G833" i="22"/>
  <c r="G834" i="22"/>
  <c r="G835" i="22"/>
  <c r="G836" i="22"/>
  <c r="G837" i="22"/>
  <c r="G838" i="22"/>
  <c r="G839" i="22"/>
  <c r="G840" i="22"/>
  <c r="G841" i="22"/>
  <c r="G842" i="22"/>
  <c r="G843" i="22"/>
  <c r="G844" i="22"/>
  <c r="G845" i="22"/>
  <c r="G846" i="22"/>
  <c r="G847" i="22"/>
  <c r="G848" i="22"/>
  <c r="G849" i="22"/>
  <c r="G850" i="22"/>
  <c r="G851" i="22"/>
  <c r="G852" i="22"/>
  <c r="G853" i="22"/>
  <c r="G854" i="22"/>
  <c r="G855" i="22"/>
  <c r="G856" i="22"/>
  <c r="G857" i="22"/>
  <c r="G858" i="22"/>
  <c r="G859" i="22"/>
  <c r="G860" i="22"/>
  <c r="G861" i="22"/>
  <c r="G862" i="22"/>
  <c r="G863" i="22"/>
  <c r="G864" i="22"/>
  <c r="G865" i="22"/>
  <c r="G866" i="22"/>
  <c r="G867" i="22"/>
  <c r="G868" i="22"/>
  <c r="G869" i="22"/>
  <c r="G870" i="22"/>
  <c r="G871" i="22"/>
  <c r="G872" i="22"/>
  <c r="G873" i="22"/>
  <c r="G874" i="22"/>
  <c r="G875" i="22"/>
  <c r="G876" i="22"/>
  <c r="G877" i="22"/>
  <c r="G878" i="22"/>
  <c r="G879" i="22"/>
  <c r="G880" i="22"/>
  <c r="G881" i="22"/>
  <c r="G882" i="22"/>
  <c r="G883" i="22"/>
  <c r="G884" i="22"/>
  <c r="G885" i="22"/>
  <c r="G886" i="22"/>
  <c r="G887" i="22"/>
  <c r="G888" i="22"/>
  <c r="G889" i="22"/>
  <c r="G890" i="22"/>
  <c r="G891" i="22"/>
  <c r="G892" i="22"/>
  <c r="G893" i="22"/>
  <c r="G894" i="22"/>
  <c r="G895" i="22"/>
  <c r="G896" i="22"/>
  <c r="G897" i="22"/>
  <c r="G898" i="22"/>
  <c r="G899" i="22"/>
  <c r="G900" i="22"/>
  <c r="G901" i="22"/>
  <c r="G902" i="22"/>
  <c r="G903" i="22"/>
  <c r="G904" i="22"/>
  <c r="G905" i="22"/>
  <c r="G906" i="22"/>
  <c r="G907" i="22"/>
  <c r="G908" i="22"/>
  <c r="G909" i="22"/>
  <c r="G910" i="22"/>
  <c r="G911" i="22"/>
  <c r="G912" i="22"/>
  <c r="G913" i="22"/>
  <c r="G914" i="22"/>
  <c r="G915" i="22"/>
  <c r="G916" i="22"/>
  <c r="G917" i="22"/>
  <c r="G918" i="22"/>
  <c r="G919" i="22"/>
  <c r="G920" i="22"/>
  <c r="G921" i="22"/>
  <c r="G922" i="22"/>
  <c r="G923" i="22"/>
  <c r="G924" i="22"/>
  <c r="G925" i="22"/>
  <c r="G926" i="22"/>
  <c r="G927" i="22"/>
  <c r="G928" i="22"/>
  <c r="G929" i="22"/>
  <c r="G930" i="22"/>
  <c r="G931" i="22"/>
  <c r="G932" i="22"/>
  <c r="G933" i="22"/>
  <c r="G934" i="22"/>
  <c r="G935" i="22"/>
  <c r="G936" i="22"/>
  <c r="G937" i="22"/>
  <c r="G938" i="22"/>
  <c r="G939" i="22"/>
  <c r="G940" i="22"/>
  <c r="G941" i="22"/>
  <c r="G942" i="22"/>
  <c r="G943" i="22"/>
  <c r="G944" i="22"/>
  <c r="G945" i="22"/>
  <c r="G946" i="22"/>
  <c r="G947" i="22"/>
  <c r="G948" i="22"/>
  <c r="G949" i="22"/>
  <c r="G950" i="22"/>
  <c r="G951" i="22"/>
  <c r="G952" i="22"/>
  <c r="G953" i="22"/>
  <c r="G954" i="22"/>
  <c r="G955" i="22"/>
  <c r="G956" i="22"/>
  <c r="G957" i="22"/>
  <c r="G958" i="22"/>
  <c r="G959" i="22"/>
  <c r="G960" i="22"/>
  <c r="G961" i="22"/>
  <c r="G962" i="22"/>
  <c r="G963" i="22"/>
  <c r="G964" i="22"/>
  <c r="G965" i="22"/>
  <c r="G966" i="22"/>
  <c r="G967" i="22"/>
  <c r="G968" i="22"/>
  <c r="G969" i="22"/>
  <c r="G970" i="22"/>
  <c r="G971" i="22"/>
  <c r="G972" i="22"/>
  <c r="G973" i="22"/>
  <c r="G974" i="22"/>
  <c r="G975" i="22"/>
  <c r="G976" i="22"/>
  <c r="G977" i="22"/>
  <c r="G978" i="22"/>
  <c r="G979" i="22"/>
  <c r="G980" i="22"/>
  <c r="G981" i="22"/>
  <c r="G982" i="22"/>
  <c r="G983" i="22"/>
  <c r="G984" i="22"/>
  <c r="G985" i="22"/>
  <c r="G986" i="22"/>
  <c r="G987" i="22"/>
  <c r="G988" i="22"/>
  <c r="G989" i="22"/>
  <c r="G990" i="22"/>
  <c r="G991" i="22"/>
  <c r="G992" i="22"/>
  <c r="G993" i="22"/>
  <c r="G994" i="22"/>
  <c r="G995" i="22"/>
  <c r="G996" i="22"/>
  <c r="G997" i="22"/>
  <c r="G998" i="22"/>
  <c r="G999" i="22"/>
  <c r="G1000" i="22"/>
  <c r="G1001" i="22"/>
  <c r="G1002" i="22"/>
  <c r="G1003" i="22"/>
  <c r="G1004" i="22"/>
  <c r="G1005" i="22"/>
  <c r="G1006" i="22"/>
  <c r="G1007" i="22"/>
  <c r="G1008" i="22"/>
  <c r="G1009" i="22"/>
  <c r="G1010" i="22"/>
  <c r="G1011" i="22"/>
  <c r="G1012" i="22"/>
  <c r="G1013" i="22"/>
  <c r="G1014" i="22"/>
  <c r="G1015" i="22"/>
  <c r="G1016" i="22"/>
  <c r="G1017" i="22"/>
  <c r="G1018" i="22"/>
  <c r="G1019" i="22"/>
  <c r="G1020" i="22"/>
  <c r="G1021" i="22"/>
  <c r="G1022" i="22"/>
  <c r="G1023" i="22"/>
  <c r="G1024" i="22"/>
  <c r="G1025" i="22"/>
  <c r="G1026" i="22"/>
  <c r="G1027" i="22"/>
  <c r="G1028" i="22"/>
  <c r="G1029" i="22"/>
  <c r="G1030" i="22"/>
  <c r="G1031" i="22"/>
  <c r="G1032" i="22"/>
  <c r="G1033" i="22"/>
  <c r="G1034" i="22"/>
  <c r="G1035" i="22"/>
  <c r="G1036" i="22"/>
  <c r="G1037" i="22"/>
  <c r="G1038" i="22"/>
  <c r="G1039" i="22"/>
  <c r="G1040" i="22"/>
  <c r="G1041" i="22"/>
  <c r="G1042" i="22"/>
  <c r="G1043" i="22"/>
  <c r="G1044" i="22"/>
  <c r="G1045" i="22"/>
  <c r="G1046" i="22"/>
  <c r="G1047" i="22"/>
  <c r="G1048" i="22"/>
  <c r="G1049" i="22"/>
  <c r="G1050" i="22"/>
  <c r="G1051" i="22"/>
  <c r="G1052" i="22"/>
  <c r="G1053" i="22"/>
  <c r="G1054" i="22"/>
  <c r="G1055" i="22"/>
  <c r="G1056" i="22"/>
  <c r="G1057" i="22"/>
  <c r="G1058" i="22"/>
  <c r="G1059" i="22"/>
  <c r="G1060" i="22"/>
  <c r="G1061" i="22"/>
  <c r="G1062" i="22"/>
  <c r="G1063" i="22"/>
  <c r="G1064" i="22"/>
  <c r="G1065" i="22"/>
  <c r="G1066" i="22"/>
  <c r="G1067" i="22"/>
  <c r="G1068" i="22"/>
  <c r="G1069" i="22"/>
  <c r="G1070" i="22"/>
  <c r="G1071" i="22"/>
  <c r="G1072" i="22"/>
  <c r="G1073" i="22"/>
  <c r="G1074" i="22"/>
  <c r="G1075" i="22"/>
  <c r="G1076" i="22"/>
  <c r="G1077" i="22"/>
  <c r="G1078" i="22"/>
  <c r="G1079" i="22"/>
  <c r="G1080" i="22"/>
  <c r="G1081" i="22"/>
  <c r="G1082" i="22"/>
  <c r="G1083" i="22"/>
  <c r="G1084" i="22"/>
  <c r="G1085" i="22"/>
  <c r="G1086" i="22"/>
  <c r="G1087" i="22"/>
  <c r="G1088" i="22"/>
  <c r="G1089" i="22"/>
  <c r="G1090" i="22"/>
  <c r="G1091" i="22"/>
  <c r="G1092" i="22"/>
  <c r="G1093" i="22"/>
  <c r="G1094" i="22"/>
  <c r="G1095" i="22"/>
  <c r="G1096" i="22"/>
  <c r="G1097" i="22"/>
  <c r="G1098" i="22"/>
  <c r="G1099" i="22"/>
  <c r="G1100" i="22"/>
  <c r="G1101" i="22"/>
  <c r="G1102" i="22"/>
  <c r="G1103" i="22"/>
  <c r="G1104" i="22"/>
  <c r="G1105" i="22"/>
  <c r="G1106" i="22"/>
  <c r="G1107" i="22"/>
  <c r="G1108" i="22"/>
  <c r="G1109" i="22"/>
  <c r="G1110" i="22"/>
  <c r="G1111" i="22"/>
  <c r="G1112" i="22"/>
  <c r="G1113" i="22"/>
  <c r="G1114" i="22"/>
  <c r="G1115" i="22"/>
  <c r="G1116" i="22"/>
  <c r="G1117" i="22"/>
  <c r="G1118" i="22"/>
  <c r="G1119" i="22"/>
  <c r="G1120" i="22"/>
  <c r="G1121" i="22"/>
  <c r="G1122" i="22"/>
  <c r="G1123" i="22"/>
  <c r="G1124" i="22"/>
  <c r="G1125" i="22"/>
  <c r="G1126" i="22"/>
  <c r="G1127" i="22"/>
  <c r="G1128" i="22"/>
  <c r="G1129" i="22"/>
  <c r="G1130" i="22"/>
  <c r="G1131" i="22"/>
  <c r="G1132" i="22"/>
  <c r="G1133" i="22"/>
  <c r="G1134" i="22"/>
  <c r="G1135" i="22"/>
  <c r="G1136" i="22"/>
  <c r="G1137" i="22"/>
  <c r="G1138" i="22"/>
  <c r="G1139" i="22"/>
  <c r="G1140" i="22"/>
  <c r="G1141" i="22"/>
  <c r="G1142" i="22"/>
  <c r="G1143" i="22"/>
  <c r="G1144" i="22"/>
  <c r="G1145" i="22"/>
  <c r="G1146" i="22"/>
  <c r="G1147" i="22"/>
  <c r="G1148" i="22"/>
  <c r="G1149" i="22"/>
  <c r="G1150" i="22"/>
  <c r="G1151" i="22"/>
  <c r="G1152" i="22"/>
  <c r="G1153" i="22"/>
  <c r="G1154" i="22"/>
  <c r="G1155" i="22"/>
  <c r="G1156" i="22"/>
  <c r="G1157" i="22"/>
  <c r="G1158" i="22"/>
  <c r="G1159" i="22"/>
  <c r="G1160" i="22"/>
  <c r="G1161" i="22"/>
  <c r="G1162" i="22"/>
  <c r="G1163" i="22"/>
  <c r="G1164" i="22"/>
  <c r="G1165" i="22"/>
  <c r="G1166" i="22"/>
  <c r="G1167" i="22"/>
  <c r="G1168" i="22"/>
  <c r="G1169" i="22"/>
  <c r="G1170" i="22"/>
  <c r="G1171" i="22"/>
  <c r="G1172" i="22"/>
  <c r="G1173" i="22"/>
  <c r="G1174" i="22"/>
  <c r="G1175" i="22"/>
  <c r="G1176" i="22"/>
  <c r="G1177" i="22"/>
  <c r="G1178" i="22"/>
  <c r="G1179" i="22"/>
  <c r="G1180" i="22"/>
  <c r="G1181" i="22"/>
  <c r="G1182" i="22"/>
  <c r="G1183" i="22"/>
  <c r="G1184" i="22"/>
  <c r="G1185" i="22"/>
  <c r="G1186" i="22"/>
  <c r="G1187" i="22"/>
  <c r="G1188" i="22"/>
  <c r="G1189" i="22"/>
  <c r="G1190" i="22"/>
  <c r="G1191" i="22"/>
  <c r="G1192" i="22"/>
  <c r="G1193" i="22"/>
  <c r="G1194" i="22"/>
  <c r="G1195" i="22"/>
  <c r="G1196" i="22"/>
  <c r="G1197" i="22"/>
  <c r="G1198" i="22"/>
  <c r="G1199" i="22"/>
  <c r="G1200" i="22"/>
  <c r="G1201" i="22"/>
  <c r="G1202" i="22"/>
  <c r="G1203" i="22"/>
  <c r="G1204" i="22"/>
  <c r="G1205" i="22"/>
  <c r="G1206" i="22"/>
  <c r="G1207" i="22"/>
  <c r="G1208" i="22"/>
  <c r="G1209" i="22"/>
  <c r="G1210" i="22"/>
  <c r="G1211" i="22"/>
  <c r="G1212" i="22"/>
  <c r="G1213" i="22"/>
  <c r="G1214" i="22"/>
  <c r="G1215" i="22"/>
  <c r="G1216" i="22"/>
  <c r="G1217" i="22"/>
  <c r="G1218" i="22"/>
  <c r="G1219" i="22"/>
  <c r="G1220" i="22"/>
  <c r="G1221" i="22"/>
  <c r="G1222" i="22"/>
  <c r="G1223" i="22"/>
  <c r="G1224" i="22"/>
  <c r="G1225" i="22"/>
  <c r="G1226" i="22"/>
  <c r="G1227" i="22"/>
  <c r="G1228" i="22"/>
  <c r="G1229" i="22"/>
  <c r="G1230" i="22"/>
  <c r="G1231" i="22"/>
  <c r="G1232" i="22"/>
  <c r="G1233" i="22"/>
  <c r="G1234" i="22"/>
  <c r="G1235" i="22"/>
  <c r="G1236" i="22"/>
  <c r="G1237" i="22"/>
  <c r="G1238" i="22"/>
  <c r="G1239" i="22"/>
  <c r="G1240" i="22"/>
  <c r="G1241" i="22"/>
  <c r="G1242" i="22"/>
  <c r="G1243" i="22"/>
  <c r="G1244" i="22"/>
  <c r="G1245" i="22"/>
  <c r="G1246" i="22"/>
  <c r="G1247" i="22"/>
  <c r="G1248" i="22"/>
  <c r="G1249" i="22"/>
  <c r="G1250" i="22"/>
  <c r="G1251" i="22"/>
  <c r="G1252" i="22"/>
  <c r="G1253" i="22"/>
  <c r="G1254" i="22"/>
  <c r="G1255" i="22"/>
  <c r="G1256" i="22"/>
  <c r="G1257" i="22"/>
  <c r="G1258" i="22"/>
  <c r="G1259" i="22"/>
  <c r="G1260" i="22"/>
  <c r="G1261" i="22"/>
  <c r="G1262" i="22"/>
  <c r="G1263" i="22"/>
  <c r="G1264" i="22"/>
  <c r="G1265" i="22"/>
  <c r="G1266" i="22"/>
  <c r="G1267" i="22"/>
  <c r="G1268" i="22"/>
  <c r="G1269" i="22"/>
  <c r="G1270" i="22"/>
  <c r="G1271" i="22"/>
  <c r="G1272" i="22"/>
  <c r="G1273" i="22"/>
  <c r="G1274" i="22"/>
  <c r="G1275" i="22"/>
  <c r="G1276" i="22"/>
  <c r="G1277" i="22"/>
  <c r="G1278" i="22"/>
  <c r="G1279" i="22"/>
  <c r="G1280" i="22"/>
  <c r="G1281" i="22"/>
  <c r="G1282" i="22"/>
  <c r="G1283" i="22"/>
  <c r="G1284" i="22"/>
  <c r="G1285" i="22"/>
  <c r="G1286" i="22"/>
  <c r="G1287" i="22"/>
  <c r="G1288" i="22"/>
  <c r="G1289" i="22"/>
  <c r="G1290" i="22"/>
  <c r="G1291" i="22"/>
  <c r="G1292" i="22"/>
  <c r="G1293" i="22"/>
  <c r="G1294" i="22"/>
  <c r="G1295" i="22"/>
  <c r="G1296" i="22"/>
  <c r="G1297" i="22"/>
  <c r="G1298" i="22"/>
  <c r="G1299" i="22"/>
  <c r="G1300" i="22"/>
  <c r="G1301" i="22"/>
  <c r="G1302" i="22"/>
  <c r="G1303" i="22"/>
  <c r="G1304" i="22"/>
  <c r="G1305" i="22"/>
  <c r="G1306" i="22"/>
  <c r="G1307" i="22"/>
  <c r="G1308" i="22"/>
  <c r="G1309" i="22"/>
  <c r="G1310" i="22"/>
  <c r="G1311" i="22"/>
  <c r="G1312" i="22"/>
  <c r="G1313" i="22"/>
  <c r="G1314" i="22"/>
  <c r="G1315" i="22"/>
  <c r="G1316" i="22"/>
  <c r="G1317" i="22"/>
  <c r="G1318" i="22"/>
  <c r="G1319" i="22"/>
  <c r="G1320" i="22"/>
  <c r="G1321" i="22"/>
  <c r="G1322" i="22"/>
  <c r="G1323" i="22"/>
  <c r="G1324" i="22"/>
  <c r="G1325" i="22"/>
  <c r="G1326" i="22"/>
  <c r="G1327" i="22"/>
  <c r="G1328" i="22"/>
  <c r="G1329" i="22"/>
  <c r="G1330" i="22"/>
  <c r="G1331" i="22"/>
  <c r="G1332" i="22"/>
  <c r="G1333" i="22"/>
  <c r="G1334" i="22"/>
  <c r="G1335" i="22"/>
  <c r="G1336" i="22"/>
  <c r="G1337" i="22"/>
  <c r="G1338" i="22"/>
  <c r="G1339" i="22"/>
  <c r="G1340" i="22"/>
  <c r="G1341" i="22"/>
  <c r="G1342" i="22"/>
  <c r="G1343" i="22"/>
  <c r="G1344" i="22"/>
  <c r="G1345" i="22"/>
  <c r="G1346" i="22"/>
  <c r="G1347" i="22"/>
  <c r="G1348" i="22"/>
  <c r="G1349" i="22"/>
  <c r="G1350" i="22"/>
  <c r="G1351" i="22"/>
  <c r="G1352" i="22"/>
  <c r="G1353" i="22"/>
  <c r="G1354" i="22"/>
  <c r="G1355" i="22"/>
  <c r="G1356" i="22"/>
  <c r="G1357" i="22"/>
  <c r="G1358" i="22"/>
  <c r="G1359" i="22"/>
  <c r="G1360" i="22"/>
  <c r="G1361" i="22"/>
  <c r="G1362" i="22"/>
  <c r="G1363" i="22"/>
  <c r="G1364" i="22"/>
  <c r="G1365" i="22"/>
  <c r="G1366" i="22"/>
  <c r="G1367" i="22"/>
  <c r="G1368" i="22"/>
  <c r="G1369" i="22"/>
  <c r="G1370" i="22"/>
  <c r="G1371" i="22"/>
  <c r="G1372" i="22"/>
  <c r="G1373" i="22"/>
  <c r="G1374" i="22"/>
  <c r="G1375" i="22"/>
  <c r="G1376" i="22"/>
  <c r="G1377" i="22"/>
  <c r="G1378" i="22"/>
  <c r="G1379" i="22"/>
  <c r="G1380" i="22"/>
  <c r="G1381" i="22"/>
  <c r="G1382" i="22"/>
  <c r="G1383" i="22"/>
  <c r="G1384" i="22"/>
  <c r="G1385" i="22"/>
  <c r="G1386" i="22"/>
  <c r="G1387" i="22"/>
  <c r="G1388" i="22"/>
  <c r="G1389" i="22"/>
  <c r="G1390" i="22"/>
  <c r="G1391" i="22"/>
  <c r="G1392" i="22"/>
  <c r="G1393" i="22"/>
  <c r="G1394" i="22"/>
  <c r="G1395" i="22"/>
  <c r="G1396" i="22"/>
  <c r="G1397" i="22"/>
  <c r="G1398" i="22"/>
  <c r="G1399" i="22"/>
  <c r="G1400" i="22"/>
  <c r="G1401" i="22"/>
  <c r="G1402" i="22"/>
  <c r="G1403" i="22"/>
  <c r="G1404" i="22"/>
  <c r="G1405" i="22"/>
  <c r="G1406" i="22"/>
  <c r="G1407" i="22"/>
  <c r="G1408" i="22"/>
  <c r="G1409" i="22"/>
  <c r="G1410" i="22"/>
  <c r="G1411" i="22"/>
  <c r="G1412" i="22"/>
  <c r="G1413" i="22"/>
  <c r="G1414" i="22"/>
  <c r="G1415" i="22"/>
  <c r="G1416" i="22"/>
  <c r="G1417" i="22"/>
  <c r="G1418" i="22"/>
  <c r="G1419" i="22"/>
  <c r="G1420" i="22"/>
  <c r="G1421" i="22"/>
  <c r="G1422" i="22"/>
  <c r="G1423" i="22"/>
  <c r="G1424" i="22"/>
  <c r="G1425" i="22"/>
  <c r="G1426" i="22"/>
  <c r="G1427" i="22"/>
  <c r="G1428" i="22"/>
  <c r="G1429" i="22"/>
  <c r="G1430" i="22"/>
  <c r="G1431" i="22"/>
  <c r="G1432" i="22"/>
  <c r="G1433" i="22"/>
  <c r="G1434" i="22"/>
  <c r="G1435" i="22"/>
  <c r="G1436" i="22"/>
  <c r="G1437" i="22"/>
  <c r="G1438" i="22"/>
  <c r="G1439" i="22"/>
  <c r="G1440" i="22"/>
  <c r="G1441" i="22"/>
  <c r="G1442" i="22"/>
  <c r="G1443" i="22"/>
  <c r="G1444" i="22"/>
  <c r="G1445" i="22"/>
  <c r="G1446" i="22"/>
  <c r="G1447" i="22"/>
  <c r="G1448" i="22"/>
  <c r="G1449" i="22"/>
  <c r="G1450" i="22"/>
  <c r="G1451" i="22"/>
  <c r="G1452" i="22"/>
  <c r="G1453" i="22"/>
  <c r="G1454" i="22"/>
  <c r="G1455" i="22"/>
  <c r="G1456" i="22"/>
  <c r="G1457" i="22"/>
  <c r="G1458" i="22"/>
  <c r="G1459" i="22"/>
  <c r="G1460" i="22"/>
  <c r="G1461" i="22"/>
  <c r="G1462" i="22"/>
  <c r="G1463" i="22"/>
  <c r="G1464" i="22"/>
  <c r="G1465" i="22"/>
  <c r="G1466" i="22"/>
  <c r="G1467" i="22"/>
  <c r="G1468" i="22"/>
  <c r="G1469" i="22"/>
  <c r="G1470" i="22"/>
  <c r="G1471" i="22"/>
  <c r="G1472" i="22"/>
  <c r="G1473" i="22"/>
  <c r="G1474" i="22"/>
  <c r="G1475" i="22"/>
  <c r="G1476" i="22"/>
  <c r="G1477" i="22"/>
  <c r="G1478" i="22"/>
  <c r="G1479" i="22"/>
  <c r="G1480" i="22"/>
  <c r="G1481" i="22"/>
  <c r="G1482" i="22"/>
  <c r="G1483" i="22"/>
  <c r="G1484" i="22"/>
  <c r="G1485" i="22"/>
  <c r="G1486" i="22"/>
  <c r="G1487" i="22"/>
  <c r="G1488" i="22"/>
  <c r="G1489" i="22"/>
  <c r="G1490" i="22"/>
  <c r="G1491" i="22"/>
  <c r="G1492" i="22"/>
  <c r="G1493" i="22"/>
  <c r="G1494" i="22"/>
  <c r="G1495" i="22"/>
  <c r="G1496" i="22"/>
  <c r="G1497" i="22"/>
  <c r="G1498" i="22"/>
  <c r="G1499" i="22"/>
  <c r="G1500" i="22"/>
  <c r="G1501" i="22"/>
  <c r="G1502" i="22"/>
  <c r="G1503" i="22"/>
  <c r="G1504" i="22"/>
  <c r="G1505" i="22"/>
  <c r="G1506" i="22"/>
  <c r="G1507" i="22"/>
  <c r="G1508" i="22"/>
  <c r="G1509" i="22"/>
  <c r="G1510" i="22"/>
  <c r="G1511" i="22"/>
  <c r="G1512" i="22"/>
  <c r="G1513" i="22"/>
  <c r="G1514" i="22"/>
  <c r="G1515" i="22"/>
  <c r="G1516" i="22"/>
  <c r="G1517" i="22"/>
  <c r="G1518" i="22"/>
  <c r="G1519" i="22"/>
  <c r="G1520" i="22"/>
  <c r="G1521" i="22"/>
  <c r="G1522" i="22"/>
  <c r="G1523" i="22"/>
  <c r="G1524" i="22"/>
  <c r="G1525" i="22"/>
  <c r="G1526" i="22"/>
  <c r="G1527" i="22"/>
  <c r="G1528" i="22"/>
  <c r="G1529" i="22"/>
  <c r="G1530" i="22"/>
  <c r="G1531" i="22"/>
  <c r="G1532" i="22"/>
  <c r="G1533" i="22"/>
  <c r="G1534" i="22"/>
  <c r="G1535" i="22"/>
  <c r="G1536" i="22"/>
  <c r="G1537" i="22"/>
  <c r="G1538" i="22"/>
  <c r="G1539" i="22"/>
  <c r="G1540" i="22"/>
  <c r="G1541" i="22"/>
  <c r="G1542" i="22"/>
  <c r="G1543" i="22"/>
  <c r="G1544" i="22"/>
  <c r="G1545" i="22"/>
  <c r="G1546" i="22"/>
  <c r="G1547" i="22"/>
  <c r="G1548" i="22"/>
  <c r="G1549" i="22"/>
  <c r="G1550" i="22"/>
  <c r="G1551" i="22"/>
  <c r="G1552" i="22"/>
  <c r="G1553" i="22"/>
  <c r="G1554" i="22"/>
  <c r="G1555" i="22"/>
  <c r="G1556" i="22"/>
  <c r="G1557" i="22"/>
  <c r="G1558" i="22"/>
  <c r="G1559" i="22"/>
  <c r="G1560" i="22"/>
  <c r="G1561" i="22"/>
  <c r="G1562" i="22"/>
  <c r="G1563" i="22"/>
  <c r="G1564" i="22"/>
  <c r="G1565" i="22"/>
  <c r="G1566" i="22"/>
  <c r="G1567" i="22"/>
  <c r="G1568" i="22"/>
  <c r="G1569" i="22"/>
  <c r="G1570" i="22"/>
  <c r="G1571" i="22"/>
  <c r="G1572" i="22"/>
  <c r="G1573" i="22"/>
  <c r="G1574" i="22"/>
  <c r="G1575" i="22"/>
  <c r="G1576" i="22"/>
  <c r="G1577" i="22"/>
  <c r="G1578" i="22"/>
  <c r="G1579" i="22"/>
  <c r="G1580" i="22"/>
  <c r="G1581" i="22"/>
  <c r="G1582" i="22"/>
  <c r="G1583" i="22"/>
  <c r="G1584" i="22"/>
  <c r="G1585" i="22"/>
  <c r="G1586" i="22"/>
  <c r="G1587" i="22"/>
  <c r="G1588" i="22"/>
  <c r="G1589" i="22"/>
  <c r="G1590" i="22"/>
  <c r="G1591" i="22"/>
  <c r="G1592" i="22"/>
  <c r="G1593" i="22"/>
  <c r="G1594" i="22"/>
  <c r="G1595" i="22"/>
  <c r="G1596" i="22"/>
  <c r="G1597" i="22"/>
  <c r="G1598" i="22"/>
  <c r="G1599" i="22"/>
  <c r="G1600" i="22"/>
  <c r="G1601" i="22"/>
  <c r="G1602" i="22"/>
  <c r="G1603" i="22"/>
  <c r="G1604" i="22"/>
  <c r="G1605" i="22"/>
  <c r="G1606" i="22"/>
  <c r="G1607" i="22"/>
  <c r="G1608" i="22"/>
  <c r="G1609" i="22"/>
  <c r="G1610" i="22"/>
  <c r="G1611" i="22"/>
  <c r="G1612" i="22"/>
  <c r="G1613" i="22"/>
  <c r="G1614" i="22"/>
  <c r="G1615" i="22"/>
  <c r="G1616" i="22"/>
  <c r="G1617" i="22"/>
  <c r="G1618" i="22"/>
  <c r="G1619" i="22"/>
  <c r="G1620" i="22"/>
  <c r="G1621" i="22"/>
  <c r="G1622" i="22"/>
  <c r="G1623" i="22"/>
  <c r="G1624" i="22"/>
  <c r="G1625" i="22"/>
  <c r="G1626" i="22"/>
  <c r="G1627" i="22"/>
  <c r="G1628" i="22"/>
  <c r="G1629" i="22"/>
  <c r="G1630" i="22"/>
  <c r="G1631" i="22"/>
  <c r="G1632" i="22"/>
  <c r="G1633" i="22"/>
  <c r="G1634" i="22"/>
  <c r="G1635" i="22"/>
  <c r="G1636" i="22"/>
  <c r="G1637" i="22"/>
  <c r="G1638" i="22"/>
  <c r="G1639" i="22"/>
  <c r="G1640" i="22"/>
  <c r="G1641" i="22"/>
  <c r="G1642" i="22"/>
  <c r="G1643" i="22"/>
  <c r="G1644" i="22"/>
  <c r="G1645" i="22"/>
  <c r="G1646" i="22"/>
  <c r="G1647" i="22"/>
  <c r="G1648" i="22"/>
  <c r="G1649" i="22"/>
  <c r="G1650" i="22"/>
  <c r="G1651" i="22"/>
  <c r="G1652" i="22"/>
  <c r="G1653" i="22"/>
  <c r="G1654" i="22"/>
  <c r="G1655" i="22"/>
  <c r="G1656" i="22"/>
  <c r="G1657" i="22"/>
  <c r="G1658" i="22"/>
  <c r="G1659" i="22"/>
  <c r="G1660" i="22"/>
  <c r="G1661" i="22"/>
  <c r="G1662" i="22"/>
  <c r="G1663" i="22"/>
  <c r="G1664" i="22"/>
  <c r="G1665" i="22"/>
  <c r="G1666" i="22"/>
  <c r="G1667" i="22"/>
  <c r="G1668" i="22"/>
  <c r="G1669" i="22"/>
  <c r="G1670" i="22"/>
  <c r="G1671" i="22"/>
  <c r="G1672" i="22"/>
  <c r="G1673" i="22"/>
  <c r="G1674" i="22"/>
  <c r="G1675" i="22"/>
  <c r="G1676" i="22"/>
  <c r="G1677" i="22"/>
  <c r="G1678" i="22"/>
  <c r="G1679" i="22"/>
  <c r="G1680" i="22"/>
  <c r="G1681" i="22"/>
  <c r="G1682" i="22"/>
  <c r="G1683" i="22"/>
  <c r="G1684" i="22"/>
  <c r="G1685" i="22"/>
  <c r="G1686" i="22"/>
  <c r="G1687" i="22"/>
  <c r="G1688" i="22"/>
  <c r="G1689" i="22"/>
  <c r="G1690" i="22"/>
  <c r="G1691" i="22"/>
  <c r="G1692" i="22"/>
  <c r="G1693" i="22"/>
  <c r="G1694" i="22"/>
  <c r="G1695" i="22"/>
  <c r="G1696" i="22"/>
  <c r="G1697" i="22"/>
  <c r="G1698" i="22"/>
  <c r="G1699" i="22"/>
  <c r="G1700" i="22"/>
  <c r="G1701" i="22"/>
  <c r="G1702" i="22"/>
  <c r="G1703" i="22"/>
  <c r="G1704" i="22"/>
  <c r="G1705" i="22"/>
  <c r="G1706" i="22"/>
  <c r="G1707" i="22"/>
  <c r="G1708" i="22"/>
  <c r="G1709" i="22"/>
  <c r="G1710" i="22"/>
  <c r="G1711" i="22"/>
  <c r="G1712" i="22"/>
  <c r="G1713" i="22"/>
  <c r="G1714" i="22"/>
  <c r="G1715" i="22"/>
  <c r="G1716" i="22"/>
  <c r="G1717" i="22"/>
  <c r="G1718" i="22"/>
  <c r="G1719" i="22"/>
  <c r="G1720" i="22"/>
  <c r="G1721" i="22"/>
  <c r="G1722" i="22"/>
  <c r="G1723" i="22"/>
  <c r="G1724" i="22"/>
  <c r="G1725" i="22"/>
  <c r="G1726" i="22"/>
  <c r="G1727" i="22"/>
  <c r="G1728" i="22"/>
  <c r="G1729" i="22"/>
  <c r="G1730" i="22"/>
  <c r="G1731" i="22"/>
  <c r="G1732" i="22"/>
  <c r="G1733" i="22"/>
  <c r="G1734" i="22"/>
  <c r="G1735" i="22"/>
  <c r="G1736" i="22"/>
  <c r="G1737" i="22"/>
  <c r="G1738" i="22"/>
  <c r="G1739" i="22"/>
  <c r="G1740" i="22"/>
  <c r="G1741" i="22"/>
  <c r="G1742" i="22"/>
  <c r="G1743" i="22"/>
  <c r="G1744" i="22"/>
  <c r="G1745" i="22"/>
  <c r="G1746" i="22"/>
  <c r="G1747" i="22"/>
  <c r="G1748" i="22"/>
  <c r="G1749" i="22"/>
  <c r="G1750" i="22"/>
  <c r="G1751" i="22"/>
  <c r="G1752" i="22"/>
  <c r="G1753" i="22"/>
  <c r="G1754" i="22"/>
  <c r="G1755" i="22"/>
  <c r="G1756" i="22"/>
  <c r="G1757" i="22"/>
  <c r="G1758" i="22"/>
  <c r="G1759" i="22"/>
  <c r="G1760" i="22"/>
  <c r="G1761" i="22"/>
  <c r="G1762" i="22"/>
  <c r="G1763" i="22"/>
  <c r="G1764" i="22"/>
  <c r="G1765" i="22"/>
  <c r="G1766" i="22"/>
  <c r="G1767" i="22"/>
  <c r="G1768" i="22"/>
  <c r="G1769" i="22"/>
  <c r="G1770" i="22"/>
  <c r="G1771" i="22"/>
  <c r="G1772" i="22"/>
  <c r="G1773" i="22"/>
  <c r="G1774" i="22"/>
  <c r="G1775" i="22"/>
  <c r="G1776" i="22"/>
  <c r="G1777" i="22"/>
  <c r="G1778" i="22"/>
  <c r="G1779" i="22"/>
  <c r="G1780" i="22"/>
  <c r="G1781" i="22"/>
  <c r="G1782" i="22"/>
  <c r="G1783" i="22"/>
  <c r="G1784" i="22"/>
  <c r="G1785" i="22"/>
  <c r="G1786" i="22"/>
  <c r="G1787" i="22"/>
  <c r="G1788" i="22"/>
  <c r="G1789" i="22"/>
  <c r="G1790" i="22"/>
  <c r="G1791" i="22"/>
  <c r="G1792" i="22"/>
  <c r="G1793" i="22"/>
  <c r="G1794" i="22"/>
  <c r="G1795" i="22"/>
  <c r="G1796" i="22"/>
  <c r="G1797" i="22"/>
  <c r="G1798" i="22"/>
  <c r="G1799" i="22"/>
  <c r="G1800" i="22"/>
  <c r="G1801" i="22"/>
  <c r="G1802" i="22"/>
  <c r="G1803" i="22"/>
  <c r="G1804" i="22"/>
  <c r="G1805" i="22"/>
  <c r="G1806" i="22"/>
  <c r="G1807" i="22"/>
  <c r="G1808" i="22"/>
  <c r="G1809" i="22"/>
  <c r="G1810" i="22"/>
  <c r="G1811" i="22"/>
  <c r="G1812" i="22"/>
  <c r="G1813" i="22"/>
  <c r="G1814" i="22"/>
  <c r="G1815" i="22"/>
  <c r="G1816" i="22"/>
  <c r="G1817" i="22"/>
  <c r="G1818" i="22"/>
  <c r="G1819" i="22"/>
  <c r="G1820" i="22"/>
  <c r="G1821" i="22"/>
  <c r="G1822" i="22"/>
  <c r="G1823" i="22"/>
  <c r="G1824" i="22"/>
  <c r="G1825" i="22"/>
  <c r="G1826" i="22"/>
  <c r="G1827" i="22"/>
  <c r="G1828" i="22"/>
  <c r="G1829" i="22"/>
  <c r="G1830" i="22"/>
  <c r="G1831" i="22"/>
  <c r="G1832" i="22"/>
  <c r="G1833" i="22"/>
  <c r="G1834" i="22"/>
  <c r="G1835" i="22"/>
  <c r="G1836" i="22"/>
  <c r="G1837" i="22"/>
  <c r="G1838" i="22"/>
  <c r="G1839" i="22"/>
  <c r="G1840" i="22"/>
  <c r="G1841" i="22"/>
  <c r="G1842" i="22"/>
  <c r="G1843" i="22"/>
  <c r="G1844" i="22"/>
  <c r="G1845" i="22"/>
  <c r="G1846" i="22"/>
  <c r="G1847" i="22"/>
  <c r="G1848" i="22"/>
  <c r="G1849" i="22"/>
  <c r="G1850" i="22"/>
  <c r="G1851" i="22"/>
  <c r="G1852" i="22"/>
  <c r="G1853" i="22"/>
  <c r="G1854" i="22"/>
  <c r="G1855" i="22"/>
  <c r="G1856" i="22"/>
  <c r="G1857" i="22"/>
  <c r="G1858" i="22"/>
  <c r="G1859" i="22"/>
  <c r="G1860" i="22"/>
  <c r="G1861" i="22"/>
  <c r="G1862" i="22"/>
  <c r="G1863" i="22"/>
  <c r="G1864" i="22"/>
  <c r="G1865" i="22"/>
  <c r="G1866" i="22"/>
  <c r="G1867" i="22"/>
  <c r="G1868" i="22"/>
  <c r="G1869" i="22"/>
  <c r="G1870" i="22"/>
  <c r="G1871" i="22"/>
  <c r="G1872" i="22"/>
  <c r="G1873" i="22"/>
  <c r="G1874" i="22"/>
  <c r="G1875" i="22"/>
  <c r="G1876" i="22"/>
  <c r="G1877" i="22"/>
  <c r="G1878" i="22"/>
  <c r="G1879" i="22"/>
  <c r="G1880" i="22"/>
  <c r="G1881" i="22"/>
  <c r="G1882" i="22"/>
  <c r="G1883" i="22"/>
  <c r="G1884" i="22"/>
  <c r="G1885" i="22"/>
  <c r="G1886" i="22"/>
  <c r="G1887" i="22"/>
  <c r="G1888" i="22"/>
  <c r="G1889" i="22"/>
  <c r="G1890" i="22"/>
  <c r="G1891" i="22"/>
  <c r="G1892" i="22"/>
  <c r="G1893" i="22"/>
  <c r="G1894" i="22"/>
  <c r="G1895" i="22"/>
  <c r="G1896" i="22"/>
  <c r="G1897" i="22"/>
  <c r="G1898" i="22"/>
  <c r="G1899" i="22"/>
  <c r="G1900" i="22"/>
  <c r="G1901" i="22"/>
  <c r="G1902" i="22"/>
  <c r="G1903" i="22"/>
  <c r="G1904" i="22"/>
  <c r="G1905" i="22"/>
  <c r="G1906" i="22"/>
  <c r="G1907" i="22"/>
  <c r="G1908" i="22"/>
  <c r="G1909" i="22"/>
  <c r="G1910" i="22"/>
  <c r="G1911" i="22"/>
  <c r="G1912" i="22"/>
  <c r="G1913" i="22"/>
  <c r="G1914" i="22"/>
  <c r="G1915" i="22"/>
  <c r="G1916" i="22"/>
  <c r="G1917" i="22"/>
  <c r="G1918" i="22"/>
  <c r="G1919" i="22"/>
  <c r="G1920" i="22"/>
  <c r="G1921" i="22"/>
  <c r="G1922" i="22"/>
  <c r="G1923" i="22"/>
  <c r="G1924" i="22"/>
  <c r="G1925" i="22"/>
  <c r="G1926" i="22"/>
  <c r="G1927" i="22"/>
  <c r="G1928" i="22"/>
  <c r="G1929" i="22"/>
  <c r="G1930" i="22"/>
  <c r="G1931" i="22"/>
  <c r="G1932" i="22"/>
  <c r="G1933" i="22"/>
  <c r="G1934" i="22"/>
  <c r="G1935" i="22"/>
  <c r="G1936" i="22"/>
  <c r="G1937" i="22"/>
  <c r="G1938" i="22"/>
  <c r="G1939" i="22"/>
  <c r="G1940" i="22"/>
  <c r="G1941" i="22"/>
  <c r="G1942" i="22"/>
  <c r="G1943" i="22"/>
  <c r="G1944" i="22"/>
  <c r="G1945" i="22"/>
  <c r="G1946" i="22"/>
  <c r="G1947" i="22"/>
  <c r="G1948" i="22"/>
  <c r="G1949" i="22"/>
  <c r="G1950" i="22"/>
  <c r="G1951" i="22"/>
  <c r="G1952" i="22"/>
  <c r="G1953" i="22"/>
  <c r="G1954" i="22"/>
  <c r="G1955" i="22"/>
  <c r="G1956" i="22"/>
  <c r="G1957" i="22"/>
  <c r="G1958" i="22"/>
  <c r="G1959" i="22"/>
  <c r="G1960" i="22"/>
  <c r="G1961" i="22"/>
  <c r="G1962" i="22"/>
  <c r="G1963" i="22"/>
  <c r="G1964" i="22"/>
  <c r="G1965" i="22"/>
  <c r="G1966" i="22"/>
  <c r="G1967" i="22"/>
  <c r="G1968" i="22"/>
  <c r="G1969" i="22"/>
  <c r="G1970" i="22"/>
  <c r="G1971" i="22"/>
  <c r="G1972" i="22"/>
  <c r="G1973" i="22"/>
  <c r="G1974" i="22"/>
  <c r="G1975" i="22"/>
  <c r="G1976" i="22"/>
  <c r="G1977" i="22"/>
  <c r="G1978" i="22"/>
  <c r="G1979" i="22"/>
  <c r="G1980" i="22"/>
  <c r="G1981" i="22"/>
  <c r="G1982" i="22"/>
  <c r="G1983" i="22"/>
  <c r="G2" i="22"/>
  <c r="F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2" i="22"/>
  <c r="F73" i="22"/>
  <c r="F74" i="22"/>
  <c r="F75" i="22"/>
  <c r="F76" i="22"/>
  <c r="F77" i="22"/>
  <c r="F78" i="22"/>
  <c r="F79" i="22"/>
  <c r="F80" i="22"/>
  <c r="F81" i="22"/>
  <c r="F82" i="22"/>
  <c r="F83" i="22"/>
  <c r="F84" i="22"/>
  <c r="F85" i="22"/>
  <c r="F86" i="22"/>
  <c r="F87" i="22"/>
  <c r="F88" i="22"/>
  <c r="F89" i="22"/>
  <c r="F90" i="22"/>
  <c r="F91" i="22"/>
  <c r="F92" i="22"/>
  <c r="F93" i="22"/>
  <c r="F94" i="22"/>
  <c r="F95" i="22"/>
  <c r="F96" i="22"/>
  <c r="F97" i="22"/>
  <c r="F98" i="22"/>
  <c r="F99" i="22"/>
  <c r="F100" i="22"/>
  <c r="F101" i="22"/>
  <c r="F102" i="22"/>
  <c r="F103" i="22"/>
  <c r="F104" i="22"/>
  <c r="F105" i="22"/>
  <c r="F106" i="22"/>
  <c r="F107" i="22"/>
  <c r="F108" i="22"/>
  <c r="F109" i="22"/>
  <c r="F110" i="22"/>
  <c r="F111" i="22"/>
  <c r="F112" i="22"/>
  <c r="F113" i="22"/>
  <c r="F114" i="22"/>
  <c r="F115" i="22"/>
  <c r="F116" i="22"/>
  <c r="F117" i="22"/>
  <c r="F118" i="22"/>
  <c r="F119" i="22"/>
  <c r="F120" i="22"/>
  <c r="F121" i="22"/>
  <c r="F122" i="22"/>
  <c r="F123" i="22"/>
  <c r="F124" i="22"/>
  <c r="F125" i="22"/>
  <c r="F126" i="22"/>
  <c r="F127" i="22"/>
  <c r="F128" i="22"/>
  <c r="F129" i="22"/>
  <c r="F130" i="22"/>
  <c r="F131" i="22"/>
  <c r="F132" i="22"/>
  <c r="F133" i="22"/>
  <c r="F134" i="22"/>
  <c r="F135" i="22"/>
  <c r="F136" i="22"/>
  <c r="F137" i="22"/>
  <c r="F138" i="22"/>
  <c r="F139" i="22"/>
  <c r="F140" i="22"/>
  <c r="F141" i="22"/>
  <c r="F142" i="22"/>
  <c r="F143" i="22"/>
  <c r="F144" i="22"/>
  <c r="F145" i="22"/>
  <c r="F146" i="22"/>
  <c r="F147" i="22"/>
  <c r="F148" i="22"/>
  <c r="F149" i="22"/>
  <c r="F150" i="22"/>
  <c r="F151" i="22"/>
  <c r="F152" i="22"/>
  <c r="F153" i="22"/>
  <c r="F154" i="22"/>
  <c r="F155" i="22"/>
  <c r="F156" i="22"/>
  <c r="F157" i="22"/>
  <c r="F158" i="22"/>
  <c r="F159" i="22"/>
  <c r="F160" i="22"/>
  <c r="F161" i="22"/>
  <c r="F162" i="22"/>
  <c r="F163" i="22"/>
  <c r="F164" i="22"/>
  <c r="F165" i="22"/>
  <c r="F166" i="22"/>
  <c r="F167" i="22"/>
  <c r="F168" i="22"/>
  <c r="F169" i="22"/>
  <c r="F170" i="22"/>
  <c r="F171" i="22"/>
  <c r="F172" i="22"/>
  <c r="F173" i="22"/>
  <c r="F174" i="22"/>
  <c r="F175" i="22"/>
  <c r="F176" i="22"/>
  <c r="F177" i="22"/>
  <c r="F178" i="22"/>
  <c r="F179" i="22"/>
  <c r="F180" i="22"/>
  <c r="F181" i="22"/>
  <c r="F182" i="22"/>
  <c r="F183" i="22"/>
  <c r="F184" i="22"/>
  <c r="F185" i="22"/>
  <c r="F186" i="22"/>
  <c r="F187" i="22"/>
  <c r="F188" i="22"/>
  <c r="F189" i="22"/>
  <c r="F190" i="22"/>
  <c r="F191" i="22"/>
  <c r="F192" i="22"/>
  <c r="F193" i="22"/>
  <c r="F194" i="22"/>
  <c r="F195" i="22"/>
  <c r="F196" i="22"/>
  <c r="F197" i="22"/>
  <c r="F198" i="22"/>
  <c r="F199" i="22"/>
  <c r="F200" i="22"/>
  <c r="F201" i="22"/>
  <c r="F202" i="22"/>
  <c r="F203" i="22"/>
  <c r="F204" i="22"/>
  <c r="F205" i="22"/>
  <c r="F206" i="22"/>
  <c r="F207" i="22"/>
  <c r="F208" i="22"/>
  <c r="F209" i="22"/>
  <c r="F210" i="22"/>
  <c r="F211" i="22"/>
  <c r="F212" i="22"/>
  <c r="F213" i="22"/>
  <c r="F214" i="22"/>
  <c r="F215" i="22"/>
  <c r="F216" i="22"/>
  <c r="F217" i="22"/>
  <c r="F218" i="22"/>
  <c r="F219" i="22"/>
  <c r="F220" i="22"/>
  <c r="F221" i="22"/>
  <c r="F222" i="22"/>
  <c r="F223" i="22"/>
  <c r="F224" i="22"/>
  <c r="F225" i="22"/>
  <c r="F226" i="22"/>
  <c r="F227" i="22"/>
  <c r="F228" i="22"/>
  <c r="F229" i="22"/>
  <c r="F230" i="22"/>
  <c r="F231" i="22"/>
  <c r="F232" i="22"/>
  <c r="F233" i="22"/>
  <c r="F234" i="22"/>
  <c r="F235" i="22"/>
  <c r="F236" i="22"/>
  <c r="F237" i="22"/>
  <c r="F238" i="22"/>
  <c r="F239" i="22"/>
  <c r="F240" i="22"/>
  <c r="F241" i="22"/>
  <c r="F242" i="22"/>
  <c r="F243" i="22"/>
  <c r="F244" i="22"/>
  <c r="F245" i="22"/>
  <c r="F246" i="22"/>
  <c r="F247" i="22"/>
  <c r="F248" i="22"/>
  <c r="F249" i="22"/>
  <c r="F250" i="22"/>
  <c r="F251" i="22"/>
  <c r="F252" i="22"/>
  <c r="F253" i="22"/>
  <c r="F254" i="22"/>
  <c r="F255" i="22"/>
  <c r="F256" i="22"/>
  <c r="F257" i="22"/>
  <c r="F258" i="22"/>
  <c r="F259" i="22"/>
  <c r="F260" i="22"/>
  <c r="F261" i="22"/>
  <c r="F262" i="22"/>
  <c r="F263" i="22"/>
  <c r="F264" i="22"/>
  <c r="F265" i="22"/>
  <c r="F266" i="22"/>
  <c r="F267" i="22"/>
  <c r="F268" i="22"/>
  <c r="F269" i="22"/>
  <c r="F270" i="22"/>
  <c r="F271" i="22"/>
  <c r="F272" i="22"/>
  <c r="F273" i="22"/>
  <c r="F274" i="22"/>
  <c r="F275" i="22"/>
  <c r="F276" i="22"/>
  <c r="F277" i="22"/>
  <c r="F278" i="22"/>
  <c r="F279" i="22"/>
  <c r="F280" i="22"/>
  <c r="F281" i="22"/>
  <c r="F282" i="22"/>
  <c r="F283" i="22"/>
  <c r="F284" i="22"/>
  <c r="F285" i="22"/>
  <c r="F286" i="22"/>
  <c r="F287" i="22"/>
  <c r="F288" i="22"/>
  <c r="F289" i="22"/>
  <c r="F290" i="22"/>
  <c r="F291" i="22"/>
  <c r="F292" i="22"/>
  <c r="F293" i="22"/>
  <c r="F294" i="22"/>
  <c r="F295" i="22"/>
  <c r="F296" i="22"/>
  <c r="F297" i="22"/>
  <c r="F298" i="22"/>
  <c r="F299" i="22"/>
  <c r="F300" i="22"/>
  <c r="F301" i="22"/>
  <c r="F302" i="22"/>
  <c r="F303" i="22"/>
  <c r="F304" i="22"/>
  <c r="F305" i="22"/>
  <c r="F306" i="22"/>
  <c r="F307" i="22"/>
  <c r="F308" i="22"/>
  <c r="F309" i="22"/>
  <c r="F310" i="22"/>
  <c r="F311" i="22"/>
  <c r="F312" i="22"/>
  <c r="F313" i="22"/>
  <c r="F314" i="22"/>
  <c r="F315" i="22"/>
  <c r="F316" i="22"/>
  <c r="F317" i="22"/>
  <c r="F318" i="22"/>
  <c r="F319" i="22"/>
  <c r="F320" i="22"/>
  <c r="F321" i="22"/>
  <c r="F322" i="22"/>
  <c r="F323" i="22"/>
  <c r="F324" i="22"/>
  <c r="F325" i="22"/>
  <c r="F326" i="22"/>
  <c r="F327" i="22"/>
  <c r="F328" i="22"/>
  <c r="F329" i="22"/>
  <c r="F330" i="22"/>
  <c r="F331" i="22"/>
  <c r="F332" i="22"/>
  <c r="F333" i="22"/>
  <c r="F334" i="22"/>
  <c r="F335" i="22"/>
  <c r="F336" i="22"/>
  <c r="F337" i="22"/>
  <c r="F338" i="22"/>
  <c r="F339" i="22"/>
  <c r="F340" i="22"/>
  <c r="F341" i="22"/>
  <c r="F342" i="22"/>
  <c r="F343" i="22"/>
  <c r="F344" i="22"/>
  <c r="F345" i="22"/>
  <c r="F346" i="22"/>
  <c r="F347" i="22"/>
  <c r="F348" i="22"/>
  <c r="F349" i="22"/>
  <c r="F350" i="22"/>
  <c r="F351" i="22"/>
  <c r="F352" i="22"/>
  <c r="F353" i="22"/>
  <c r="F354" i="22"/>
  <c r="F355" i="22"/>
  <c r="F356" i="22"/>
  <c r="F357" i="22"/>
  <c r="F358" i="22"/>
  <c r="F359" i="22"/>
  <c r="F360" i="22"/>
  <c r="F361" i="22"/>
  <c r="F362" i="22"/>
  <c r="F363" i="22"/>
  <c r="F364" i="22"/>
  <c r="F365" i="22"/>
  <c r="F366" i="22"/>
  <c r="F367" i="22"/>
  <c r="F368" i="22"/>
  <c r="F369" i="22"/>
  <c r="F370" i="22"/>
  <c r="F371" i="22"/>
  <c r="F372" i="22"/>
  <c r="F373" i="22"/>
  <c r="F374" i="22"/>
  <c r="F375" i="22"/>
  <c r="F376" i="22"/>
  <c r="F377" i="22"/>
  <c r="F378" i="22"/>
  <c r="F379" i="22"/>
  <c r="F380" i="22"/>
  <c r="F381" i="22"/>
  <c r="F382" i="22"/>
  <c r="F383" i="22"/>
  <c r="F384" i="22"/>
  <c r="F385" i="22"/>
  <c r="F386" i="22"/>
  <c r="F387" i="22"/>
  <c r="F388" i="22"/>
  <c r="F389" i="22"/>
  <c r="F390" i="22"/>
  <c r="F391" i="22"/>
  <c r="F392" i="22"/>
  <c r="F393" i="22"/>
  <c r="F394" i="22"/>
  <c r="F395" i="22"/>
  <c r="F396" i="22"/>
  <c r="F397" i="22"/>
  <c r="F398" i="22"/>
  <c r="F399" i="22"/>
  <c r="F400" i="22"/>
  <c r="F401" i="22"/>
  <c r="F402" i="22"/>
  <c r="F403" i="22"/>
  <c r="F404" i="22"/>
  <c r="F405" i="22"/>
  <c r="F406" i="22"/>
  <c r="F407" i="22"/>
  <c r="F408" i="22"/>
  <c r="F409" i="22"/>
  <c r="F410" i="22"/>
  <c r="F411" i="22"/>
  <c r="F412" i="22"/>
  <c r="F413" i="22"/>
  <c r="F414" i="22"/>
  <c r="F415" i="22"/>
  <c r="F416" i="22"/>
  <c r="F417" i="22"/>
  <c r="F418" i="22"/>
  <c r="F419" i="22"/>
  <c r="F420" i="22"/>
  <c r="F421" i="22"/>
  <c r="F422" i="22"/>
  <c r="F423" i="22"/>
  <c r="F424" i="22"/>
  <c r="F425" i="22"/>
  <c r="F426" i="22"/>
  <c r="F427" i="22"/>
  <c r="F428" i="22"/>
  <c r="F429" i="22"/>
  <c r="F430" i="22"/>
  <c r="F431" i="22"/>
  <c r="F432" i="22"/>
  <c r="F433" i="22"/>
  <c r="F434" i="22"/>
  <c r="F435" i="22"/>
  <c r="F436" i="22"/>
  <c r="F437" i="22"/>
  <c r="F438" i="22"/>
  <c r="F439" i="22"/>
  <c r="F440" i="22"/>
  <c r="F441" i="22"/>
  <c r="F442" i="22"/>
  <c r="F443" i="22"/>
  <c r="F444" i="22"/>
  <c r="F445" i="22"/>
  <c r="F446" i="22"/>
  <c r="F447" i="22"/>
  <c r="F448" i="22"/>
  <c r="F449" i="22"/>
  <c r="F450" i="22"/>
  <c r="F451" i="22"/>
  <c r="F452" i="22"/>
  <c r="F453" i="22"/>
  <c r="F454" i="22"/>
  <c r="F455" i="22"/>
  <c r="F456" i="22"/>
  <c r="F457" i="22"/>
  <c r="F458" i="22"/>
  <c r="F459" i="22"/>
  <c r="F460" i="22"/>
  <c r="F461" i="22"/>
  <c r="F462" i="22"/>
  <c r="F463" i="22"/>
  <c r="F464" i="22"/>
  <c r="F465" i="22"/>
  <c r="F466" i="22"/>
  <c r="F467" i="22"/>
  <c r="F468" i="22"/>
  <c r="F469" i="22"/>
  <c r="F470" i="22"/>
  <c r="F471" i="22"/>
  <c r="F472" i="22"/>
  <c r="F473" i="22"/>
  <c r="F474" i="22"/>
  <c r="F475" i="22"/>
  <c r="F476" i="22"/>
  <c r="F477" i="22"/>
  <c r="F478" i="22"/>
  <c r="F479" i="22"/>
  <c r="F480" i="22"/>
  <c r="F481" i="22"/>
  <c r="F482" i="22"/>
  <c r="F483" i="22"/>
  <c r="F484" i="22"/>
  <c r="F485" i="22"/>
  <c r="F486" i="22"/>
  <c r="F487" i="22"/>
  <c r="F488" i="22"/>
  <c r="F489" i="22"/>
  <c r="F490" i="22"/>
  <c r="F491" i="22"/>
  <c r="F492" i="22"/>
  <c r="F493" i="22"/>
  <c r="F494" i="22"/>
  <c r="F495" i="22"/>
  <c r="F496" i="22"/>
  <c r="F497" i="22"/>
  <c r="F498" i="22"/>
  <c r="F499" i="22"/>
  <c r="F500" i="22"/>
  <c r="F501" i="22"/>
  <c r="F502" i="22"/>
  <c r="F503" i="22"/>
  <c r="F504" i="22"/>
  <c r="F505" i="22"/>
  <c r="F506" i="22"/>
  <c r="F507" i="22"/>
  <c r="F508" i="22"/>
  <c r="F509" i="22"/>
  <c r="F510" i="22"/>
  <c r="F511" i="22"/>
  <c r="F512" i="22"/>
  <c r="F513" i="22"/>
  <c r="F514" i="22"/>
  <c r="F515" i="22"/>
  <c r="F516" i="22"/>
  <c r="F517" i="22"/>
  <c r="F518" i="22"/>
  <c r="F519" i="22"/>
  <c r="F520" i="22"/>
  <c r="F521" i="22"/>
  <c r="F522" i="22"/>
  <c r="F523" i="22"/>
  <c r="F524" i="22"/>
  <c r="F525" i="22"/>
  <c r="F526" i="22"/>
  <c r="F527" i="22"/>
  <c r="F528" i="22"/>
  <c r="F529" i="22"/>
  <c r="F530" i="22"/>
  <c r="F531" i="22"/>
  <c r="F532" i="22"/>
  <c r="F533" i="22"/>
  <c r="F534" i="22"/>
  <c r="F535" i="22"/>
  <c r="F536" i="22"/>
  <c r="F537" i="22"/>
  <c r="F538" i="22"/>
  <c r="F539" i="22"/>
  <c r="F540" i="22"/>
  <c r="F541" i="22"/>
  <c r="F542" i="22"/>
  <c r="F543" i="22"/>
  <c r="F544" i="22"/>
  <c r="F545" i="22"/>
  <c r="F546" i="22"/>
  <c r="F547" i="22"/>
  <c r="F548" i="22"/>
  <c r="F549" i="22"/>
  <c r="F550" i="22"/>
  <c r="F551" i="22"/>
  <c r="F552" i="22"/>
  <c r="F553" i="22"/>
  <c r="F554" i="22"/>
  <c r="F555" i="22"/>
  <c r="F556" i="22"/>
  <c r="F557" i="22"/>
  <c r="F558" i="22"/>
  <c r="F559" i="22"/>
  <c r="F560" i="22"/>
  <c r="F561" i="22"/>
  <c r="F562" i="22"/>
  <c r="F563" i="22"/>
  <c r="F564" i="22"/>
  <c r="F565" i="22"/>
  <c r="F566" i="22"/>
  <c r="F567" i="22"/>
  <c r="F568" i="22"/>
  <c r="F569" i="22"/>
  <c r="F570" i="22"/>
  <c r="F571" i="22"/>
  <c r="F572" i="22"/>
  <c r="F573" i="22"/>
  <c r="F574" i="22"/>
  <c r="F575" i="22"/>
  <c r="F576" i="22"/>
  <c r="F577" i="22"/>
  <c r="F578" i="22"/>
  <c r="F579" i="22"/>
  <c r="F580" i="22"/>
  <c r="F581" i="22"/>
  <c r="F582" i="22"/>
  <c r="F583" i="22"/>
  <c r="F584" i="22"/>
  <c r="F585" i="22"/>
  <c r="F586" i="22"/>
  <c r="F587" i="22"/>
  <c r="F588" i="22"/>
  <c r="F589" i="22"/>
  <c r="F590" i="22"/>
  <c r="F591" i="22"/>
  <c r="F592" i="22"/>
  <c r="F593" i="22"/>
  <c r="F594" i="22"/>
  <c r="F595" i="22"/>
  <c r="F596" i="22"/>
  <c r="F597" i="22"/>
  <c r="F598" i="22"/>
  <c r="F599" i="22"/>
  <c r="F600" i="22"/>
  <c r="F601" i="22"/>
  <c r="F602" i="22"/>
  <c r="F603" i="22"/>
  <c r="F604" i="22"/>
  <c r="F605" i="22"/>
  <c r="F606" i="22"/>
  <c r="F607" i="22"/>
  <c r="F608" i="22"/>
  <c r="F609" i="22"/>
  <c r="F610" i="22"/>
  <c r="F611" i="22"/>
  <c r="F612" i="22"/>
  <c r="F613" i="22"/>
  <c r="F614" i="22"/>
  <c r="F615" i="22"/>
  <c r="F616" i="22"/>
  <c r="F617" i="22"/>
  <c r="F618" i="22"/>
  <c r="F619" i="22"/>
  <c r="F620" i="22"/>
  <c r="F621" i="22"/>
  <c r="F622" i="22"/>
  <c r="F623" i="22"/>
  <c r="F624" i="22"/>
  <c r="F625" i="22"/>
  <c r="F626" i="22"/>
  <c r="F627" i="22"/>
  <c r="F628" i="22"/>
  <c r="F629" i="22"/>
  <c r="F630" i="22"/>
  <c r="F631" i="22"/>
  <c r="F632" i="22"/>
  <c r="F633" i="22"/>
  <c r="F634" i="22"/>
  <c r="F635" i="22"/>
  <c r="F636" i="22"/>
  <c r="F637" i="22"/>
  <c r="F638" i="22"/>
  <c r="F639" i="22"/>
  <c r="F640" i="22"/>
  <c r="F641" i="22"/>
  <c r="F642" i="22"/>
  <c r="F643" i="22"/>
  <c r="F644" i="22"/>
  <c r="F645" i="22"/>
  <c r="F646" i="22"/>
  <c r="F647" i="22"/>
  <c r="F648" i="22"/>
  <c r="F649" i="22"/>
  <c r="F650" i="22"/>
  <c r="F651" i="22"/>
  <c r="F652" i="22"/>
  <c r="F653" i="22"/>
  <c r="F654" i="22"/>
  <c r="F655" i="22"/>
  <c r="F656" i="22"/>
  <c r="F657" i="22"/>
  <c r="F658" i="22"/>
  <c r="F659" i="22"/>
  <c r="F660" i="22"/>
  <c r="F661" i="22"/>
  <c r="F662" i="22"/>
  <c r="F663" i="22"/>
  <c r="F664" i="22"/>
  <c r="F665" i="22"/>
  <c r="F666" i="22"/>
  <c r="F667" i="22"/>
  <c r="F668" i="22"/>
  <c r="F669" i="22"/>
  <c r="F670" i="22"/>
  <c r="F671" i="22"/>
  <c r="F672" i="22"/>
  <c r="F673" i="22"/>
  <c r="F674" i="22"/>
  <c r="F675" i="22"/>
  <c r="F676" i="22"/>
  <c r="F677" i="22"/>
  <c r="F678" i="22"/>
  <c r="F679" i="22"/>
  <c r="F680" i="22"/>
  <c r="F681" i="22"/>
  <c r="F682" i="22"/>
  <c r="F683" i="22"/>
  <c r="F684" i="22"/>
  <c r="F685" i="22"/>
  <c r="F686" i="22"/>
  <c r="F687" i="22"/>
  <c r="F688" i="22"/>
  <c r="F689" i="22"/>
  <c r="F690" i="22"/>
  <c r="F691" i="22"/>
  <c r="F692" i="22"/>
  <c r="F693" i="22"/>
  <c r="F694" i="22"/>
  <c r="F695" i="22"/>
  <c r="F696" i="22"/>
  <c r="F697" i="22"/>
  <c r="F698" i="22"/>
  <c r="F699" i="22"/>
  <c r="F700" i="22"/>
  <c r="F701" i="22"/>
  <c r="F702" i="22"/>
  <c r="F703" i="22"/>
  <c r="F704" i="22"/>
  <c r="F705" i="22"/>
  <c r="F706" i="22"/>
  <c r="F707" i="22"/>
  <c r="F708" i="22"/>
  <c r="F709" i="22"/>
  <c r="F710" i="22"/>
  <c r="F711" i="22"/>
  <c r="F712" i="22"/>
  <c r="F713" i="22"/>
  <c r="F714" i="22"/>
  <c r="F715" i="22"/>
  <c r="F716" i="22"/>
  <c r="F717" i="22"/>
  <c r="F718" i="22"/>
  <c r="F719" i="22"/>
  <c r="F720" i="22"/>
  <c r="F721" i="22"/>
  <c r="F722" i="22"/>
  <c r="F723" i="22"/>
  <c r="F724" i="22"/>
  <c r="F725" i="22"/>
  <c r="F726" i="22"/>
  <c r="F727" i="22"/>
  <c r="F728" i="22"/>
  <c r="F729" i="22"/>
  <c r="F730" i="22"/>
  <c r="F731" i="22"/>
  <c r="F732" i="22"/>
  <c r="F733" i="22"/>
  <c r="F734" i="22"/>
  <c r="F735" i="22"/>
  <c r="F736" i="22"/>
  <c r="F737" i="22"/>
  <c r="F738" i="22"/>
  <c r="F739" i="22"/>
  <c r="F740" i="22"/>
  <c r="F741" i="22"/>
  <c r="F742" i="22"/>
  <c r="F743" i="22"/>
  <c r="F744" i="22"/>
  <c r="F745" i="22"/>
  <c r="F746" i="22"/>
  <c r="F747" i="22"/>
  <c r="F748" i="22"/>
  <c r="F749" i="22"/>
  <c r="F750" i="22"/>
  <c r="F751" i="22"/>
  <c r="F752" i="22"/>
  <c r="F753" i="22"/>
  <c r="F754" i="22"/>
  <c r="F755" i="22"/>
  <c r="F756" i="22"/>
  <c r="F757" i="22"/>
  <c r="F758" i="22"/>
  <c r="F759" i="22"/>
  <c r="F760" i="22"/>
  <c r="F761" i="22"/>
  <c r="F762" i="22"/>
  <c r="F763" i="22"/>
  <c r="F764" i="22"/>
  <c r="F765" i="22"/>
  <c r="F766" i="22"/>
  <c r="F767" i="22"/>
  <c r="F768" i="22"/>
  <c r="F769" i="22"/>
  <c r="F770" i="22"/>
  <c r="F771" i="22"/>
  <c r="F772" i="22"/>
  <c r="F773" i="22"/>
  <c r="F774" i="22"/>
  <c r="F775" i="22"/>
  <c r="F776" i="22"/>
  <c r="F777" i="22"/>
  <c r="F778" i="22"/>
  <c r="F779" i="22"/>
  <c r="F780" i="22"/>
  <c r="F781" i="22"/>
  <c r="F782" i="22"/>
  <c r="F783" i="22"/>
  <c r="F784" i="22"/>
  <c r="F785" i="22"/>
  <c r="F786" i="22"/>
  <c r="F787" i="22"/>
  <c r="F788" i="22"/>
  <c r="F789" i="22"/>
  <c r="F790" i="22"/>
  <c r="F791" i="22"/>
  <c r="F792" i="22"/>
  <c r="F793" i="22"/>
  <c r="F794" i="22"/>
  <c r="F795" i="22"/>
  <c r="F796" i="22"/>
  <c r="F797" i="22"/>
  <c r="F798" i="22"/>
  <c r="F799" i="22"/>
  <c r="F800" i="22"/>
  <c r="F801" i="22"/>
  <c r="F802" i="22"/>
  <c r="F803" i="22"/>
  <c r="F804" i="22"/>
  <c r="F805" i="22"/>
  <c r="F806" i="22"/>
  <c r="F807" i="22"/>
  <c r="F808" i="22"/>
  <c r="F809" i="22"/>
  <c r="F810" i="22"/>
  <c r="F811" i="22"/>
  <c r="F812" i="22"/>
  <c r="F813" i="22"/>
  <c r="F814" i="22"/>
  <c r="F815" i="22"/>
  <c r="F816" i="22"/>
  <c r="F817" i="22"/>
  <c r="F818" i="22"/>
  <c r="F819" i="22"/>
  <c r="F820" i="22"/>
  <c r="F821" i="22"/>
  <c r="F822" i="22"/>
  <c r="F823" i="22"/>
  <c r="F824" i="22"/>
  <c r="F825" i="22"/>
  <c r="F826" i="22"/>
  <c r="F827" i="22"/>
  <c r="F828" i="22"/>
  <c r="F829" i="22"/>
  <c r="F830" i="22"/>
  <c r="F831" i="22"/>
  <c r="F832" i="22"/>
  <c r="F833" i="22"/>
  <c r="F834" i="22"/>
  <c r="F835" i="22"/>
  <c r="F836" i="22"/>
  <c r="F837" i="22"/>
  <c r="F838" i="22"/>
  <c r="F839" i="22"/>
  <c r="F840" i="22"/>
  <c r="F841" i="22"/>
  <c r="F842" i="22"/>
  <c r="F843" i="22"/>
  <c r="F844" i="22"/>
  <c r="F845" i="22"/>
  <c r="F846" i="22"/>
  <c r="F847" i="22"/>
  <c r="F848" i="22"/>
  <c r="F849" i="22"/>
  <c r="F850" i="22"/>
  <c r="F851" i="22"/>
  <c r="F852" i="22"/>
  <c r="F853" i="22"/>
  <c r="F854" i="22"/>
  <c r="F855" i="22"/>
  <c r="F856" i="22"/>
  <c r="F857" i="22"/>
  <c r="F858" i="22"/>
  <c r="F859" i="22"/>
  <c r="F860" i="22"/>
  <c r="F861" i="22"/>
  <c r="F862" i="22"/>
  <c r="F863" i="22"/>
  <c r="F864" i="22"/>
  <c r="F865" i="22"/>
  <c r="F866" i="22"/>
  <c r="F867" i="22"/>
  <c r="F868" i="22"/>
  <c r="F869" i="22"/>
  <c r="F870" i="22"/>
  <c r="F871" i="22"/>
  <c r="F872" i="22"/>
  <c r="F873" i="22"/>
  <c r="F874" i="22"/>
  <c r="F875" i="22"/>
  <c r="F876" i="22"/>
  <c r="F877" i="22"/>
  <c r="F878" i="22"/>
  <c r="F879" i="22"/>
  <c r="F880" i="22"/>
  <c r="F881" i="22"/>
  <c r="F882" i="22"/>
  <c r="F883" i="22"/>
  <c r="F884" i="22"/>
  <c r="F885" i="22"/>
  <c r="F886" i="22"/>
  <c r="F887" i="22"/>
  <c r="F888" i="22"/>
  <c r="F889" i="22"/>
  <c r="F890" i="22"/>
  <c r="F891" i="22"/>
  <c r="F892" i="22"/>
  <c r="F893" i="22"/>
  <c r="F894" i="22"/>
  <c r="F895" i="22"/>
  <c r="F896" i="22"/>
  <c r="F897" i="22"/>
  <c r="F898" i="22"/>
  <c r="F899" i="22"/>
  <c r="F900" i="22"/>
  <c r="F901" i="22"/>
  <c r="F902" i="22"/>
  <c r="F903" i="22"/>
  <c r="F904" i="22"/>
  <c r="F905" i="22"/>
  <c r="F906" i="22"/>
  <c r="F907" i="22"/>
  <c r="F908" i="22"/>
  <c r="F909" i="22"/>
  <c r="F910" i="22"/>
  <c r="F911" i="22"/>
  <c r="F912" i="22"/>
  <c r="F913" i="22"/>
  <c r="F914" i="22"/>
  <c r="F915" i="22"/>
  <c r="F916" i="22"/>
  <c r="F917" i="22"/>
  <c r="F918" i="22"/>
  <c r="F919" i="22"/>
  <c r="F920" i="22"/>
  <c r="F921" i="22"/>
  <c r="F922" i="22"/>
  <c r="F923" i="22"/>
  <c r="F924" i="22"/>
  <c r="F925" i="22"/>
  <c r="F926" i="22"/>
  <c r="F927" i="22"/>
  <c r="F928" i="22"/>
  <c r="F929" i="22"/>
  <c r="F930" i="22"/>
  <c r="F931" i="22"/>
  <c r="F932" i="22"/>
  <c r="F933" i="22"/>
  <c r="F934" i="22"/>
  <c r="F935" i="22"/>
  <c r="F936" i="22"/>
  <c r="F937" i="22"/>
  <c r="F938" i="22"/>
  <c r="F939" i="22"/>
  <c r="F940" i="22"/>
  <c r="F941" i="22"/>
  <c r="F942" i="22"/>
  <c r="F943" i="22"/>
  <c r="F944" i="22"/>
  <c r="F945" i="22"/>
  <c r="F946" i="22"/>
  <c r="F947" i="22"/>
  <c r="F948" i="22"/>
  <c r="F949" i="22"/>
  <c r="F950" i="22"/>
  <c r="F951" i="22"/>
  <c r="F952" i="22"/>
  <c r="F953" i="22"/>
  <c r="F954" i="22"/>
  <c r="F955" i="22"/>
  <c r="F956" i="22"/>
  <c r="F957" i="22"/>
  <c r="F958" i="22"/>
  <c r="F959" i="22"/>
  <c r="F960" i="22"/>
  <c r="F961" i="22"/>
  <c r="F962" i="22"/>
  <c r="F963" i="22"/>
  <c r="F964" i="22"/>
  <c r="F965" i="22"/>
  <c r="F966" i="22"/>
  <c r="F967" i="22"/>
  <c r="F968" i="22"/>
  <c r="F969" i="22"/>
  <c r="F970" i="22"/>
  <c r="F971" i="22"/>
  <c r="F972" i="22"/>
  <c r="F973" i="22"/>
  <c r="F974" i="22"/>
  <c r="F975" i="22"/>
  <c r="F976" i="22"/>
  <c r="F977" i="22"/>
  <c r="F978" i="22"/>
  <c r="F979" i="22"/>
  <c r="F980" i="22"/>
  <c r="F981" i="22"/>
  <c r="F982" i="22"/>
  <c r="F983" i="22"/>
  <c r="F984" i="22"/>
  <c r="F985" i="22"/>
  <c r="F986" i="22"/>
  <c r="F987" i="22"/>
  <c r="F988" i="22"/>
  <c r="F989" i="22"/>
  <c r="F990" i="22"/>
  <c r="F991" i="22"/>
  <c r="F992" i="22"/>
  <c r="F993" i="22"/>
  <c r="F994" i="22"/>
  <c r="F995" i="22"/>
  <c r="F996" i="22"/>
  <c r="F997" i="22"/>
  <c r="F998" i="22"/>
  <c r="F999" i="22"/>
  <c r="F1000" i="22"/>
  <c r="F1001" i="22"/>
  <c r="F1002" i="22"/>
  <c r="F1003" i="22"/>
  <c r="F1004" i="22"/>
  <c r="F1005" i="22"/>
  <c r="F1006" i="22"/>
  <c r="F1007" i="22"/>
  <c r="F1008" i="22"/>
  <c r="F1009" i="22"/>
  <c r="F1010" i="22"/>
  <c r="F1011" i="22"/>
  <c r="F1012" i="22"/>
  <c r="F1013" i="22"/>
  <c r="F1014" i="22"/>
  <c r="F1015" i="22"/>
  <c r="F1016" i="22"/>
  <c r="F1017" i="22"/>
  <c r="F1018" i="22"/>
  <c r="F1019" i="22"/>
  <c r="F1020" i="22"/>
  <c r="F1021" i="22"/>
  <c r="F1022" i="22"/>
  <c r="F1023" i="22"/>
  <c r="F1024" i="22"/>
  <c r="F1025" i="22"/>
  <c r="F1026" i="22"/>
  <c r="F1027" i="22"/>
  <c r="F1028" i="22"/>
  <c r="F1029" i="22"/>
  <c r="F1030" i="22"/>
  <c r="F1031" i="22"/>
  <c r="F1032" i="22"/>
  <c r="F1033" i="22"/>
  <c r="F1034" i="22"/>
  <c r="F1035" i="22"/>
  <c r="F1036" i="22"/>
  <c r="F1037" i="22"/>
  <c r="F1038" i="22"/>
  <c r="F1039" i="22"/>
  <c r="F1040" i="22"/>
  <c r="F1041" i="22"/>
  <c r="F1042" i="22"/>
  <c r="F1043" i="22"/>
  <c r="F1044" i="22"/>
  <c r="F1045" i="22"/>
  <c r="F1046" i="22"/>
  <c r="F1047" i="22"/>
  <c r="F1048" i="22"/>
  <c r="F1049" i="22"/>
  <c r="F1050" i="22"/>
  <c r="F1051" i="22"/>
  <c r="F1052" i="22"/>
  <c r="F1053" i="22"/>
  <c r="F1054" i="22"/>
  <c r="F1055" i="22"/>
  <c r="F1056" i="22"/>
  <c r="F1057" i="22"/>
  <c r="F1058" i="22"/>
  <c r="F1059" i="22"/>
  <c r="F1060" i="22"/>
  <c r="F1061" i="22"/>
  <c r="F1062" i="22"/>
  <c r="F1063" i="22"/>
  <c r="F1064" i="22"/>
  <c r="F1065" i="22"/>
  <c r="F1066" i="22"/>
  <c r="F1067" i="22"/>
  <c r="F1068" i="22"/>
  <c r="F1069" i="22"/>
  <c r="F1070" i="22"/>
  <c r="F1071" i="22"/>
  <c r="F1072" i="22"/>
  <c r="F1073" i="22"/>
  <c r="F1074" i="22"/>
  <c r="F1075" i="22"/>
  <c r="F1076" i="22"/>
  <c r="F1077" i="22"/>
  <c r="F1078" i="22"/>
  <c r="F1079" i="22"/>
  <c r="F1080" i="22"/>
  <c r="F1081" i="22"/>
  <c r="F1082" i="22"/>
  <c r="F1083" i="22"/>
  <c r="F1084" i="22"/>
  <c r="F1085" i="22"/>
  <c r="F1086" i="22"/>
  <c r="F1087" i="22"/>
  <c r="F1088" i="22"/>
  <c r="F1089" i="22"/>
  <c r="F1090" i="22"/>
  <c r="F1091" i="22"/>
  <c r="F1092" i="22"/>
  <c r="F1093" i="22"/>
  <c r="F1094" i="22"/>
  <c r="F1095" i="22"/>
  <c r="F1096" i="22"/>
  <c r="F1097" i="22"/>
  <c r="F1098" i="22"/>
  <c r="F1099" i="22"/>
  <c r="F1100" i="22"/>
  <c r="F1101" i="22"/>
  <c r="F1102" i="22"/>
  <c r="F1103" i="22"/>
  <c r="F1104" i="22"/>
  <c r="F1105" i="22"/>
  <c r="F1106" i="22"/>
  <c r="F1107" i="22"/>
  <c r="F1108" i="22"/>
  <c r="F1109" i="22"/>
  <c r="F1110" i="22"/>
  <c r="F1111" i="22"/>
  <c r="F1112" i="22"/>
  <c r="F1113" i="22"/>
  <c r="F1114" i="22"/>
  <c r="F1115" i="22"/>
  <c r="F1116" i="22"/>
  <c r="F1117" i="22"/>
  <c r="F1118" i="22"/>
  <c r="F1119" i="22"/>
  <c r="F1120" i="22"/>
  <c r="F1121" i="22"/>
  <c r="F1122" i="22"/>
  <c r="F1123" i="22"/>
  <c r="F1124" i="22"/>
  <c r="F1125" i="22"/>
  <c r="F1126" i="22"/>
  <c r="F1127" i="22"/>
  <c r="F1128" i="22"/>
  <c r="F1129" i="22"/>
  <c r="F1130" i="22"/>
  <c r="F1131" i="22"/>
  <c r="F1132" i="22"/>
  <c r="F1133" i="22"/>
  <c r="F1134" i="22"/>
  <c r="F1135" i="22"/>
  <c r="F1136" i="22"/>
  <c r="F1137" i="22"/>
  <c r="F1138" i="22"/>
  <c r="F1139" i="22"/>
  <c r="F1140" i="22"/>
  <c r="F1141" i="22"/>
  <c r="F1142" i="22"/>
  <c r="F1143" i="22"/>
  <c r="F1144" i="22"/>
  <c r="F1145" i="22"/>
  <c r="F1146" i="22"/>
  <c r="F1147" i="22"/>
  <c r="F1148" i="22"/>
  <c r="F1149" i="22"/>
  <c r="F1150" i="22"/>
  <c r="F1151" i="22"/>
  <c r="F1152" i="22"/>
  <c r="F1153" i="22"/>
  <c r="F1154" i="22"/>
  <c r="F1155" i="22"/>
  <c r="F1156" i="22"/>
  <c r="F1157" i="22"/>
  <c r="F1158" i="22"/>
  <c r="F1159" i="22"/>
  <c r="F1160" i="22"/>
  <c r="F1161" i="22"/>
  <c r="F1162" i="22"/>
  <c r="F1163" i="22"/>
  <c r="F1164" i="22"/>
  <c r="F1165" i="22"/>
  <c r="F1166" i="22"/>
  <c r="F1167" i="22"/>
  <c r="F1168" i="22"/>
  <c r="F1169" i="22"/>
  <c r="F1170" i="22"/>
  <c r="F1171" i="22"/>
  <c r="F1172" i="22"/>
  <c r="F1173" i="22"/>
  <c r="F1174" i="22"/>
  <c r="F1175" i="22"/>
  <c r="F1176" i="22"/>
  <c r="F1177" i="22"/>
  <c r="F1178" i="22"/>
  <c r="F1179" i="22"/>
  <c r="F1180" i="22"/>
  <c r="F1181" i="22"/>
  <c r="F1182" i="22"/>
  <c r="F1183" i="22"/>
  <c r="F1184" i="22"/>
  <c r="F1185" i="22"/>
  <c r="F1186" i="22"/>
  <c r="F1187" i="22"/>
  <c r="F1188" i="22"/>
  <c r="F1189" i="22"/>
  <c r="F1190" i="22"/>
  <c r="F1191" i="22"/>
  <c r="F1192" i="22"/>
  <c r="F1193" i="22"/>
  <c r="F1194" i="22"/>
  <c r="F1195" i="22"/>
  <c r="F1196" i="22"/>
  <c r="F1197" i="22"/>
  <c r="F1198" i="22"/>
  <c r="F1199" i="22"/>
  <c r="F1200" i="22"/>
  <c r="F1201" i="22"/>
  <c r="F1202" i="22"/>
  <c r="F1203" i="22"/>
  <c r="F1204" i="22"/>
  <c r="F1205" i="22"/>
  <c r="F1206" i="22"/>
  <c r="F1207" i="22"/>
  <c r="F1208" i="22"/>
  <c r="F1209" i="22"/>
  <c r="F1210" i="22"/>
  <c r="F1211" i="22"/>
  <c r="F1212" i="22"/>
  <c r="F1213" i="22"/>
  <c r="F1214" i="22"/>
  <c r="F1215" i="22"/>
  <c r="F1216" i="22"/>
  <c r="F1217" i="22"/>
  <c r="F1218" i="22"/>
  <c r="F1219" i="22"/>
  <c r="F1220" i="22"/>
  <c r="F1221" i="22"/>
  <c r="F1222" i="22"/>
  <c r="F1223" i="22"/>
  <c r="F1224" i="22"/>
  <c r="F1225" i="22"/>
  <c r="F1226" i="22"/>
  <c r="F1227" i="22"/>
  <c r="F1228" i="22"/>
  <c r="F1229" i="22"/>
  <c r="F1230" i="22"/>
  <c r="F1231" i="22"/>
  <c r="F1232" i="22"/>
  <c r="F1233" i="22"/>
  <c r="F1234" i="22"/>
  <c r="F1235" i="22"/>
  <c r="F1236" i="22"/>
  <c r="F1237" i="22"/>
  <c r="F1238" i="22"/>
  <c r="F1239" i="22"/>
  <c r="F1240" i="22"/>
  <c r="F1241" i="22"/>
  <c r="F1242" i="22"/>
  <c r="F1243" i="22"/>
  <c r="F1244" i="22"/>
  <c r="F1245" i="22"/>
  <c r="F1246" i="22"/>
  <c r="F1247" i="22"/>
  <c r="F1248" i="22"/>
  <c r="F1249" i="22"/>
  <c r="F1250" i="22"/>
  <c r="F1251" i="22"/>
  <c r="F1252" i="22"/>
  <c r="F1253" i="22"/>
  <c r="F1254" i="22"/>
  <c r="F1255" i="22"/>
  <c r="F1256" i="22"/>
  <c r="F1257" i="22"/>
  <c r="F1258" i="22"/>
  <c r="F1259" i="22"/>
  <c r="F1260" i="22"/>
  <c r="F1261" i="22"/>
  <c r="F1262" i="22"/>
  <c r="F1263" i="22"/>
  <c r="F1264" i="22"/>
  <c r="F1265" i="22"/>
  <c r="F1266" i="22"/>
  <c r="F1267" i="22"/>
  <c r="F1268" i="22"/>
  <c r="F1269" i="22"/>
  <c r="F1270" i="22"/>
  <c r="F1271" i="22"/>
  <c r="F1272" i="22"/>
  <c r="F1273" i="22"/>
  <c r="F1274" i="22"/>
  <c r="F1275" i="22"/>
  <c r="F1276" i="22"/>
  <c r="F1277" i="22"/>
  <c r="F1278" i="22"/>
  <c r="F1279" i="22"/>
  <c r="F1280" i="22"/>
  <c r="F1281" i="22"/>
  <c r="F1282" i="22"/>
  <c r="F1283" i="22"/>
  <c r="F1284" i="22"/>
  <c r="F1285" i="22"/>
  <c r="F1286" i="22"/>
  <c r="F1287" i="22"/>
  <c r="F1288" i="22"/>
  <c r="F1289" i="22"/>
  <c r="F1290" i="22"/>
  <c r="F1291" i="22"/>
  <c r="F1292" i="22"/>
  <c r="F1293" i="22"/>
  <c r="F1294" i="22"/>
  <c r="F1295" i="22"/>
  <c r="F1296" i="22"/>
  <c r="F1297" i="22"/>
  <c r="F1298" i="22"/>
  <c r="F1299" i="22"/>
  <c r="F1300" i="22"/>
  <c r="F1301" i="22"/>
  <c r="F1302" i="22"/>
  <c r="F1303" i="22"/>
  <c r="F1304" i="22"/>
  <c r="F1305" i="22"/>
  <c r="F1306" i="22"/>
  <c r="F1307" i="22"/>
  <c r="F1308" i="22"/>
  <c r="F1309" i="22"/>
  <c r="F1310" i="22"/>
  <c r="F1311" i="22"/>
  <c r="F1312" i="22"/>
  <c r="F1313" i="22"/>
  <c r="F1314" i="22"/>
  <c r="F1315" i="22"/>
  <c r="F1316" i="22"/>
  <c r="F1317" i="22"/>
  <c r="F1318" i="22"/>
  <c r="F1319" i="22"/>
  <c r="F1320" i="22"/>
  <c r="F1321" i="22"/>
  <c r="F1322" i="22"/>
  <c r="F1323" i="22"/>
  <c r="F1324" i="22"/>
  <c r="F1325" i="22"/>
  <c r="F1326" i="22"/>
  <c r="F1327" i="22"/>
  <c r="F1328" i="22"/>
  <c r="F1329" i="22"/>
  <c r="F1330" i="22"/>
  <c r="F1331" i="22"/>
  <c r="F1332" i="22"/>
  <c r="F1333" i="22"/>
  <c r="F1334" i="22"/>
  <c r="F1335" i="22"/>
  <c r="F1336" i="22"/>
  <c r="F1337" i="22"/>
  <c r="F1338" i="22"/>
  <c r="F1339" i="22"/>
  <c r="F1340" i="22"/>
  <c r="F1341" i="22"/>
  <c r="F1342" i="22"/>
  <c r="F1343" i="22"/>
  <c r="F1344" i="22"/>
  <c r="F1345" i="22"/>
  <c r="F1346" i="22"/>
  <c r="F1347" i="22"/>
  <c r="F1348" i="22"/>
  <c r="F1349" i="22"/>
  <c r="F1350" i="22"/>
  <c r="F1351" i="22"/>
  <c r="F1352" i="22"/>
  <c r="F1353" i="22"/>
  <c r="F1354" i="22"/>
  <c r="F1355" i="22"/>
  <c r="F1356" i="22"/>
  <c r="F1357" i="22"/>
  <c r="F1358" i="22"/>
  <c r="F1359" i="22"/>
  <c r="F1360" i="22"/>
  <c r="F1361" i="22"/>
  <c r="F1362" i="22"/>
  <c r="F1363" i="22"/>
  <c r="F1364" i="22"/>
  <c r="F1365" i="22"/>
  <c r="F1366" i="22"/>
  <c r="F1367" i="22"/>
  <c r="F1368" i="22"/>
  <c r="F1369" i="22"/>
  <c r="F1370" i="22"/>
  <c r="F1371" i="22"/>
  <c r="F1372" i="22"/>
  <c r="F1373" i="22"/>
  <c r="F1374" i="22"/>
  <c r="F1375" i="22"/>
  <c r="F1376" i="22"/>
  <c r="F1377" i="22"/>
  <c r="F1378" i="22"/>
  <c r="F1379" i="22"/>
  <c r="F1380" i="22"/>
  <c r="F1381" i="22"/>
  <c r="F1382" i="22"/>
  <c r="F1383" i="22"/>
  <c r="F1384" i="22"/>
  <c r="F1385" i="22"/>
  <c r="F1386" i="22"/>
  <c r="F1387" i="22"/>
  <c r="F1388" i="22"/>
  <c r="F1389" i="22"/>
  <c r="F1390" i="22"/>
  <c r="F1391" i="22"/>
  <c r="F1392" i="22"/>
  <c r="F1393" i="22"/>
  <c r="F1394" i="22"/>
  <c r="F1395" i="22"/>
  <c r="F1396" i="22"/>
  <c r="F1397" i="22"/>
  <c r="F1398" i="22"/>
  <c r="F1399" i="22"/>
  <c r="F1400" i="22"/>
  <c r="F1401" i="22"/>
  <c r="F1402" i="22"/>
  <c r="F1403" i="22"/>
  <c r="F1404" i="22"/>
  <c r="F1405" i="22"/>
  <c r="F1406" i="22"/>
  <c r="F1407" i="22"/>
  <c r="F1408" i="22"/>
  <c r="F1409" i="22"/>
  <c r="F1410" i="22"/>
  <c r="F1411" i="22"/>
  <c r="F1412" i="22"/>
  <c r="F1413" i="22"/>
  <c r="F1414" i="22"/>
  <c r="F1415" i="22"/>
  <c r="F1416" i="22"/>
  <c r="F1417" i="22"/>
  <c r="F1418" i="22"/>
  <c r="F1419" i="22"/>
  <c r="F1420" i="22"/>
  <c r="F1421" i="22"/>
  <c r="F1422" i="22"/>
  <c r="F1423" i="22"/>
  <c r="F1424" i="22"/>
  <c r="F1425" i="22"/>
  <c r="F1426" i="22"/>
  <c r="F1427" i="22"/>
  <c r="F1428" i="22"/>
  <c r="F1429" i="22"/>
  <c r="F1430" i="22"/>
  <c r="F1431" i="22"/>
  <c r="F1432" i="22"/>
  <c r="F1433" i="22"/>
  <c r="F1434" i="22"/>
  <c r="F1435" i="22"/>
  <c r="F1436" i="22"/>
  <c r="F1437" i="22"/>
  <c r="F1438" i="22"/>
  <c r="F1439" i="22"/>
  <c r="F1440" i="22"/>
  <c r="F1441" i="22"/>
  <c r="F1442" i="22"/>
  <c r="F1443" i="22"/>
  <c r="F1444" i="22"/>
  <c r="F1445" i="22"/>
  <c r="F1446" i="22"/>
  <c r="F1447" i="22"/>
  <c r="F1448" i="22"/>
  <c r="F1449" i="22"/>
  <c r="F1450" i="22"/>
  <c r="F1451" i="22"/>
  <c r="F1452" i="22"/>
  <c r="F1453" i="22"/>
  <c r="F1454" i="22"/>
  <c r="F1455" i="22"/>
  <c r="F1456" i="22"/>
  <c r="F1457" i="22"/>
  <c r="F1458" i="22"/>
  <c r="F1459" i="22"/>
  <c r="F1460" i="22"/>
  <c r="F1461" i="22"/>
  <c r="F1462" i="22"/>
  <c r="F1463" i="22"/>
  <c r="F1464" i="22"/>
  <c r="F1465" i="22"/>
  <c r="F1466" i="22"/>
  <c r="F1467" i="22"/>
  <c r="F1468" i="22"/>
  <c r="F1469" i="22"/>
  <c r="F1470" i="22"/>
  <c r="F1471" i="22"/>
  <c r="F1472" i="22"/>
  <c r="F1473" i="22"/>
  <c r="F1474" i="22"/>
  <c r="F1475" i="22"/>
  <c r="F1476" i="22"/>
  <c r="F1477" i="22"/>
  <c r="F1478" i="22"/>
  <c r="F1479" i="22"/>
  <c r="F1480" i="22"/>
  <c r="F1481" i="22"/>
  <c r="F1482" i="22"/>
  <c r="F1483" i="22"/>
  <c r="F1484" i="22"/>
  <c r="F1485" i="22"/>
  <c r="F1486" i="22"/>
  <c r="F1487" i="22"/>
  <c r="F1488" i="22"/>
  <c r="F1489" i="22"/>
  <c r="F1490" i="22"/>
  <c r="F1491" i="22"/>
  <c r="F1492" i="22"/>
  <c r="F1493" i="22"/>
  <c r="F1494" i="22"/>
  <c r="F1495" i="22"/>
  <c r="F1496" i="22"/>
  <c r="F1497" i="22"/>
  <c r="F1498" i="22"/>
  <c r="F1499" i="22"/>
  <c r="F1500" i="22"/>
  <c r="F1501" i="22"/>
  <c r="F1502" i="22"/>
  <c r="F1503" i="22"/>
  <c r="F1504" i="22"/>
  <c r="F1505" i="22"/>
  <c r="F1506" i="22"/>
  <c r="F1507" i="22"/>
  <c r="F1508" i="22"/>
  <c r="F1509" i="22"/>
  <c r="F1510" i="22"/>
  <c r="F1511" i="22"/>
  <c r="F1512" i="22"/>
  <c r="F1513" i="22"/>
  <c r="F1514" i="22"/>
  <c r="F1515" i="22"/>
  <c r="F1516" i="22"/>
  <c r="F1517" i="22"/>
  <c r="F1518" i="22"/>
  <c r="F1519" i="22"/>
  <c r="F1520" i="22"/>
  <c r="F1521" i="22"/>
  <c r="F1522" i="22"/>
  <c r="F1523" i="22"/>
  <c r="F1524" i="22"/>
  <c r="F1525" i="22"/>
  <c r="F1526" i="22"/>
  <c r="F1527" i="22"/>
  <c r="F1528" i="22"/>
  <c r="F1529" i="22"/>
  <c r="F1530" i="22"/>
  <c r="F1531" i="22"/>
  <c r="F1532" i="22"/>
  <c r="F1533" i="22"/>
  <c r="F1534" i="22"/>
  <c r="F1535" i="22"/>
  <c r="F1536" i="22"/>
  <c r="F1537" i="22"/>
  <c r="F1538" i="22"/>
  <c r="F1539" i="22"/>
  <c r="F1540" i="22"/>
  <c r="F1541" i="22"/>
  <c r="F1542" i="22"/>
  <c r="F1543" i="22"/>
  <c r="F1544" i="22"/>
  <c r="F1545" i="22"/>
  <c r="F1546" i="22"/>
  <c r="F1547" i="22"/>
  <c r="F1548" i="22"/>
  <c r="F1549" i="22"/>
  <c r="F1550" i="22"/>
  <c r="F1551" i="22"/>
  <c r="F1552" i="22"/>
  <c r="F1553" i="22"/>
  <c r="F1554" i="22"/>
  <c r="F1555" i="22"/>
  <c r="F1556" i="22"/>
  <c r="F1557" i="22"/>
  <c r="F1558" i="22"/>
  <c r="F1559" i="22"/>
  <c r="F1560" i="22"/>
  <c r="F1561" i="22"/>
  <c r="F1562" i="22"/>
  <c r="F1563" i="22"/>
  <c r="F1564" i="22"/>
  <c r="F1565" i="22"/>
  <c r="F1566" i="22"/>
  <c r="F1567" i="22"/>
  <c r="F1568" i="22"/>
  <c r="F1569" i="22"/>
  <c r="F1570" i="22"/>
  <c r="F1571" i="22"/>
  <c r="F1572" i="22"/>
  <c r="F1573" i="22"/>
  <c r="F1574" i="22"/>
  <c r="F1575" i="22"/>
  <c r="F1576" i="22"/>
  <c r="F1577" i="22"/>
  <c r="F1578" i="22"/>
  <c r="F1579" i="22"/>
  <c r="F1580" i="22"/>
  <c r="F1581" i="22"/>
  <c r="F1582" i="22"/>
  <c r="F1583" i="22"/>
  <c r="F1584" i="22"/>
  <c r="F1585" i="22"/>
  <c r="F1586" i="22"/>
  <c r="F1587" i="22"/>
  <c r="F1588" i="22"/>
  <c r="F1589" i="22"/>
  <c r="F1590" i="22"/>
  <c r="F1591" i="22"/>
  <c r="F1592" i="22"/>
  <c r="F1593" i="22"/>
  <c r="F1594" i="22"/>
  <c r="F1595" i="22"/>
  <c r="F1596" i="22"/>
  <c r="F1597" i="22"/>
  <c r="F1598" i="22"/>
  <c r="F1599" i="22"/>
  <c r="F1600" i="22"/>
  <c r="F1601" i="22"/>
  <c r="F1602" i="22"/>
  <c r="F1603" i="22"/>
  <c r="F1604" i="22"/>
  <c r="F1605" i="22"/>
  <c r="F1606" i="22"/>
  <c r="F1607" i="22"/>
  <c r="F1608" i="22"/>
  <c r="F1609" i="22"/>
  <c r="F1610" i="22"/>
  <c r="F1611" i="22"/>
  <c r="F1612" i="22"/>
  <c r="F1613" i="22"/>
  <c r="F1614" i="22"/>
  <c r="F1615" i="22"/>
  <c r="F1616" i="22"/>
  <c r="F1617" i="22"/>
  <c r="F1618" i="22"/>
  <c r="F1619" i="22"/>
  <c r="F1620" i="22"/>
  <c r="F1621" i="22"/>
  <c r="F1622" i="22"/>
  <c r="F1623" i="22"/>
  <c r="F1624" i="22"/>
  <c r="F1625" i="22"/>
  <c r="F1626" i="22"/>
  <c r="F1627" i="22"/>
  <c r="F1628" i="22"/>
  <c r="F1629" i="22"/>
  <c r="F1630" i="22"/>
  <c r="F1631" i="22"/>
  <c r="F1632" i="22"/>
  <c r="F1633" i="22"/>
  <c r="F1634" i="22"/>
  <c r="F1635" i="22"/>
  <c r="F1636" i="22"/>
  <c r="F1637" i="22"/>
  <c r="F1638" i="22"/>
  <c r="F1639" i="22"/>
  <c r="F1640" i="22"/>
  <c r="F1641" i="22"/>
  <c r="F1642" i="22"/>
  <c r="F1643" i="22"/>
  <c r="F1644" i="22"/>
  <c r="F1645" i="22"/>
  <c r="F1646" i="22"/>
  <c r="F1647" i="22"/>
  <c r="F1648" i="22"/>
  <c r="F1649" i="22"/>
  <c r="F1650" i="22"/>
  <c r="F1651" i="22"/>
  <c r="F1652" i="22"/>
  <c r="F1653" i="22"/>
  <c r="F1654" i="22"/>
  <c r="F1655" i="22"/>
  <c r="F1656" i="22"/>
  <c r="F1657" i="22"/>
  <c r="F1658" i="22"/>
  <c r="F1659" i="22"/>
  <c r="F1660" i="22"/>
  <c r="F1661" i="22"/>
  <c r="F1662" i="22"/>
  <c r="F1663" i="22"/>
  <c r="F1664" i="22"/>
  <c r="F1665" i="22"/>
  <c r="F1666" i="22"/>
  <c r="F1667" i="22"/>
  <c r="F1668" i="22"/>
  <c r="F1669" i="22"/>
  <c r="F1670" i="22"/>
  <c r="F1671" i="22"/>
  <c r="F1672" i="22"/>
  <c r="F1673" i="22"/>
  <c r="F1674" i="22"/>
  <c r="F1675" i="22"/>
  <c r="F1676" i="22"/>
  <c r="F1677" i="22"/>
  <c r="F1678" i="22"/>
  <c r="F1679" i="22"/>
  <c r="F1680" i="22"/>
  <c r="F1681" i="22"/>
  <c r="F1682" i="22"/>
  <c r="F1683" i="22"/>
  <c r="F1684" i="22"/>
  <c r="F1685" i="22"/>
  <c r="F1686" i="22"/>
  <c r="F1687" i="22"/>
  <c r="F1688" i="22"/>
  <c r="F1689" i="22"/>
  <c r="F1690" i="22"/>
  <c r="F1691" i="22"/>
  <c r="F1692" i="22"/>
  <c r="F1693" i="22"/>
  <c r="F1694" i="22"/>
  <c r="F1695" i="22"/>
  <c r="F1696" i="22"/>
  <c r="F1697" i="22"/>
  <c r="F1698" i="22"/>
  <c r="F1699" i="22"/>
  <c r="F1700" i="22"/>
  <c r="F1701" i="22"/>
  <c r="F1702" i="22"/>
  <c r="F1703" i="22"/>
  <c r="F1704" i="22"/>
  <c r="F1705" i="22"/>
  <c r="F1706" i="22"/>
  <c r="F1707" i="22"/>
  <c r="F1708" i="22"/>
  <c r="F1709" i="22"/>
  <c r="F1710" i="22"/>
  <c r="F1711" i="22"/>
  <c r="F1712" i="22"/>
  <c r="F1713" i="22"/>
  <c r="F1714" i="22"/>
  <c r="F1715" i="22"/>
  <c r="F1716" i="22"/>
  <c r="F1717" i="22"/>
  <c r="F1718" i="22"/>
  <c r="F1719" i="22"/>
  <c r="F1720" i="22"/>
  <c r="F1721" i="22"/>
  <c r="F1722" i="22"/>
  <c r="F1723" i="22"/>
  <c r="F1724" i="22"/>
  <c r="F1725" i="22"/>
  <c r="F1726" i="22"/>
  <c r="F1727" i="22"/>
  <c r="F1728" i="22"/>
  <c r="F1729" i="22"/>
  <c r="F1730" i="22"/>
  <c r="F1731" i="22"/>
  <c r="F1732" i="22"/>
  <c r="F1733" i="22"/>
  <c r="F1734" i="22"/>
  <c r="F1735" i="22"/>
  <c r="F1736" i="22"/>
  <c r="F1737" i="22"/>
  <c r="F1738" i="22"/>
  <c r="F1739" i="22"/>
  <c r="F1740" i="22"/>
  <c r="F1741" i="22"/>
  <c r="F1742" i="22"/>
  <c r="F1743" i="22"/>
  <c r="F1744" i="22"/>
  <c r="F1745" i="22"/>
  <c r="F1746" i="22"/>
  <c r="F1747" i="22"/>
  <c r="F1748" i="22"/>
  <c r="F1749" i="22"/>
  <c r="F1750" i="22"/>
  <c r="F1751" i="22"/>
  <c r="F1752" i="22"/>
  <c r="F1753" i="22"/>
  <c r="F1754" i="22"/>
  <c r="F1755" i="22"/>
  <c r="F1756" i="22"/>
  <c r="F1757" i="22"/>
  <c r="F1758" i="22"/>
  <c r="F1759" i="22"/>
  <c r="F1760" i="22"/>
  <c r="F1761" i="22"/>
  <c r="F1762" i="22"/>
  <c r="F1763" i="22"/>
  <c r="F1764" i="22"/>
  <c r="F1765" i="22"/>
  <c r="F1766" i="22"/>
  <c r="F1767" i="22"/>
  <c r="F1768" i="22"/>
  <c r="F1769" i="22"/>
  <c r="F1770" i="22"/>
  <c r="F1771" i="22"/>
  <c r="F1772" i="22"/>
  <c r="F1773" i="22"/>
  <c r="F1774" i="22"/>
  <c r="F1775" i="22"/>
  <c r="F1776" i="22"/>
  <c r="F1777" i="22"/>
  <c r="F1778" i="22"/>
  <c r="F1779" i="22"/>
  <c r="F1780" i="22"/>
  <c r="F1781" i="22"/>
  <c r="F1782" i="22"/>
  <c r="F1783" i="22"/>
  <c r="F1784" i="22"/>
  <c r="F1785" i="22"/>
  <c r="F1786" i="22"/>
  <c r="F1787" i="22"/>
  <c r="F1788" i="22"/>
  <c r="F1789" i="22"/>
  <c r="F1790" i="22"/>
  <c r="F1791" i="22"/>
  <c r="F1792" i="22"/>
  <c r="F1793" i="22"/>
  <c r="F1794" i="22"/>
  <c r="F1795" i="22"/>
  <c r="F1796" i="22"/>
  <c r="F1797" i="22"/>
  <c r="F1798" i="22"/>
  <c r="F1799" i="22"/>
  <c r="F1800" i="22"/>
  <c r="F1801" i="22"/>
  <c r="F1802" i="22"/>
  <c r="F1803" i="22"/>
  <c r="F1804" i="22"/>
  <c r="F1805" i="22"/>
  <c r="F1806" i="22"/>
  <c r="F1807" i="22"/>
  <c r="F1808" i="22"/>
  <c r="F1809" i="22"/>
  <c r="F1810" i="22"/>
  <c r="F1811" i="22"/>
  <c r="F1812" i="22"/>
  <c r="F1813" i="22"/>
  <c r="F1814" i="22"/>
  <c r="F1815" i="22"/>
  <c r="F1816" i="22"/>
  <c r="F1817" i="22"/>
  <c r="F1818" i="22"/>
  <c r="F1819" i="22"/>
  <c r="F1820" i="22"/>
  <c r="F1821" i="22"/>
  <c r="F1822" i="22"/>
  <c r="F1823" i="22"/>
  <c r="F1824" i="22"/>
  <c r="F1825" i="22"/>
  <c r="F1826" i="22"/>
  <c r="F1827" i="22"/>
  <c r="F1828" i="22"/>
  <c r="F1829" i="22"/>
  <c r="F1830" i="22"/>
  <c r="F1831" i="22"/>
  <c r="F1832" i="22"/>
  <c r="F1833" i="22"/>
  <c r="F1834" i="22"/>
  <c r="F1835" i="22"/>
  <c r="F1836" i="22"/>
  <c r="F1837" i="22"/>
  <c r="F1838" i="22"/>
  <c r="F1839" i="22"/>
  <c r="F1840" i="22"/>
  <c r="F1841" i="22"/>
  <c r="F1842" i="22"/>
  <c r="F1843" i="22"/>
  <c r="F1844" i="22"/>
  <c r="F1845" i="22"/>
  <c r="F1846" i="22"/>
  <c r="F1847" i="22"/>
  <c r="F1848" i="22"/>
  <c r="F1849" i="22"/>
  <c r="F1850" i="22"/>
  <c r="F1851" i="22"/>
  <c r="F1852" i="22"/>
  <c r="F1853" i="22"/>
  <c r="F1854" i="22"/>
  <c r="F1855" i="22"/>
  <c r="F1856" i="22"/>
  <c r="F1857" i="22"/>
  <c r="F1858" i="22"/>
  <c r="F1859" i="22"/>
  <c r="F1860" i="22"/>
  <c r="F1861" i="22"/>
  <c r="F1862" i="22"/>
  <c r="F1863" i="22"/>
  <c r="F1864" i="22"/>
  <c r="F1865" i="22"/>
  <c r="F1866" i="22"/>
  <c r="F1867" i="22"/>
  <c r="F1868" i="22"/>
  <c r="F1869" i="22"/>
  <c r="F1870" i="22"/>
  <c r="F1871" i="22"/>
  <c r="F1872" i="22"/>
  <c r="F1873" i="22"/>
  <c r="F1874" i="22"/>
  <c r="F1875" i="22"/>
  <c r="F1876" i="22"/>
  <c r="F1877" i="22"/>
  <c r="F1878" i="22"/>
  <c r="F1879" i="22"/>
  <c r="F1880" i="22"/>
  <c r="F1881" i="22"/>
  <c r="F1882" i="22"/>
  <c r="F1883" i="22"/>
  <c r="F1884" i="22"/>
  <c r="F1885" i="22"/>
  <c r="F1886" i="22"/>
  <c r="F1887" i="22"/>
  <c r="F1888" i="22"/>
  <c r="F1889" i="22"/>
  <c r="F1890" i="22"/>
  <c r="F1891" i="22"/>
  <c r="F1892" i="22"/>
  <c r="F1893" i="22"/>
  <c r="F1894" i="22"/>
  <c r="F1895" i="22"/>
  <c r="F1896" i="22"/>
  <c r="F1897" i="22"/>
  <c r="F1898" i="22"/>
  <c r="F1899" i="22"/>
  <c r="F1900" i="22"/>
  <c r="F1901" i="22"/>
  <c r="F1902" i="22"/>
  <c r="F1903" i="22"/>
  <c r="F1904" i="22"/>
  <c r="F1905" i="22"/>
  <c r="F1906" i="22"/>
  <c r="F1907" i="22"/>
  <c r="F1908" i="22"/>
  <c r="F1909" i="22"/>
  <c r="F1910" i="22"/>
  <c r="F1911" i="22"/>
  <c r="F1912" i="22"/>
  <c r="F1913" i="22"/>
  <c r="F1914" i="22"/>
  <c r="F1915" i="22"/>
  <c r="F1916" i="22"/>
  <c r="F1917" i="22"/>
  <c r="F1918" i="22"/>
  <c r="F1919" i="22"/>
  <c r="F1920" i="22"/>
  <c r="F1921" i="22"/>
  <c r="F1922" i="22"/>
  <c r="F1923" i="22"/>
  <c r="F1924" i="22"/>
  <c r="F1925" i="22"/>
  <c r="F1926" i="22"/>
  <c r="F1927" i="22"/>
  <c r="F1928" i="22"/>
  <c r="F1929" i="22"/>
  <c r="F1930" i="22"/>
  <c r="F1931" i="22"/>
  <c r="F1932" i="22"/>
  <c r="F1933" i="22"/>
  <c r="F1934" i="22"/>
  <c r="F1935" i="22"/>
  <c r="F1936" i="22"/>
  <c r="F1937" i="22"/>
  <c r="F1938" i="22"/>
  <c r="F1939" i="22"/>
  <c r="F1940" i="22"/>
  <c r="F1941" i="22"/>
  <c r="F1942" i="22"/>
  <c r="F1943" i="22"/>
  <c r="F1944" i="22"/>
  <c r="F1945" i="22"/>
  <c r="F1946" i="22"/>
  <c r="F1947" i="22"/>
  <c r="F1948" i="22"/>
  <c r="F1949" i="22"/>
  <c r="F1950" i="22"/>
  <c r="F1951" i="22"/>
  <c r="F1952" i="22"/>
  <c r="F1953" i="22"/>
  <c r="F1954" i="22"/>
  <c r="F1955" i="22"/>
  <c r="F1956" i="22"/>
  <c r="F1957" i="22"/>
  <c r="F1958" i="22"/>
  <c r="F1959" i="22"/>
  <c r="F1960" i="22"/>
  <c r="F1961" i="22"/>
  <c r="F1962" i="22"/>
  <c r="F1963" i="22"/>
  <c r="F1964" i="22"/>
  <c r="F1965" i="22"/>
  <c r="F1966" i="22"/>
  <c r="F1967" i="22"/>
  <c r="F1968" i="22"/>
  <c r="F1969" i="22"/>
  <c r="F1970" i="22"/>
  <c r="F1971" i="22"/>
  <c r="F1972" i="22"/>
  <c r="F1973" i="22"/>
  <c r="F1974" i="22"/>
  <c r="F1975" i="22"/>
  <c r="F1976" i="22"/>
  <c r="F1977" i="22"/>
  <c r="F1978" i="22"/>
  <c r="F1979" i="22"/>
  <c r="F1980" i="22"/>
  <c r="F1981" i="22"/>
  <c r="F1982" i="22"/>
  <c r="F1983" i="22"/>
  <c r="F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53" i="22"/>
  <c r="E154" i="22"/>
  <c r="E155" i="22"/>
  <c r="E156" i="22"/>
  <c r="E157" i="22"/>
  <c r="E158" i="22"/>
  <c r="E159" i="22"/>
  <c r="E160" i="22"/>
  <c r="E161" i="22"/>
  <c r="E162" i="22"/>
  <c r="E163" i="22"/>
  <c r="E164" i="22"/>
  <c r="E165" i="22"/>
  <c r="E166" i="22"/>
  <c r="E167" i="22"/>
  <c r="E168" i="22"/>
  <c r="E169" i="22"/>
  <c r="E170" i="22"/>
  <c r="E171" i="22"/>
  <c r="E172" i="22"/>
  <c r="E173" i="22"/>
  <c r="E174" i="22"/>
  <c r="E175" i="22"/>
  <c r="E176" i="22"/>
  <c r="E177" i="22"/>
  <c r="E178" i="22"/>
  <c r="E179" i="22"/>
  <c r="E180" i="22"/>
  <c r="E181" i="22"/>
  <c r="E182" i="22"/>
  <c r="E183" i="22"/>
  <c r="E184" i="22"/>
  <c r="E185" i="22"/>
  <c r="E186" i="22"/>
  <c r="E187" i="22"/>
  <c r="E188" i="22"/>
  <c r="E189" i="22"/>
  <c r="E190" i="22"/>
  <c r="E191" i="22"/>
  <c r="E192" i="22"/>
  <c r="E193" i="22"/>
  <c r="E194" i="22"/>
  <c r="E195" i="22"/>
  <c r="E196" i="22"/>
  <c r="E197" i="22"/>
  <c r="E198" i="22"/>
  <c r="E199" i="22"/>
  <c r="E200" i="22"/>
  <c r="E201" i="22"/>
  <c r="E202" i="22"/>
  <c r="E203" i="22"/>
  <c r="E204" i="22"/>
  <c r="E205" i="22"/>
  <c r="E206" i="22"/>
  <c r="E207" i="22"/>
  <c r="E208" i="22"/>
  <c r="E209" i="22"/>
  <c r="E210" i="22"/>
  <c r="E211" i="22"/>
  <c r="E212" i="22"/>
  <c r="E213" i="22"/>
  <c r="E214" i="22"/>
  <c r="E215" i="22"/>
  <c r="E216" i="22"/>
  <c r="E217" i="22"/>
  <c r="E218" i="22"/>
  <c r="E219" i="22"/>
  <c r="E220" i="22"/>
  <c r="E221" i="22"/>
  <c r="E222" i="22"/>
  <c r="E223" i="22"/>
  <c r="E224" i="22"/>
  <c r="E225" i="22"/>
  <c r="E226" i="22"/>
  <c r="E227" i="22"/>
  <c r="E228" i="22"/>
  <c r="E229" i="22"/>
  <c r="E230" i="22"/>
  <c r="E231" i="22"/>
  <c r="E232" i="22"/>
  <c r="E233" i="22"/>
  <c r="E234" i="22"/>
  <c r="E235" i="22"/>
  <c r="E236" i="22"/>
  <c r="E237" i="22"/>
  <c r="E238" i="22"/>
  <c r="E239" i="22"/>
  <c r="E240" i="22"/>
  <c r="E241" i="22"/>
  <c r="E242" i="22"/>
  <c r="E243" i="22"/>
  <c r="E244" i="22"/>
  <c r="E245" i="22"/>
  <c r="E246" i="22"/>
  <c r="E247" i="22"/>
  <c r="E248" i="22"/>
  <c r="E249" i="22"/>
  <c r="E250" i="22"/>
  <c r="E251" i="22"/>
  <c r="E252" i="22"/>
  <c r="E253" i="22"/>
  <c r="E254" i="22"/>
  <c r="E255" i="22"/>
  <c r="E256" i="22"/>
  <c r="E257" i="22"/>
  <c r="E258" i="22"/>
  <c r="E259" i="22"/>
  <c r="E260" i="22"/>
  <c r="E261" i="22"/>
  <c r="E262" i="22"/>
  <c r="E263" i="22"/>
  <c r="E264" i="22"/>
  <c r="E265" i="22"/>
  <c r="E266" i="22"/>
  <c r="E267" i="22"/>
  <c r="E268" i="22"/>
  <c r="E269" i="22"/>
  <c r="E270" i="22"/>
  <c r="E271" i="22"/>
  <c r="E272" i="22"/>
  <c r="E273" i="22"/>
  <c r="E274" i="22"/>
  <c r="E275" i="22"/>
  <c r="E276" i="22"/>
  <c r="E277" i="22"/>
  <c r="E278" i="22"/>
  <c r="E279" i="22"/>
  <c r="E280" i="22"/>
  <c r="E281" i="22"/>
  <c r="E282" i="22"/>
  <c r="E283" i="22"/>
  <c r="E284" i="22"/>
  <c r="E285" i="22"/>
  <c r="E286" i="22"/>
  <c r="E287" i="22"/>
  <c r="E288" i="22"/>
  <c r="E289" i="22"/>
  <c r="E290" i="22"/>
  <c r="E291" i="22"/>
  <c r="E292" i="22"/>
  <c r="E293" i="22"/>
  <c r="E294" i="22"/>
  <c r="E295" i="22"/>
  <c r="E296" i="22"/>
  <c r="E297" i="22"/>
  <c r="E298" i="22"/>
  <c r="E299" i="22"/>
  <c r="E300" i="22"/>
  <c r="E301" i="22"/>
  <c r="E302" i="22"/>
  <c r="E303" i="22"/>
  <c r="E304" i="22"/>
  <c r="E305" i="22"/>
  <c r="E306" i="22"/>
  <c r="E307" i="22"/>
  <c r="E308" i="22"/>
  <c r="E309" i="22"/>
  <c r="E310" i="22"/>
  <c r="E311" i="22"/>
  <c r="E312" i="22"/>
  <c r="E313" i="22"/>
  <c r="E314" i="22"/>
  <c r="E315" i="22"/>
  <c r="E316" i="22"/>
  <c r="E317" i="22"/>
  <c r="E318" i="22"/>
  <c r="E319" i="22"/>
  <c r="E320" i="22"/>
  <c r="E321" i="22"/>
  <c r="E322" i="22"/>
  <c r="E323" i="22"/>
  <c r="E324" i="22"/>
  <c r="E325" i="22"/>
  <c r="E326" i="22"/>
  <c r="E327" i="22"/>
  <c r="E328" i="22"/>
  <c r="E329" i="22"/>
  <c r="E330" i="22"/>
  <c r="E331" i="22"/>
  <c r="E332" i="22"/>
  <c r="E333" i="22"/>
  <c r="E334" i="22"/>
  <c r="E335" i="22"/>
  <c r="E336" i="22"/>
  <c r="E337" i="22"/>
  <c r="E338" i="22"/>
  <c r="E339" i="22"/>
  <c r="E340" i="22"/>
  <c r="E341" i="22"/>
  <c r="E342" i="22"/>
  <c r="E343" i="22"/>
  <c r="E344" i="22"/>
  <c r="E345" i="22"/>
  <c r="E346" i="22"/>
  <c r="E347" i="22"/>
  <c r="E348" i="22"/>
  <c r="E349" i="22"/>
  <c r="E350" i="22"/>
  <c r="E351" i="22"/>
  <c r="E352" i="22"/>
  <c r="E353" i="22"/>
  <c r="E354" i="22"/>
  <c r="E355" i="22"/>
  <c r="E356" i="22"/>
  <c r="E357" i="22"/>
  <c r="E358" i="22"/>
  <c r="E359" i="22"/>
  <c r="E360" i="22"/>
  <c r="E361" i="22"/>
  <c r="E362" i="22"/>
  <c r="E363" i="22"/>
  <c r="E364" i="22"/>
  <c r="E365" i="22"/>
  <c r="E366" i="22"/>
  <c r="E367" i="22"/>
  <c r="E368" i="22"/>
  <c r="E369" i="22"/>
  <c r="E370" i="22"/>
  <c r="E371" i="22"/>
  <c r="E372" i="22"/>
  <c r="E373" i="22"/>
  <c r="E374" i="22"/>
  <c r="E375" i="22"/>
  <c r="E376" i="22"/>
  <c r="E377" i="22"/>
  <c r="E378" i="22"/>
  <c r="E379" i="22"/>
  <c r="E380" i="22"/>
  <c r="E381" i="22"/>
  <c r="E382" i="22"/>
  <c r="E383" i="22"/>
  <c r="E384" i="22"/>
  <c r="E385" i="22"/>
  <c r="E386" i="22"/>
  <c r="E387" i="22"/>
  <c r="E388" i="22"/>
  <c r="E389" i="22"/>
  <c r="E390" i="22"/>
  <c r="E391" i="22"/>
  <c r="E392" i="22"/>
  <c r="E393" i="22"/>
  <c r="E394" i="22"/>
  <c r="E395" i="22"/>
  <c r="E396" i="22"/>
  <c r="E397" i="22"/>
  <c r="E398" i="22"/>
  <c r="E399" i="22"/>
  <c r="E400" i="22"/>
  <c r="E401" i="22"/>
  <c r="E402" i="22"/>
  <c r="E403" i="22"/>
  <c r="E404" i="22"/>
  <c r="E405" i="22"/>
  <c r="E406" i="22"/>
  <c r="E407" i="22"/>
  <c r="E408" i="22"/>
  <c r="E409" i="22"/>
  <c r="E410" i="22"/>
  <c r="E411" i="22"/>
  <c r="E412" i="22"/>
  <c r="E413" i="22"/>
  <c r="E414" i="22"/>
  <c r="E415" i="22"/>
  <c r="E416" i="22"/>
  <c r="E417" i="22"/>
  <c r="E418" i="22"/>
  <c r="E419" i="22"/>
  <c r="E420" i="22"/>
  <c r="E421" i="22"/>
  <c r="E422" i="22"/>
  <c r="E423" i="22"/>
  <c r="E424" i="22"/>
  <c r="E425" i="22"/>
  <c r="E426" i="22"/>
  <c r="E427" i="22"/>
  <c r="E428" i="22"/>
  <c r="E429" i="22"/>
  <c r="E430" i="22"/>
  <c r="E431" i="22"/>
  <c r="E432" i="22"/>
  <c r="E433" i="22"/>
  <c r="E434" i="22"/>
  <c r="E435" i="22"/>
  <c r="E436" i="22"/>
  <c r="E437" i="22"/>
  <c r="E438" i="22"/>
  <c r="E439" i="22"/>
  <c r="E440" i="22"/>
  <c r="E441" i="22"/>
  <c r="E442" i="22"/>
  <c r="E443" i="22"/>
  <c r="E444" i="22"/>
  <c r="E445" i="22"/>
  <c r="E446" i="22"/>
  <c r="E447" i="22"/>
  <c r="E448" i="22"/>
  <c r="E449" i="22"/>
  <c r="E450" i="22"/>
  <c r="E451" i="22"/>
  <c r="E452" i="22"/>
  <c r="E453" i="22"/>
  <c r="E454" i="22"/>
  <c r="E455" i="22"/>
  <c r="E456" i="22"/>
  <c r="E457" i="22"/>
  <c r="E458" i="22"/>
  <c r="E459" i="22"/>
  <c r="E460" i="22"/>
  <c r="E461" i="22"/>
  <c r="E462" i="22"/>
  <c r="E463" i="22"/>
  <c r="E464" i="22"/>
  <c r="E465" i="22"/>
  <c r="E466" i="22"/>
  <c r="E467" i="22"/>
  <c r="E468" i="22"/>
  <c r="E469" i="22"/>
  <c r="E470" i="22"/>
  <c r="E471" i="22"/>
  <c r="E472" i="22"/>
  <c r="E473" i="22"/>
  <c r="E474" i="22"/>
  <c r="E475" i="22"/>
  <c r="E476" i="22"/>
  <c r="E477" i="22"/>
  <c r="E478" i="22"/>
  <c r="E479" i="22"/>
  <c r="E480" i="22"/>
  <c r="E481" i="22"/>
  <c r="E482" i="22"/>
  <c r="E483" i="22"/>
  <c r="E484" i="22"/>
  <c r="E485" i="22"/>
  <c r="E486" i="22"/>
  <c r="E487" i="22"/>
  <c r="E488" i="22"/>
  <c r="E489" i="22"/>
  <c r="E490" i="22"/>
  <c r="E491" i="22"/>
  <c r="E492" i="22"/>
  <c r="E493" i="22"/>
  <c r="E494" i="22"/>
  <c r="E495" i="22"/>
  <c r="E496" i="22"/>
  <c r="E497" i="22"/>
  <c r="E498" i="22"/>
  <c r="E499" i="22"/>
  <c r="E500" i="22"/>
  <c r="E501" i="22"/>
  <c r="E502" i="22"/>
  <c r="E503" i="22"/>
  <c r="E504" i="22"/>
  <c r="E505" i="22"/>
  <c r="E506" i="22"/>
  <c r="E507" i="22"/>
  <c r="E508" i="22"/>
  <c r="E509" i="22"/>
  <c r="E510" i="22"/>
  <c r="E511" i="22"/>
  <c r="E512" i="22"/>
  <c r="E513" i="22"/>
  <c r="E514" i="22"/>
  <c r="E515" i="22"/>
  <c r="E516" i="22"/>
  <c r="E517" i="22"/>
  <c r="E518" i="22"/>
  <c r="E519" i="22"/>
  <c r="E520" i="22"/>
  <c r="E521" i="22"/>
  <c r="E522" i="22"/>
  <c r="E523" i="22"/>
  <c r="E524" i="22"/>
  <c r="E525" i="22"/>
  <c r="E526" i="22"/>
  <c r="E527" i="22"/>
  <c r="E528" i="22"/>
  <c r="E529" i="22"/>
  <c r="E530" i="22"/>
  <c r="E531" i="22"/>
  <c r="E532" i="22"/>
  <c r="E533" i="22"/>
  <c r="E534" i="22"/>
  <c r="E535" i="22"/>
  <c r="E536" i="22"/>
  <c r="E537" i="22"/>
  <c r="E538" i="22"/>
  <c r="E539" i="22"/>
  <c r="E540" i="22"/>
  <c r="E541" i="22"/>
  <c r="E542" i="22"/>
  <c r="E543" i="22"/>
  <c r="E544" i="22"/>
  <c r="E545" i="22"/>
  <c r="E546" i="22"/>
  <c r="E547" i="22"/>
  <c r="E548" i="22"/>
  <c r="E549" i="22"/>
  <c r="E550" i="22"/>
  <c r="E551" i="22"/>
  <c r="E552" i="22"/>
  <c r="E553" i="22"/>
  <c r="E554" i="22"/>
  <c r="E555" i="22"/>
  <c r="E556" i="22"/>
  <c r="E557" i="22"/>
  <c r="E558" i="22"/>
  <c r="E559" i="22"/>
  <c r="E560" i="22"/>
  <c r="E561" i="22"/>
  <c r="E562" i="22"/>
  <c r="E563" i="22"/>
  <c r="E564" i="22"/>
  <c r="E565" i="22"/>
  <c r="E566" i="22"/>
  <c r="E567" i="22"/>
  <c r="E568" i="22"/>
  <c r="E569" i="22"/>
  <c r="E570" i="22"/>
  <c r="E571" i="22"/>
  <c r="E572" i="22"/>
  <c r="E573" i="22"/>
  <c r="E574" i="22"/>
  <c r="E575" i="22"/>
  <c r="E576" i="22"/>
  <c r="E577" i="22"/>
  <c r="E578" i="22"/>
  <c r="E579" i="22"/>
  <c r="E580" i="22"/>
  <c r="E581" i="22"/>
  <c r="E582" i="22"/>
  <c r="E583" i="22"/>
  <c r="E584" i="22"/>
  <c r="E585" i="22"/>
  <c r="E586" i="22"/>
  <c r="E587" i="22"/>
  <c r="E588" i="22"/>
  <c r="E589" i="22"/>
  <c r="E590" i="22"/>
  <c r="E591" i="22"/>
  <c r="E592" i="22"/>
  <c r="E593" i="22"/>
  <c r="E594" i="22"/>
  <c r="E595" i="22"/>
  <c r="E596" i="22"/>
  <c r="E597" i="22"/>
  <c r="E598" i="22"/>
  <c r="E599" i="22"/>
  <c r="E600" i="22"/>
  <c r="E601" i="22"/>
  <c r="E602" i="22"/>
  <c r="E603" i="22"/>
  <c r="E604" i="22"/>
  <c r="E605" i="22"/>
  <c r="E606" i="22"/>
  <c r="E607" i="22"/>
  <c r="E608" i="22"/>
  <c r="E609" i="22"/>
  <c r="E610" i="22"/>
  <c r="E611" i="22"/>
  <c r="E612" i="22"/>
  <c r="E613" i="22"/>
  <c r="E614" i="22"/>
  <c r="E615" i="22"/>
  <c r="E616" i="22"/>
  <c r="E617" i="22"/>
  <c r="E618" i="22"/>
  <c r="E619" i="22"/>
  <c r="E620" i="22"/>
  <c r="E621" i="22"/>
  <c r="E622" i="22"/>
  <c r="E623" i="22"/>
  <c r="E624" i="22"/>
  <c r="E625" i="22"/>
  <c r="E626" i="22"/>
  <c r="E627" i="22"/>
  <c r="E628" i="22"/>
  <c r="E629" i="22"/>
  <c r="E630" i="22"/>
  <c r="E631" i="22"/>
  <c r="E632" i="22"/>
  <c r="E633" i="22"/>
  <c r="E634" i="22"/>
  <c r="E635" i="22"/>
  <c r="E636" i="22"/>
  <c r="E637" i="22"/>
  <c r="E638" i="22"/>
  <c r="E639" i="22"/>
  <c r="E640" i="22"/>
  <c r="E641" i="22"/>
  <c r="E642" i="22"/>
  <c r="E643" i="22"/>
  <c r="E644" i="22"/>
  <c r="E645" i="22"/>
  <c r="E646" i="22"/>
  <c r="E647" i="22"/>
  <c r="E648" i="22"/>
  <c r="E649" i="22"/>
  <c r="E650" i="22"/>
  <c r="E651" i="22"/>
  <c r="E652" i="22"/>
  <c r="E653" i="22"/>
  <c r="E654" i="22"/>
  <c r="E655" i="22"/>
  <c r="E656" i="22"/>
  <c r="E657" i="22"/>
  <c r="E658" i="22"/>
  <c r="E659" i="22"/>
  <c r="E660" i="22"/>
  <c r="E661" i="22"/>
  <c r="E662" i="22"/>
  <c r="E663" i="22"/>
  <c r="E664" i="22"/>
  <c r="E665" i="22"/>
  <c r="E666" i="22"/>
  <c r="E667" i="22"/>
  <c r="E668" i="22"/>
  <c r="E669" i="22"/>
  <c r="E670" i="22"/>
  <c r="E671" i="22"/>
  <c r="E672" i="22"/>
  <c r="E673" i="22"/>
  <c r="E674" i="22"/>
  <c r="E675" i="22"/>
  <c r="E676" i="22"/>
  <c r="E677" i="22"/>
  <c r="E678" i="22"/>
  <c r="E679" i="22"/>
  <c r="E680" i="22"/>
  <c r="E681" i="22"/>
  <c r="E682" i="22"/>
  <c r="E683" i="22"/>
  <c r="E684" i="22"/>
  <c r="E685" i="22"/>
  <c r="E686" i="22"/>
  <c r="E687" i="22"/>
  <c r="E688" i="22"/>
  <c r="E689" i="22"/>
  <c r="E690" i="22"/>
  <c r="E691" i="22"/>
  <c r="E692" i="22"/>
  <c r="E693" i="22"/>
  <c r="E694" i="22"/>
  <c r="E695" i="22"/>
  <c r="E696" i="22"/>
  <c r="E697" i="22"/>
  <c r="E698" i="22"/>
  <c r="E699" i="22"/>
  <c r="E700" i="22"/>
  <c r="E701" i="22"/>
  <c r="E702" i="22"/>
  <c r="E703" i="22"/>
  <c r="E704" i="22"/>
  <c r="E705" i="22"/>
  <c r="E706" i="22"/>
  <c r="E707" i="22"/>
  <c r="E708" i="22"/>
  <c r="E709" i="22"/>
  <c r="E710" i="22"/>
  <c r="E711" i="22"/>
  <c r="E712" i="22"/>
  <c r="E713" i="22"/>
  <c r="E714" i="22"/>
  <c r="E715" i="22"/>
  <c r="E716" i="22"/>
  <c r="E717" i="22"/>
  <c r="E718" i="22"/>
  <c r="E719" i="22"/>
  <c r="E720" i="22"/>
  <c r="E721" i="22"/>
  <c r="E722" i="22"/>
  <c r="E723" i="22"/>
  <c r="E724" i="22"/>
  <c r="E725" i="22"/>
  <c r="E726" i="22"/>
  <c r="E727" i="22"/>
  <c r="E728" i="22"/>
  <c r="E729" i="22"/>
  <c r="E730" i="22"/>
  <c r="E731" i="22"/>
  <c r="E732" i="22"/>
  <c r="E733" i="22"/>
  <c r="E734" i="22"/>
  <c r="E735" i="22"/>
  <c r="E736" i="22"/>
  <c r="E737" i="22"/>
  <c r="E738" i="22"/>
  <c r="E739" i="22"/>
  <c r="E740" i="22"/>
  <c r="E741" i="22"/>
  <c r="E742" i="22"/>
  <c r="E743" i="22"/>
  <c r="E744" i="22"/>
  <c r="E745" i="22"/>
  <c r="E746" i="22"/>
  <c r="E747" i="22"/>
  <c r="E748" i="22"/>
  <c r="E749" i="22"/>
  <c r="E750" i="22"/>
  <c r="E751" i="22"/>
  <c r="E752" i="22"/>
  <c r="E753" i="22"/>
  <c r="E754" i="22"/>
  <c r="E755" i="22"/>
  <c r="E756" i="22"/>
  <c r="E757" i="22"/>
  <c r="E758" i="22"/>
  <c r="E759" i="22"/>
  <c r="E760" i="22"/>
  <c r="E761" i="22"/>
  <c r="E762" i="22"/>
  <c r="E763" i="22"/>
  <c r="E764" i="22"/>
  <c r="E765" i="22"/>
  <c r="E766" i="22"/>
  <c r="E767" i="22"/>
  <c r="E768" i="22"/>
  <c r="E769" i="22"/>
  <c r="E770" i="22"/>
  <c r="E771" i="22"/>
  <c r="E772" i="22"/>
  <c r="E773" i="22"/>
  <c r="E774" i="22"/>
  <c r="E775" i="22"/>
  <c r="E776" i="22"/>
  <c r="E777" i="22"/>
  <c r="E778" i="22"/>
  <c r="E779" i="22"/>
  <c r="E780" i="22"/>
  <c r="E781" i="22"/>
  <c r="E782" i="22"/>
  <c r="E783" i="22"/>
  <c r="E784" i="22"/>
  <c r="E785" i="22"/>
  <c r="E786" i="22"/>
  <c r="E787" i="22"/>
  <c r="E788" i="22"/>
  <c r="E789" i="22"/>
  <c r="E790" i="22"/>
  <c r="E791" i="22"/>
  <c r="E792" i="22"/>
  <c r="E793" i="22"/>
  <c r="E794" i="22"/>
  <c r="E795" i="22"/>
  <c r="E796" i="22"/>
  <c r="E797" i="22"/>
  <c r="E798" i="22"/>
  <c r="E799" i="22"/>
  <c r="E800" i="22"/>
  <c r="E801" i="22"/>
  <c r="E802" i="22"/>
  <c r="E803" i="22"/>
  <c r="E804" i="22"/>
  <c r="E805" i="22"/>
  <c r="E806" i="22"/>
  <c r="E807" i="22"/>
  <c r="E808" i="22"/>
  <c r="E809" i="22"/>
  <c r="E810" i="22"/>
  <c r="E811" i="22"/>
  <c r="E812" i="22"/>
  <c r="E813" i="22"/>
  <c r="E814" i="22"/>
  <c r="E815" i="22"/>
  <c r="E816" i="22"/>
  <c r="E817" i="22"/>
  <c r="E818" i="22"/>
  <c r="E819" i="22"/>
  <c r="E820" i="22"/>
  <c r="E821" i="22"/>
  <c r="E822" i="22"/>
  <c r="E823" i="22"/>
  <c r="E824" i="22"/>
  <c r="E825" i="22"/>
  <c r="E826" i="22"/>
  <c r="E827" i="22"/>
  <c r="E828" i="22"/>
  <c r="E829" i="22"/>
  <c r="E830" i="22"/>
  <c r="E831" i="22"/>
  <c r="E832" i="22"/>
  <c r="E833" i="22"/>
  <c r="E834" i="22"/>
  <c r="E835" i="22"/>
  <c r="E836" i="22"/>
  <c r="E837" i="22"/>
  <c r="E838" i="22"/>
  <c r="E839" i="22"/>
  <c r="E840" i="22"/>
  <c r="E841" i="22"/>
  <c r="E842" i="22"/>
  <c r="E843" i="22"/>
  <c r="E844" i="22"/>
  <c r="E845" i="22"/>
  <c r="E846" i="22"/>
  <c r="E847" i="22"/>
  <c r="E848" i="22"/>
  <c r="E849" i="22"/>
  <c r="E850" i="22"/>
  <c r="E851" i="22"/>
  <c r="E852" i="22"/>
  <c r="E853" i="22"/>
  <c r="E854" i="22"/>
  <c r="E855" i="22"/>
  <c r="E856" i="22"/>
  <c r="E857" i="22"/>
  <c r="E858" i="22"/>
  <c r="E859" i="22"/>
  <c r="E860" i="22"/>
  <c r="E861" i="22"/>
  <c r="E862" i="22"/>
  <c r="E863" i="22"/>
  <c r="E864" i="22"/>
  <c r="E865" i="22"/>
  <c r="E866" i="22"/>
  <c r="E867" i="22"/>
  <c r="E868" i="22"/>
  <c r="E869" i="22"/>
  <c r="E870" i="22"/>
  <c r="E871" i="22"/>
  <c r="E872" i="22"/>
  <c r="E873" i="22"/>
  <c r="E874" i="22"/>
  <c r="E875" i="22"/>
  <c r="E876" i="22"/>
  <c r="E877" i="22"/>
  <c r="E878" i="22"/>
  <c r="E879" i="22"/>
  <c r="E880" i="22"/>
  <c r="E881" i="22"/>
  <c r="E882" i="22"/>
  <c r="E883" i="22"/>
  <c r="E884" i="22"/>
  <c r="E885" i="22"/>
  <c r="E886" i="22"/>
  <c r="E887" i="22"/>
  <c r="E888" i="22"/>
  <c r="E889" i="22"/>
  <c r="E890" i="22"/>
  <c r="E891" i="22"/>
  <c r="E892" i="22"/>
  <c r="E893" i="22"/>
  <c r="E894" i="22"/>
  <c r="E895" i="22"/>
  <c r="E896" i="22"/>
  <c r="E897" i="22"/>
  <c r="E898" i="22"/>
  <c r="E899" i="22"/>
  <c r="E900" i="22"/>
  <c r="E901" i="22"/>
  <c r="E902" i="22"/>
  <c r="E903" i="22"/>
  <c r="E904" i="22"/>
  <c r="E905" i="22"/>
  <c r="E906" i="22"/>
  <c r="E907" i="22"/>
  <c r="E908" i="22"/>
  <c r="E909" i="22"/>
  <c r="E910" i="22"/>
  <c r="E911" i="22"/>
  <c r="E912" i="22"/>
  <c r="E913" i="22"/>
  <c r="E914" i="22"/>
  <c r="E915" i="22"/>
  <c r="E916" i="22"/>
  <c r="E917" i="22"/>
  <c r="E918" i="22"/>
  <c r="E919" i="22"/>
  <c r="E920" i="22"/>
  <c r="E921" i="22"/>
  <c r="E922" i="22"/>
  <c r="E923" i="22"/>
  <c r="E924" i="22"/>
  <c r="E925" i="22"/>
  <c r="E926" i="22"/>
  <c r="E927" i="22"/>
  <c r="E928" i="22"/>
  <c r="E929" i="22"/>
  <c r="E930" i="22"/>
  <c r="E931" i="22"/>
  <c r="E932" i="22"/>
  <c r="E933" i="22"/>
  <c r="E934" i="22"/>
  <c r="E935" i="22"/>
  <c r="E936" i="22"/>
  <c r="E937" i="22"/>
  <c r="E938" i="22"/>
  <c r="E939" i="22"/>
  <c r="E940" i="22"/>
  <c r="E941" i="22"/>
  <c r="E942" i="22"/>
  <c r="E943" i="22"/>
  <c r="E944" i="22"/>
  <c r="E945" i="22"/>
  <c r="E946" i="22"/>
  <c r="E947" i="22"/>
  <c r="E948" i="22"/>
  <c r="E949" i="22"/>
  <c r="E950" i="22"/>
  <c r="E951" i="22"/>
  <c r="E952" i="22"/>
  <c r="E953" i="22"/>
  <c r="E954" i="22"/>
  <c r="E955" i="22"/>
  <c r="E956" i="22"/>
  <c r="E957" i="22"/>
  <c r="E958" i="22"/>
  <c r="E959" i="22"/>
  <c r="E960" i="22"/>
  <c r="E961" i="22"/>
  <c r="E962" i="22"/>
  <c r="E963" i="22"/>
  <c r="E964" i="22"/>
  <c r="E965" i="22"/>
  <c r="E966" i="22"/>
  <c r="E967" i="22"/>
  <c r="E968" i="22"/>
  <c r="E969" i="22"/>
  <c r="E970" i="22"/>
  <c r="E971" i="22"/>
  <c r="E972" i="22"/>
  <c r="E973" i="22"/>
  <c r="E974" i="22"/>
  <c r="E975" i="22"/>
  <c r="E976" i="22"/>
  <c r="E977" i="22"/>
  <c r="E978" i="22"/>
  <c r="E979" i="22"/>
  <c r="E980" i="22"/>
  <c r="E981" i="22"/>
  <c r="E982" i="22"/>
  <c r="E983" i="22"/>
  <c r="E984" i="22"/>
  <c r="E985" i="22"/>
  <c r="E986" i="22"/>
  <c r="E987" i="22"/>
  <c r="E988" i="22"/>
  <c r="E989" i="22"/>
  <c r="E990" i="22"/>
  <c r="E991" i="22"/>
  <c r="E992" i="22"/>
  <c r="E993" i="22"/>
  <c r="E994" i="22"/>
  <c r="E995" i="22"/>
  <c r="E996" i="22"/>
  <c r="E997" i="22"/>
  <c r="E998" i="22"/>
  <c r="E999" i="22"/>
  <c r="E1000" i="22"/>
  <c r="E1001" i="22"/>
  <c r="E1002" i="22"/>
  <c r="E1003" i="22"/>
  <c r="E1004" i="22"/>
  <c r="E1005" i="22"/>
  <c r="E1006" i="22"/>
  <c r="E1007" i="22"/>
  <c r="E1008" i="22"/>
  <c r="E1009" i="22"/>
  <c r="E1010" i="22"/>
  <c r="E1011" i="22"/>
  <c r="E1012" i="22"/>
  <c r="E1013" i="22"/>
  <c r="E1014" i="22"/>
  <c r="E1015" i="22"/>
  <c r="E1016" i="22"/>
  <c r="E1017" i="22"/>
  <c r="E1018" i="22"/>
  <c r="E1019" i="22"/>
  <c r="E1020" i="22"/>
  <c r="E1021" i="22"/>
  <c r="E1022" i="22"/>
  <c r="E1023" i="22"/>
  <c r="E1024" i="22"/>
  <c r="E1025" i="22"/>
  <c r="E1026" i="22"/>
  <c r="E1027" i="22"/>
  <c r="E1028" i="22"/>
  <c r="E1029" i="22"/>
  <c r="E1030" i="22"/>
  <c r="E1031" i="22"/>
  <c r="E1032" i="22"/>
  <c r="E1033" i="22"/>
  <c r="E1034" i="22"/>
  <c r="E1035" i="22"/>
  <c r="E1036" i="22"/>
  <c r="E1037" i="22"/>
  <c r="E1038" i="22"/>
  <c r="E1039" i="22"/>
  <c r="E1040" i="22"/>
  <c r="E1041" i="22"/>
  <c r="E1042" i="22"/>
  <c r="E1043" i="22"/>
  <c r="E1044" i="22"/>
  <c r="E1045" i="22"/>
  <c r="E1046" i="22"/>
  <c r="E1047" i="22"/>
  <c r="E1048" i="22"/>
  <c r="E1049" i="22"/>
  <c r="E1050" i="22"/>
  <c r="E1051" i="22"/>
  <c r="E1052" i="22"/>
  <c r="E1053" i="22"/>
  <c r="E1054" i="22"/>
  <c r="E1055" i="22"/>
  <c r="E1056" i="22"/>
  <c r="E1057" i="22"/>
  <c r="E1058" i="22"/>
  <c r="E1059" i="22"/>
  <c r="E1060" i="22"/>
  <c r="E1061" i="22"/>
  <c r="E1062" i="22"/>
  <c r="E1063" i="22"/>
  <c r="E1064" i="22"/>
  <c r="E1065" i="22"/>
  <c r="E1066" i="22"/>
  <c r="E1067" i="22"/>
  <c r="E1068" i="22"/>
  <c r="E1069" i="22"/>
  <c r="E1070" i="22"/>
  <c r="E1071" i="22"/>
  <c r="E1072" i="22"/>
  <c r="E1073" i="22"/>
  <c r="E1074" i="22"/>
  <c r="E1075" i="22"/>
  <c r="E1076" i="22"/>
  <c r="E1077" i="22"/>
  <c r="E1078" i="22"/>
  <c r="E1079" i="22"/>
  <c r="E1080" i="22"/>
  <c r="E1081" i="22"/>
  <c r="E1082" i="22"/>
  <c r="E1083" i="22"/>
  <c r="E1084" i="22"/>
  <c r="E1085" i="22"/>
  <c r="E1086" i="22"/>
  <c r="E1087" i="22"/>
  <c r="E1088" i="22"/>
  <c r="E1089" i="22"/>
  <c r="E1090" i="22"/>
  <c r="E1091" i="22"/>
  <c r="E1092" i="22"/>
  <c r="E1093" i="22"/>
  <c r="E1094" i="22"/>
  <c r="E1095" i="22"/>
  <c r="E1096" i="22"/>
  <c r="E1097" i="22"/>
  <c r="E1098" i="22"/>
  <c r="E1099" i="22"/>
  <c r="E1100" i="22"/>
  <c r="E1101" i="22"/>
  <c r="E1102" i="22"/>
  <c r="E1103" i="22"/>
  <c r="E1104" i="22"/>
  <c r="E1105" i="22"/>
  <c r="E1106" i="22"/>
  <c r="E1107" i="22"/>
  <c r="E1108" i="22"/>
  <c r="E1109" i="22"/>
  <c r="E1110" i="22"/>
  <c r="E1111" i="22"/>
  <c r="E1112" i="22"/>
  <c r="E1113" i="22"/>
  <c r="E1114" i="22"/>
  <c r="E1115" i="22"/>
  <c r="E1116" i="22"/>
  <c r="E1117" i="22"/>
  <c r="E1118" i="22"/>
  <c r="E1119" i="22"/>
  <c r="E1120" i="22"/>
  <c r="E1121" i="22"/>
  <c r="E1122" i="22"/>
  <c r="E1123" i="22"/>
  <c r="E1124" i="22"/>
  <c r="E1125" i="22"/>
  <c r="E1126" i="22"/>
  <c r="E1127" i="22"/>
  <c r="E1128" i="22"/>
  <c r="E1129" i="22"/>
  <c r="E1130" i="22"/>
  <c r="E1131" i="22"/>
  <c r="E1132" i="22"/>
  <c r="E1133" i="22"/>
  <c r="E1134" i="22"/>
  <c r="E1135" i="22"/>
  <c r="E1136" i="22"/>
  <c r="E1137" i="22"/>
  <c r="E1138" i="22"/>
  <c r="E1139" i="22"/>
  <c r="E1140" i="22"/>
  <c r="E1141" i="22"/>
  <c r="E1142" i="22"/>
  <c r="E1143" i="22"/>
  <c r="E1144" i="22"/>
  <c r="E1145" i="22"/>
  <c r="E1146" i="22"/>
  <c r="E1147" i="22"/>
  <c r="E1148" i="22"/>
  <c r="E1149" i="22"/>
  <c r="E1150" i="22"/>
  <c r="E1151" i="22"/>
  <c r="E1152" i="22"/>
  <c r="E1153" i="22"/>
  <c r="E1154" i="22"/>
  <c r="E1155" i="22"/>
  <c r="E1156" i="22"/>
  <c r="E1157" i="22"/>
  <c r="E1158" i="22"/>
  <c r="E1159" i="22"/>
  <c r="E1160" i="22"/>
  <c r="E1161" i="22"/>
  <c r="E1162" i="22"/>
  <c r="E1163" i="22"/>
  <c r="E1164" i="22"/>
  <c r="E1165" i="22"/>
  <c r="E1166" i="22"/>
  <c r="E1167" i="22"/>
  <c r="E1168" i="22"/>
  <c r="E1169" i="22"/>
  <c r="E1170" i="22"/>
  <c r="E1171" i="22"/>
  <c r="E1172" i="22"/>
  <c r="E1173" i="22"/>
  <c r="E1174" i="22"/>
  <c r="E1175" i="22"/>
  <c r="E1176" i="22"/>
  <c r="E1177" i="22"/>
  <c r="E1178" i="22"/>
  <c r="E1179" i="22"/>
  <c r="E1180" i="22"/>
  <c r="E1181" i="22"/>
  <c r="E1182" i="22"/>
  <c r="E1183" i="22"/>
  <c r="E1184" i="22"/>
  <c r="E1185" i="22"/>
  <c r="E1186" i="22"/>
  <c r="E1187" i="22"/>
  <c r="E1188" i="22"/>
  <c r="E1189" i="22"/>
  <c r="E1190" i="22"/>
  <c r="E1191" i="22"/>
  <c r="E1192" i="22"/>
  <c r="E1193" i="22"/>
  <c r="E1194" i="22"/>
  <c r="E1195" i="22"/>
  <c r="E1196" i="22"/>
  <c r="E1197" i="22"/>
  <c r="E1198" i="22"/>
  <c r="E1199" i="22"/>
  <c r="E1200" i="22"/>
  <c r="E1201" i="22"/>
  <c r="E1202" i="22"/>
  <c r="E1203" i="22"/>
  <c r="E1204" i="22"/>
  <c r="E1205" i="22"/>
  <c r="E1206" i="22"/>
  <c r="E1207" i="22"/>
  <c r="E1208" i="22"/>
  <c r="E1209" i="22"/>
  <c r="E1210" i="22"/>
  <c r="E1211" i="22"/>
  <c r="E1212" i="22"/>
  <c r="E1213" i="22"/>
  <c r="E1214" i="22"/>
  <c r="E1215" i="22"/>
  <c r="E1216" i="22"/>
  <c r="E1217" i="22"/>
  <c r="E1218" i="22"/>
  <c r="E1219" i="22"/>
  <c r="E1220" i="22"/>
  <c r="E1221" i="22"/>
  <c r="E1222" i="22"/>
  <c r="E1223" i="22"/>
  <c r="E1224" i="22"/>
  <c r="E1225" i="22"/>
  <c r="E1226" i="22"/>
  <c r="E1227" i="22"/>
  <c r="E1228" i="22"/>
  <c r="E1229" i="22"/>
  <c r="E1230" i="22"/>
  <c r="E1231" i="22"/>
  <c r="E1232" i="22"/>
  <c r="E1233" i="22"/>
  <c r="E1234" i="22"/>
  <c r="E1235" i="22"/>
  <c r="E1236" i="22"/>
  <c r="E1237" i="22"/>
  <c r="E1238" i="22"/>
  <c r="E1239" i="22"/>
  <c r="E1240" i="22"/>
  <c r="E1241" i="22"/>
  <c r="E1242" i="22"/>
  <c r="E1243" i="22"/>
  <c r="E1244" i="22"/>
  <c r="E1245" i="22"/>
  <c r="E1246" i="22"/>
  <c r="E1247" i="22"/>
  <c r="E1248" i="22"/>
  <c r="E1249" i="22"/>
  <c r="E1250" i="22"/>
  <c r="E1251" i="22"/>
  <c r="E1252" i="22"/>
  <c r="E1253" i="22"/>
  <c r="E1254" i="22"/>
  <c r="E1255" i="22"/>
  <c r="E1256" i="22"/>
  <c r="E1257" i="22"/>
  <c r="E1258" i="22"/>
  <c r="E1259" i="22"/>
  <c r="E1260" i="22"/>
  <c r="E1261" i="22"/>
  <c r="E1262" i="22"/>
  <c r="E1263" i="22"/>
  <c r="E1264" i="22"/>
  <c r="E1265" i="22"/>
  <c r="E1266" i="22"/>
  <c r="E1267" i="22"/>
  <c r="E1268" i="22"/>
  <c r="E1269" i="22"/>
  <c r="E1270" i="22"/>
  <c r="E1271" i="22"/>
  <c r="E1272" i="22"/>
  <c r="E1273" i="22"/>
  <c r="E1274" i="22"/>
  <c r="E1275" i="22"/>
  <c r="E1276" i="22"/>
  <c r="E1277" i="22"/>
  <c r="E1278" i="22"/>
  <c r="E1279" i="22"/>
  <c r="E1280" i="22"/>
  <c r="E1281" i="22"/>
  <c r="E1282" i="22"/>
  <c r="E1283" i="22"/>
  <c r="E1284" i="22"/>
  <c r="E1285" i="22"/>
  <c r="E1286" i="22"/>
  <c r="E1287" i="22"/>
  <c r="E1288" i="22"/>
  <c r="E1289" i="22"/>
  <c r="E1290" i="22"/>
  <c r="E1291" i="22"/>
  <c r="E1292" i="22"/>
  <c r="E1293" i="22"/>
  <c r="E1294" i="22"/>
  <c r="E1295" i="22"/>
  <c r="E1296" i="22"/>
  <c r="E1297" i="22"/>
  <c r="E1298" i="22"/>
  <c r="E1299" i="22"/>
  <c r="E1300" i="22"/>
  <c r="E1301" i="22"/>
  <c r="E1302" i="22"/>
  <c r="E1303" i="22"/>
  <c r="E1304" i="22"/>
  <c r="E1305" i="22"/>
  <c r="E1306" i="22"/>
  <c r="E1307" i="22"/>
  <c r="E1308" i="22"/>
  <c r="E1309" i="22"/>
  <c r="E1310" i="22"/>
  <c r="E1311" i="22"/>
  <c r="E1312" i="22"/>
  <c r="E1313" i="22"/>
  <c r="E1314" i="22"/>
  <c r="E1315" i="22"/>
  <c r="E1316" i="22"/>
  <c r="E1317" i="22"/>
  <c r="E1318" i="22"/>
  <c r="E1319" i="22"/>
  <c r="E1320" i="22"/>
  <c r="E1321" i="22"/>
  <c r="E1322" i="22"/>
  <c r="E1323" i="22"/>
  <c r="E1324" i="22"/>
  <c r="E1325" i="22"/>
  <c r="E1326" i="22"/>
  <c r="E1327" i="22"/>
  <c r="E1328" i="22"/>
  <c r="E1329" i="22"/>
  <c r="E1330" i="22"/>
  <c r="E1331" i="22"/>
  <c r="E1332" i="22"/>
  <c r="E1333" i="22"/>
  <c r="E1334" i="22"/>
  <c r="E1335" i="22"/>
  <c r="E1336" i="22"/>
  <c r="E1337" i="22"/>
  <c r="E1338" i="22"/>
  <c r="E1339" i="22"/>
  <c r="E1340" i="22"/>
  <c r="E1341" i="22"/>
  <c r="E1342" i="22"/>
  <c r="E1343" i="22"/>
  <c r="E1344" i="22"/>
  <c r="E1345" i="22"/>
  <c r="E1346" i="22"/>
  <c r="E1347" i="22"/>
  <c r="E1348" i="22"/>
  <c r="E1349" i="22"/>
  <c r="E1350" i="22"/>
  <c r="E1351" i="22"/>
  <c r="E1352" i="22"/>
  <c r="E1353" i="22"/>
  <c r="E1354" i="22"/>
  <c r="E1355" i="22"/>
  <c r="E1356" i="22"/>
  <c r="E1357" i="22"/>
  <c r="E1358" i="22"/>
  <c r="E1359" i="22"/>
  <c r="E1360" i="22"/>
  <c r="E1361" i="22"/>
  <c r="E1362" i="22"/>
  <c r="E1363" i="22"/>
  <c r="E1364" i="22"/>
  <c r="E1365" i="22"/>
  <c r="E1366" i="22"/>
  <c r="E1367" i="22"/>
  <c r="E1368" i="22"/>
  <c r="E1369" i="22"/>
  <c r="E1370" i="22"/>
  <c r="E1371" i="22"/>
  <c r="E1372" i="22"/>
  <c r="E1373" i="22"/>
  <c r="E1374" i="22"/>
  <c r="E1375" i="22"/>
  <c r="E1376" i="22"/>
  <c r="E1377" i="22"/>
  <c r="E1378" i="22"/>
  <c r="E1379" i="22"/>
  <c r="E1380" i="22"/>
  <c r="E1381" i="22"/>
  <c r="E1382" i="22"/>
  <c r="E1383" i="22"/>
  <c r="E1384" i="22"/>
  <c r="E1385" i="22"/>
  <c r="E1386" i="22"/>
  <c r="E1387" i="22"/>
  <c r="E1388" i="22"/>
  <c r="E1389" i="22"/>
  <c r="E1390" i="22"/>
  <c r="E1391" i="22"/>
  <c r="E1392" i="22"/>
  <c r="E1393" i="22"/>
  <c r="E1394" i="22"/>
  <c r="E1395" i="22"/>
  <c r="E1396" i="22"/>
  <c r="E1397" i="22"/>
  <c r="E1398" i="22"/>
  <c r="E1399" i="22"/>
  <c r="E1400" i="22"/>
  <c r="E1401" i="22"/>
  <c r="E1402" i="22"/>
  <c r="E1403" i="22"/>
  <c r="E1404" i="22"/>
  <c r="E1405" i="22"/>
  <c r="E1406" i="22"/>
  <c r="E1407" i="22"/>
  <c r="E1408" i="22"/>
  <c r="E1409" i="22"/>
  <c r="E1410" i="22"/>
  <c r="E1411" i="22"/>
  <c r="E1412" i="22"/>
  <c r="E1413" i="22"/>
  <c r="E1414" i="22"/>
  <c r="E1415" i="22"/>
  <c r="E1416" i="22"/>
  <c r="E1417" i="22"/>
  <c r="E1418" i="22"/>
  <c r="E1419" i="22"/>
  <c r="E1420" i="22"/>
  <c r="E1421" i="22"/>
  <c r="E1422" i="22"/>
  <c r="E1423" i="22"/>
  <c r="E1424" i="22"/>
  <c r="E1425" i="22"/>
  <c r="E1426" i="22"/>
  <c r="E1427" i="22"/>
  <c r="E1428" i="22"/>
  <c r="E1429" i="22"/>
  <c r="E1430" i="22"/>
  <c r="E1431" i="22"/>
  <c r="E1432" i="22"/>
  <c r="E1433" i="22"/>
  <c r="E1434" i="22"/>
  <c r="E1435" i="22"/>
  <c r="E1436" i="22"/>
  <c r="E1437" i="22"/>
  <c r="E1438" i="22"/>
  <c r="E1439" i="22"/>
  <c r="E1440" i="22"/>
  <c r="E1441" i="22"/>
  <c r="E1442" i="22"/>
  <c r="E1443" i="22"/>
  <c r="E1444" i="22"/>
  <c r="E1445" i="22"/>
  <c r="E1446" i="22"/>
  <c r="E1447" i="22"/>
  <c r="E1448" i="22"/>
  <c r="E1449" i="22"/>
  <c r="E1450" i="22"/>
  <c r="E1451" i="22"/>
  <c r="E1452" i="22"/>
  <c r="E1453" i="22"/>
  <c r="E1454" i="22"/>
  <c r="E1455" i="22"/>
  <c r="E1456" i="22"/>
  <c r="E1457" i="22"/>
  <c r="E1458" i="22"/>
  <c r="E1459" i="22"/>
  <c r="E1460" i="22"/>
  <c r="E1461" i="22"/>
  <c r="E1462" i="22"/>
  <c r="E1463" i="22"/>
  <c r="E1464" i="22"/>
  <c r="E1465" i="22"/>
  <c r="E1466" i="22"/>
  <c r="E1467" i="22"/>
  <c r="E1468" i="22"/>
  <c r="E1469" i="22"/>
  <c r="E1470" i="22"/>
  <c r="E1471" i="22"/>
  <c r="E1472" i="22"/>
  <c r="E1473" i="22"/>
  <c r="E1474" i="22"/>
  <c r="E1475" i="22"/>
  <c r="E1476" i="22"/>
  <c r="E1477" i="22"/>
  <c r="E1478" i="22"/>
  <c r="E1479" i="22"/>
  <c r="E1480" i="22"/>
  <c r="E1481" i="22"/>
  <c r="E1482" i="22"/>
  <c r="E1483" i="22"/>
  <c r="E1484" i="22"/>
  <c r="E1485" i="22"/>
  <c r="E1486" i="22"/>
  <c r="E1487" i="22"/>
  <c r="E1488" i="22"/>
  <c r="E1489" i="22"/>
  <c r="E1490" i="22"/>
  <c r="E1491" i="22"/>
  <c r="E1492" i="22"/>
  <c r="E1493" i="22"/>
  <c r="E1494" i="22"/>
  <c r="E1495" i="22"/>
  <c r="E1496" i="22"/>
  <c r="E1497" i="22"/>
  <c r="E1498" i="22"/>
  <c r="E1499" i="22"/>
  <c r="E1500" i="22"/>
  <c r="E1501" i="22"/>
  <c r="E1502" i="22"/>
  <c r="E1503" i="22"/>
  <c r="E1504" i="22"/>
  <c r="E1505" i="22"/>
  <c r="E1506" i="22"/>
  <c r="E1507" i="22"/>
  <c r="E1508" i="22"/>
  <c r="E1509" i="22"/>
  <c r="E1510" i="22"/>
  <c r="E1511" i="22"/>
  <c r="E1512" i="22"/>
  <c r="E1513" i="22"/>
  <c r="E1514" i="22"/>
  <c r="E1515" i="22"/>
  <c r="E1516" i="22"/>
  <c r="E1517" i="22"/>
  <c r="E1518" i="22"/>
  <c r="E1519" i="22"/>
  <c r="E1520" i="22"/>
  <c r="E1521" i="22"/>
  <c r="E1522" i="22"/>
  <c r="E1523" i="22"/>
  <c r="E1524" i="22"/>
  <c r="E1525" i="22"/>
  <c r="E1526" i="22"/>
  <c r="E1527" i="22"/>
  <c r="E1528" i="22"/>
  <c r="E1529" i="22"/>
  <c r="E1530" i="22"/>
  <c r="E1531" i="22"/>
  <c r="E1532" i="22"/>
  <c r="E1533" i="22"/>
  <c r="E1534" i="22"/>
  <c r="E1535" i="22"/>
  <c r="E1536" i="22"/>
  <c r="E1537" i="22"/>
  <c r="E1538" i="22"/>
  <c r="E1539" i="22"/>
  <c r="E1540" i="22"/>
  <c r="E1541" i="22"/>
  <c r="E1542" i="22"/>
  <c r="E1543" i="22"/>
  <c r="E1544" i="22"/>
  <c r="E1545" i="22"/>
  <c r="E1546" i="22"/>
  <c r="E1547" i="22"/>
  <c r="E1548" i="22"/>
  <c r="E1549" i="22"/>
  <c r="E1550" i="22"/>
  <c r="E1551" i="22"/>
  <c r="E1552" i="22"/>
  <c r="E1553" i="22"/>
  <c r="E1554" i="22"/>
  <c r="E1555" i="22"/>
  <c r="E1556" i="22"/>
  <c r="E1557" i="22"/>
  <c r="E1558" i="22"/>
  <c r="E1559" i="22"/>
  <c r="E1560" i="22"/>
  <c r="E1561" i="22"/>
  <c r="E1562" i="22"/>
  <c r="E1563" i="22"/>
  <c r="E1564" i="22"/>
  <c r="E1565" i="22"/>
  <c r="E1566" i="22"/>
  <c r="E1567" i="22"/>
  <c r="E1568" i="22"/>
  <c r="E1569" i="22"/>
  <c r="E1570" i="22"/>
  <c r="E1571" i="22"/>
  <c r="E1572" i="22"/>
  <c r="E1573" i="22"/>
  <c r="E1574" i="22"/>
  <c r="E1575" i="22"/>
  <c r="E1576" i="22"/>
  <c r="E1577" i="22"/>
  <c r="E1578" i="22"/>
  <c r="E1579" i="22"/>
  <c r="E1580" i="22"/>
  <c r="E1581" i="22"/>
  <c r="E1582" i="22"/>
  <c r="E1583" i="22"/>
  <c r="E1584" i="22"/>
  <c r="E1585" i="22"/>
  <c r="E1586" i="22"/>
  <c r="E1587" i="22"/>
  <c r="E1588" i="22"/>
  <c r="E1589" i="22"/>
  <c r="E1590" i="22"/>
  <c r="E1591" i="22"/>
  <c r="E1592" i="22"/>
  <c r="E1593" i="22"/>
  <c r="E1594" i="22"/>
  <c r="E1595" i="22"/>
  <c r="E1596" i="22"/>
  <c r="E1597" i="22"/>
  <c r="E1598" i="22"/>
  <c r="E1599" i="22"/>
  <c r="E1600" i="22"/>
  <c r="E1601" i="22"/>
  <c r="E1602" i="22"/>
  <c r="E1603" i="22"/>
  <c r="E1604" i="22"/>
  <c r="E1605" i="22"/>
  <c r="E1606" i="22"/>
  <c r="E1607" i="22"/>
  <c r="E1608" i="22"/>
  <c r="E1609" i="22"/>
  <c r="E1610" i="22"/>
  <c r="E1611" i="22"/>
  <c r="E1612" i="22"/>
  <c r="E1613" i="22"/>
  <c r="E1614" i="22"/>
  <c r="E1615" i="22"/>
  <c r="E1616" i="22"/>
  <c r="E1617" i="22"/>
  <c r="E1618" i="22"/>
  <c r="E1619" i="22"/>
  <c r="E1620" i="22"/>
  <c r="E1621" i="22"/>
  <c r="E1622" i="22"/>
  <c r="E1623" i="22"/>
  <c r="E1624" i="22"/>
  <c r="E1625" i="22"/>
  <c r="E1626" i="22"/>
  <c r="E1627" i="22"/>
  <c r="E1628" i="22"/>
  <c r="E1629" i="22"/>
  <c r="E1630" i="22"/>
  <c r="E1631" i="22"/>
  <c r="E1632" i="22"/>
  <c r="E1633" i="22"/>
  <c r="E1634" i="22"/>
  <c r="E1635" i="22"/>
  <c r="E1636" i="22"/>
  <c r="E1637" i="22"/>
  <c r="E1638" i="22"/>
  <c r="E1639" i="22"/>
  <c r="E1640" i="22"/>
  <c r="E1641" i="22"/>
  <c r="E1642" i="22"/>
  <c r="E1643" i="22"/>
  <c r="E1644" i="22"/>
  <c r="E1645" i="22"/>
  <c r="E1646" i="22"/>
  <c r="E1647" i="22"/>
  <c r="E1648" i="22"/>
  <c r="E1649" i="22"/>
  <c r="E1650" i="22"/>
  <c r="E1651" i="22"/>
  <c r="E1652" i="22"/>
  <c r="E1653" i="22"/>
  <c r="E1654" i="22"/>
  <c r="E1655" i="22"/>
  <c r="E1656" i="22"/>
  <c r="E1657" i="22"/>
  <c r="E1658" i="22"/>
  <c r="E1659" i="22"/>
  <c r="E1660" i="22"/>
  <c r="E1661" i="22"/>
  <c r="E1662" i="22"/>
  <c r="E1663" i="22"/>
  <c r="E1664" i="22"/>
  <c r="E1665" i="22"/>
  <c r="E1666" i="22"/>
  <c r="E1667" i="22"/>
  <c r="E1668" i="22"/>
  <c r="E1669" i="22"/>
  <c r="E1670" i="22"/>
  <c r="E1671" i="22"/>
  <c r="E1672" i="22"/>
  <c r="E1673" i="22"/>
  <c r="E1674" i="22"/>
  <c r="E1675" i="22"/>
  <c r="E1676" i="22"/>
  <c r="E1677" i="22"/>
  <c r="E1678" i="22"/>
  <c r="E1679" i="22"/>
  <c r="E1680" i="22"/>
  <c r="E1681" i="22"/>
  <c r="E1682" i="22"/>
  <c r="E1683" i="22"/>
  <c r="E1684" i="22"/>
  <c r="E1685" i="22"/>
  <c r="E1686" i="22"/>
  <c r="E1687" i="22"/>
  <c r="E1688" i="22"/>
  <c r="E1689" i="22"/>
  <c r="E1690" i="22"/>
  <c r="E1691" i="22"/>
  <c r="E1692" i="22"/>
  <c r="E1693" i="22"/>
  <c r="E1694" i="22"/>
  <c r="E1695" i="22"/>
  <c r="E1696" i="22"/>
  <c r="E1697" i="22"/>
  <c r="E1698" i="22"/>
  <c r="E1699" i="22"/>
  <c r="E1700" i="22"/>
  <c r="E1701" i="22"/>
  <c r="E1702" i="22"/>
  <c r="E1703" i="22"/>
  <c r="E1704" i="22"/>
  <c r="E1705" i="22"/>
  <c r="E1706" i="22"/>
  <c r="E1707" i="22"/>
  <c r="E1708" i="22"/>
  <c r="E1709" i="22"/>
  <c r="E1710" i="22"/>
  <c r="E1711" i="22"/>
  <c r="E1712" i="22"/>
  <c r="E1713" i="22"/>
  <c r="E1714" i="22"/>
  <c r="E1715" i="22"/>
  <c r="E1716" i="22"/>
  <c r="E1717" i="22"/>
  <c r="E1718" i="22"/>
  <c r="E1719" i="22"/>
  <c r="E1720" i="22"/>
  <c r="E1721" i="22"/>
  <c r="E1722" i="22"/>
  <c r="E1723" i="22"/>
  <c r="E1724" i="22"/>
  <c r="E1725" i="22"/>
  <c r="E1726" i="22"/>
  <c r="E1727" i="22"/>
  <c r="E1728" i="22"/>
  <c r="E1729" i="22"/>
  <c r="E1730" i="22"/>
  <c r="E1731" i="22"/>
  <c r="E1732" i="22"/>
  <c r="E1733" i="22"/>
  <c r="E1734" i="22"/>
  <c r="E1735" i="22"/>
  <c r="E1736" i="22"/>
  <c r="E1737" i="22"/>
  <c r="E1738" i="22"/>
  <c r="E1739" i="22"/>
  <c r="E1740" i="22"/>
  <c r="E1741" i="22"/>
  <c r="E1742" i="22"/>
  <c r="E1743" i="22"/>
  <c r="E1744" i="22"/>
  <c r="E1745" i="22"/>
  <c r="E1746" i="22"/>
  <c r="E1747" i="22"/>
  <c r="E1748" i="22"/>
  <c r="E1749" i="22"/>
  <c r="E1750" i="22"/>
  <c r="E1751" i="22"/>
  <c r="E1752" i="22"/>
  <c r="E1753" i="22"/>
  <c r="E1754" i="22"/>
  <c r="E1755" i="22"/>
  <c r="E1756" i="22"/>
  <c r="E1757" i="22"/>
  <c r="E1758" i="22"/>
  <c r="E1759" i="22"/>
  <c r="E1760" i="22"/>
  <c r="E1761" i="22"/>
  <c r="E1762" i="22"/>
  <c r="E1763" i="22"/>
  <c r="E1764" i="22"/>
  <c r="E1765" i="22"/>
  <c r="E1766" i="22"/>
  <c r="E1767" i="22"/>
  <c r="E1768" i="22"/>
  <c r="E1769" i="22"/>
  <c r="E1770" i="22"/>
  <c r="E1771" i="22"/>
  <c r="E1772" i="22"/>
  <c r="E1773" i="22"/>
  <c r="E1774" i="22"/>
  <c r="E1775" i="22"/>
  <c r="E1776" i="22"/>
  <c r="E1777" i="22"/>
  <c r="E1778" i="22"/>
  <c r="E1779" i="22"/>
  <c r="E1780" i="22"/>
  <c r="E1781" i="22"/>
  <c r="E1782" i="22"/>
  <c r="E1783" i="22"/>
  <c r="E1784" i="22"/>
  <c r="E1785" i="22"/>
  <c r="E1786" i="22"/>
  <c r="E1787" i="22"/>
  <c r="E1788" i="22"/>
  <c r="E1789" i="22"/>
  <c r="E1790" i="22"/>
  <c r="E1791" i="22"/>
  <c r="E1792" i="22"/>
  <c r="E1793" i="22"/>
  <c r="E1794" i="22"/>
  <c r="E1795" i="22"/>
  <c r="E1796" i="22"/>
  <c r="E1797" i="22"/>
  <c r="E1798" i="22"/>
  <c r="E1799" i="22"/>
  <c r="E1800" i="22"/>
  <c r="E1801" i="22"/>
  <c r="E1802" i="22"/>
  <c r="E1803" i="22"/>
  <c r="E1804" i="22"/>
  <c r="E1805" i="22"/>
  <c r="E1806" i="22"/>
  <c r="E1807" i="22"/>
  <c r="E1808" i="22"/>
  <c r="E1809" i="22"/>
  <c r="E1810" i="22"/>
  <c r="E1811" i="22"/>
  <c r="E1812" i="22"/>
  <c r="E1813" i="22"/>
  <c r="E1814" i="22"/>
  <c r="E1815" i="22"/>
  <c r="E1816" i="22"/>
  <c r="E1817" i="22"/>
  <c r="E1818" i="22"/>
  <c r="E1819" i="22"/>
  <c r="E1820" i="22"/>
  <c r="E1821" i="22"/>
  <c r="E1822" i="22"/>
  <c r="E1823" i="22"/>
  <c r="E1824" i="22"/>
  <c r="E1825" i="22"/>
  <c r="E1826" i="22"/>
  <c r="E1827" i="22"/>
  <c r="E1828" i="22"/>
  <c r="E1829" i="22"/>
  <c r="E1830" i="22"/>
  <c r="E1831" i="22"/>
  <c r="E1832" i="22"/>
  <c r="E1833" i="22"/>
  <c r="E1834" i="22"/>
  <c r="E1835" i="22"/>
  <c r="E1836" i="22"/>
  <c r="E1837" i="22"/>
  <c r="E1838" i="22"/>
  <c r="E1839" i="22"/>
  <c r="E1840" i="22"/>
  <c r="E1841" i="22"/>
  <c r="E1842" i="22"/>
  <c r="E1843" i="22"/>
  <c r="E1844" i="22"/>
  <c r="E1845" i="22"/>
  <c r="E1846" i="22"/>
  <c r="E1847" i="22"/>
  <c r="E1848" i="22"/>
  <c r="E1849" i="22"/>
  <c r="E1850" i="22"/>
  <c r="E1851" i="22"/>
  <c r="E1852" i="22"/>
  <c r="E1853" i="22"/>
  <c r="E1854" i="22"/>
  <c r="E1855" i="22"/>
  <c r="E1856" i="22"/>
  <c r="E1857" i="22"/>
  <c r="E1858" i="22"/>
  <c r="E1859" i="22"/>
  <c r="E1860" i="22"/>
  <c r="E1861" i="22"/>
  <c r="E1862" i="22"/>
  <c r="E1863" i="22"/>
  <c r="E1864" i="22"/>
  <c r="E1865" i="22"/>
  <c r="E1866" i="22"/>
  <c r="E1867" i="22"/>
  <c r="E1868" i="22"/>
  <c r="E1869" i="22"/>
  <c r="E1870" i="22"/>
  <c r="E1871" i="22"/>
  <c r="E1872" i="22"/>
  <c r="E1873" i="22"/>
  <c r="E1874" i="22"/>
  <c r="E1875" i="22"/>
  <c r="E1876" i="22"/>
  <c r="E1877" i="22"/>
  <c r="E1878" i="22"/>
  <c r="E1879" i="22"/>
  <c r="E1880" i="22"/>
  <c r="E1881" i="22"/>
  <c r="E1882" i="22"/>
  <c r="E1883" i="22"/>
  <c r="E1884" i="22"/>
  <c r="E1885" i="22"/>
  <c r="E1886" i="22"/>
  <c r="E1887" i="22"/>
  <c r="E1888" i="22"/>
  <c r="E1889" i="22"/>
  <c r="E1890" i="22"/>
  <c r="E1891" i="22"/>
  <c r="E1892" i="22"/>
  <c r="E1893" i="22"/>
  <c r="E1894" i="22"/>
  <c r="E1895" i="22"/>
  <c r="E1896" i="22"/>
  <c r="E1897" i="22"/>
  <c r="E1898" i="22"/>
  <c r="E1899" i="22"/>
  <c r="E1900" i="22"/>
  <c r="E1901" i="22"/>
  <c r="E1902" i="22"/>
  <c r="E1903" i="22"/>
  <c r="E1904" i="22"/>
  <c r="E1905" i="22"/>
  <c r="E1906" i="22"/>
  <c r="E1907" i="22"/>
  <c r="E1908" i="22"/>
  <c r="E1909" i="22"/>
  <c r="E1910" i="22"/>
  <c r="E1911" i="22"/>
  <c r="E1912" i="22"/>
  <c r="E1913" i="22"/>
  <c r="E1914" i="22"/>
  <c r="E1915" i="22"/>
  <c r="E1916" i="22"/>
  <c r="E1917" i="22"/>
  <c r="E1918" i="22"/>
  <c r="E1919" i="22"/>
  <c r="E1920" i="22"/>
  <c r="E1921" i="22"/>
  <c r="E1922" i="22"/>
  <c r="E1923" i="22"/>
  <c r="E1924" i="22"/>
  <c r="E1925" i="22"/>
  <c r="E1926" i="22"/>
  <c r="E1927" i="22"/>
  <c r="E1928" i="22"/>
  <c r="E1929" i="22"/>
  <c r="E1930" i="22"/>
  <c r="E1931" i="22"/>
  <c r="E1932" i="22"/>
  <c r="E1933" i="22"/>
  <c r="E1934" i="22"/>
  <c r="E1935" i="22"/>
  <c r="E1936" i="22"/>
  <c r="E1937" i="22"/>
  <c r="E1938" i="22"/>
  <c r="E1939" i="22"/>
  <c r="E1940" i="22"/>
  <c r="E1941" i="22"/>
  <c r="E1942" i="22"/>
  <c r="E1943" i="22"/>
  <c r="E1944" i="22"/>
  <c r="E1945" i="22"/>
  <c r="E1946" i="22"/>
  <c r="E1947" i="22"/>
  <c r="E1948" i="22"/>
  <c r="E1949" i="22"/>
  <c r="E1950" i="22"/>
  <c r="E1951" i="22"/>
  <c r="E1952" i="22"/>
  <c r="E1953" i="22"/>
  <c r="E1954" i="22"/>
  <c r="E1955" i="22"/>
  <c r="E1956" i="22"/>
  <c r="E1957" i="22"/>
  <c r="E1958" i="22"/>
  <c r="E1959" i="22"/>
  <c r="E1960" i="22"/>
  <c r="E1961" i="22"/>
  <c r="E1962" i="22"/>
  <c r="E1963" i="22"/>
  <c r="E1964" i="22"/>
  <c r="E1965" i="22"/>
  <c r="E1966" i="22"/>
  <c r="E1967" i="22"/>
  <c r="E1968" i="22"/>
  <c r="E1969" i="22"/>
  <c r="E1970" i="22"/>
  <c r="E1971" i="22"/>
  <c r="E1972" i="22"/>
  <c r="E1973" i="22"/>
  <c r="E1974" i="22"/>
  <c r="E1975" i="22"/>
  <c r="E1976" i="22"/>
  <c r="E1977" i="22"/>
  <c r="E1978" i="22"/>
  <c r="E1979" i="22"/>
  <c r="E1980" i="22"/>
  <c r="E1981" i="22"/>
  <c r="E1982" i="22"/>
  <c r="E1983" i="22"/>
  <c r="E2" i="22"/>
  <c r="G3" i="12"/>
  <c r="G4" i="12"/>
  <c r="E991" i="1" s="1"/>
  <c r="G5" i="12"/>
  <c r="E992" i="1" s="1"/>
  <c r="G6" i="12"/>
  <c r="E993" i="1" s="1"/>
  <c r="G7" i="12"/>
  <c r="E994" i="1" s="1"/>
  <c r="G8" i="12"/>
  <c r="E995" i="1" s="1"/>
  <c r="G9" i="12"/>
  <c r="E996" i="1" s="1"/>
  <c r="G10" i="12"/>
  <c r="G11" i="12"/>
  <c r="G12" i="12"/>
  <c r="G13" i="12"/>
  <c r="E1000" i="1" s="1"/>
  <c r="G14" i="12"/>
  <c r="G15" i="12"/>
  <c r="E1002" i="1" s="1"/>
  <c r="G16" i="12"/>
  <c r="E1003" i="1" s="1"/>
  <c r="G17" i="12"/>
  <c r="E1004" i="1" s="1"/>
  <c r="G18" i="12"/>
  <c r="G19" i="12"/>
  <c r="G20" i="12"/>
  <c r="G21" i="12"/>
  <c r="G22" i="12"/>
  <c r="E1009" i="1" s="1"/>
  <c r="G23" i="12"/>
  <c r="E1010" i="1" s="1"/>
  <c r="G24" i="12"/>
  <c r="E1011" i="1" s="1"/>
  <c r="G25" i="12"/>
  <c r="E1012" i="1" s="1"/>
  <c r="G26" i="12"/>
  <c r="G27" i="12"/>
  <c r="G28" i="12"/>
  <c r="G29" i="12"/>
  <c r="G30" i="12"/>
  <c r="E1017" i="1" s="1"/>
  <c r="G31" i="12"/>
  <c r="E1018" i="1" s="1"/>
  <c r="G32" i="12"/>
  <c r="E1019" i="1" s="1"/>
  <c r="G33" i="12"/>
  <c r="E1020" i="1" s="1"/>
  <c r="G34" i="12"/>
  <c r="G35" i="12"/>
  <c r="G36" i="12"/>
  <c r="E1023" i="1" s="1"/>
  <c r="G37" i="12"/>
  <c r="E1024" i="1" s="1"/>
  <c r="G38" i="12"/>
  <c r="E1025" i="1" s="1"/>
  <c r="G39" i="12"/>
  <c r="E1026" i="1" s="1"/>
  <c r="G40" i="12"/>
  <c r="E1027" i="1" s="1"/>
  <c r="G41" i="12"/>
  <c r="E1028" i="1" s="1"/>
  <c r="G42" i="12"/>
  <c r="G43" i="12"/>
  <c r="G44" i="12"/>
  <c r="G45" i="12"/>
  <c r="G46" i="12"/>
  <c r="E1033" i="1" s="1"/>
  <c r="G47" i="12"/>
  <c r="E1034" i="1" s="1"/>
  <c r="G48" i="12"/>
  <c r="E1035" i="1" s="1"/>
  <c r="G49" i="12"/>
  <c r="E1036" i="1" s="1"/>
  <c r="G50" i="12"/>
  <c r="G51" i="12"/>
  <c r="G52" i="12"/>
  <c r="E1039" i="1" s="1"/>
  <c r="G53" i="12"/>
  <c r="E1040" i="1" s="1"/>
  <c r="G54" i="12"/>
  <c r="E1041" i="1" s="1"/>
  <c r="G55" i="12"/>
  <c r="E1042" i="1" s="1"/>
  <c r="G56" i="12"/>
  <c r="E1043" i="1" s="1"/>
  <c r="G57" i="12"/>
  <c r="E1044" i="1" s="1"/>
  <c r="G58" i="12"/>
  <c r="G59" i="12"/>
  <c r="G60" i="12"/>
  <c r="G61" i="12"/>
  <c r="E1048" i="1" s="1"/>
  <c r="G62" i="12"/>
  <c r="E1049" i="1" s="1"/>
  <c r="G63" i="12"/>
  <c r="E1050" i="1" s="1"/>
  <c r="G64" i="12"/>
  <c r="E1051" i="1" s="1"/>
  <c r="G65" i="12"/>
  <c r="E1052" i="1" s="1"/>
  <c r="G66" i="12"/>
  <c r="G67" i="12"/>
  <c r="G68" i="12"/>
  <c r="E1055" i="1" s="1"/>
  <c r="G69" i="12"/>
  <c r="E1056" i="1" s="1"/>
  <c r="G70" i="12"/>
  <c r="E1057" i="1" s="1"/>
  <c r="G71" i="12"/>
  <c r="E1058" i="1" s="1"/>
  <c r="G72" i="12"/>
  <c r="E1059" i="1" s="1"/>
  <c r="G73" i="12"/>
  <c r="G74" i="12"/>
  <c r="G75" i="12"/>
  <c r="G76" i="12"/>
  <c r="E1063" i="1" s="1"/>
  <c r="G77" i="12"/>
  <c r="E1064" i="1" s="1"/>
  <c r="G78" i="12"/>
  <c r="E1065" i="1" s="1"/>
  <c r="G79" i="12"/>
  <c r="E1066" i="1" s="1"/>
  <c r="G80" i="12"/>
  <c r="E1067" i="1" s="1"/>
  <c r="G81" i="12"/>
  <c r="G82" i="12"/>
  <c r="G83" i="12"/>
  <c r="E1070" i="1" s="1"/>
  <c r="G84" i="12"/>
  <c r="E1071" i="1" s="1"/>
  <c r="G85" i="12"/>
  <c r="E1072" i="1" s="1"/>
  <c r="G86" i="12"/>
  <c r="E1073" i="1" s="1"/>
  <c r="G87" i="12"/>
  <c r="E1074" i="1" s="1"/>
  <c r="G88" i="12"/>
  <c r="E1075" i="1" s="1"/>
  <c r="G89" i="12"/>
  <c r="G90" i="12"/>
  <c r="G91" i="12"/>
  <c r="G92" i="12"/>
  <c r="E1079" i="1" s="1"/>
  <c r="G93" i="12"/>
  <c r="E1080" i="1" s="1"/>
  <c r="G94" i="12"/>
  <c r="E1081" i="1" s="1"/>
  <c r="G95" i="12"/>
  <c r="E1082" i="1" s="1"/>
  <c r="G96" i="12"/>
  <c r="G97" i="12"/>
  <c r="G98" i="12"/>
  <c r="G99" i="12"/>
  <c r="E1086" i="1" s="1"/>
  <c r="G100" i="12"/>
  <c r="E1087" i="1" s="1"/>
  <c r="G101" i="12"/>
  <c r="E1088" i="1" s="1"/>
  <c r="G102" i="12"/>
  <c r="E1089" i="1" s="1"/>
  <c r="G103" i="12"/>
  <c r="E1090" i="1" s="1"/>
  <c r="G104" i="12"/>
  <c r="G105" i="12"/>
  <c r="G106" i="12"/>
  <c r="G107" i="12"/>
  <c r="E1094" i="1" s="1"/>
  <c r="G108" i="12"/>
  <c r="E1095" i="1" s="1"/>
  <c r="G109" i="12"/>
  <c r="E1096" i="1" s="1"/>
  <c r="G110" i="12"/>
  <c r="E1097" i="1" s="1"/>
  <c r="G111" i="12"/>
  <c r="E1098" i="1" s="1"/>
  <c r="G112" i="12"/>
  <c r="G113" i="12"/>
  <c r="G114" i="12"/>
  <c r="E1101" i="1" s="1"/>
  <c r="G115" i="12"/>
  <c r="E1102" i="1" s="1"/>
  <c r="G116" i="12"/>
  <c r="E1103" i="1" s="1"/>
  <c r="G117" i="12"/>
  <c r="E1104" i="1" s="1"/>
  <c r="G118" i="12"/>
  <c r="E1105" i="1" s="1"/>
  <c r="G119" i="12"/>
  <c r="E1106" i="1" s="1"/>
  <c r="G120" i="12"/>
  <c r="G121" i="12"/>
  <c r="E1108" i="1" s="1"/>
  <c r="G122" i="12"/>
  <c r="E1109" i="1" s="1"/>
  <c r="G123" i="12"/>
  <c r="E1110" i="1" s="1"/>
  <c r="G124" i="12"/>
  <c r="E1111" i="1" s="1"/>
  <c r="G125" i="12"/>
  <c r="E1112" i="1" s="1"/>
  <c r="G126" i="12"/>
  <c r="E1113" i="1" s="1"/>
  <c r="G127" i="12"/>
  <c r="E1114" i="1" s="1"/>
  <c r="G128" i="12"/>
  <c r="G129" i="12"/>
  <c r="G130" i="12"/>
  <c r="E1117" i="1" s="1"/>
  <c r="G131" i="12"/>
  <c r="E1118" i="1" s="1"/>
  <c r="G132" i="12"/>
  <c r="E1119" i="1" s="1"/>
  <c r="G133" i="12"/>
  <c r="E1120" i="1" s="1"/>
  <c r="G134" i="12"/>
  <c r="E1121" i="1" s="1"/>
  <c r="G135" i="12"/>
  <c r="G136" i="12"/>
  <c r="G137" i="12"/>
  <c r="E1124" i="1" s="1"/>
  <c r="G138" i="12"/>
  <c r="E1125" i="1" s="1"/>
  <c r="G139" i="12"/>
  <c r="E1126" i="1" s="1"/>
  <c r="G140" i="12"/>
  <c r="E1127" i="1" s="1"/>
  <c r="G141" i="12"/>
  <c r="E1128" i="1" s="1"/>
  <c r="G142" i="12"/>
  <c r="E1129" i="1" s="1"/>
  <c r="G143" i="12"/>
  <c r="G144" i="12"/>
  <c r="G145" i="12"/>
  <c r="E1132" i="1" s="1"/>
  <c r="G146" i="12"/>
  <c r="E1133" i="1" s="1"/>
  <c r="G147" i="12"/>
  <c r="E1134" i="1" s="1"/>
  <c r="G148" i="12"/>
  <c r="E1135" i="1" s="1"/>
  <c r="G149" i="12"/>
  <c r="E1136" i="1" s="1"/>
  <c r="G150" i="12"/>
  <c r="E1137" i="1" s="1"/>
  <c r="G151" i="12"/>
  <c r="G152" i="12"/>
  <c r="G153" i="12"/>
  <c r="E1140" i="1" s="1"/>
  <c r="G154" i="12"/>
  <c r="E1141" i="1" s="1"/>
  <c r="G155" i="12"/>
  <c r="E1142" i="1" s="1"/>
  <c r="G156" i="12"/>
  <c r="E1143" i="1" s="1"/>
  <c r="G157" i="12"/>
  <c r="E1144" i="1" s="1"/>
  <c r="G158" i="12"/>
  <c r="G159" i="12"/>
  <c r="G160" i="12"/>
  <c r="E1147" i="1" s="1"/>
  <c r="G161" i="12"/>
  <c r="E1148" i="1" s="1"/>
  <c r="G162" i="12"/>
  <c r="E1149" i="1" s="1"/>
  <c r="G163" i="12"/>
  <c r="E1150" i="1" s="1"/>
  <c r="G164" i="12"/>
  <c r="E1151" i="1" s="1"/>
  <c r="G165" i="12"/>
  <c r="E1152" i="1" s="1"/>
  <c r="G166" i="12"/>
  <c r="G167" i="12"/>
  <c r="G168" i="12"/>
  <c r="E1155" i="1" s="1"/>
  <c r="G169" i="12"/>
  <c r="E1156" i="1" s="1"/>
  <c r="G170" i="12"/>
  <c r="E1157" i="1" s="1"/>
  <c r="G171" i="12"/>
  <c r="E1158" i="1" s="1"/>
  <c r="G172" i="12"/>
  <c r="E1159" i="1" s="1"/>
  <c r="G173" i="12"/>
  <c r="E1160" i="1" s="1"/>
  <c r="G174" i="12"/>
  <c r="E1161" i="1" s="1"/>
  <c r="G175" i="12"/>
  <c r="E1162" i="1" s="1"/>
  <c r="G176" i="12"/>
  <c r="E1163" i="1" s="1"/>
  <c r="G177" i="12"/>
  <c r="E1164" i="1" s="1"/>
  <c r="G178" i="12"/>
  <c r="E1165" i="1" s="1"/>
  <c r="G179" i="12"/>
  <c r="E1166" i="1" s="1"/>
  <c r="G180" i="12"/>
  <c r="E1167" i="1" s="1"/>
  <c r="G181" i="12"/>
  <c r="E1168" i="1" s="1"/>
  <c r="G182" i="12"/>
  <c r="G183" i="12"/>
  <c r="E1170" i="1" s="1"/>
  <c r="G184" i="12"/>
  <c r="E1171" i="1" s="1"/>
  <c r="G185" i="12"/>
  <c r="E1172" i="1" s="1"/>
  <c r="G186" i="12"/>
  <c r="E1173" i="1" s="1"/>
  <c r="G187" i="12"/>
  <c r="E1174" i="1" s="1"/>
  <c r="G188" i="12"/>
  <c r="E1175" i="1" s="1"/>
  <c r="G189" i="12"/>
  <c r="E1176" i="1" s="1"/>
  <c r="G190" i="12"/>
  <c r="E1177" i="1" s="1"/>
  <c r="G191" i="12"/>
  <c r="E1178" i="1" s="1"/>
  <c r="G192" i="12"/>
  <c r="E1179" i="1" s="1"/>
  <c r="G193" i="12"/>
  <c r="E1180" i="1" s="1"/>
  <c r="G194" i="12"/>
  <c r="E1181" i="1" s="1"/>
  <c r="G195" i="12"/>
  <c r="E1182" i="1" s="1"/>
  <c r="G196" i="12"/>
  <c r="E1183" i="1" s="1"/>
  <c r="G197" i="12"/>
  <c r="E1184" i="1" s="1"/>
  <c r="G198" i="12"/>
  <c r="E1185" i="1" s="1"/>
  <c r="G199" i="12"/>
  <c r="E1186" i="1" s="1"/>
  <c r="G200" i="12"/>
  <c r="E1187" i="1" s="1"/>
  <c r="G201" i="12"/>
  <c r="E1188" i="1" s="1"/>
  <c r="G202" i="12"/>
  <c r="E1189" i="1" s="1"/>
  <c r="G203" i="12"/>
  <c r="E1190" i="1" s="1"/>
  <c r="G204" i="12"/>
  <c r="E1191" i="1" s="1"/>
  <c r="G205" i="12"/>
  <c r="G206" i="12"/>
  <c r="E1193" i="1" s="1"/>
  <c r="G207" i="12"/>
  <c r="E1194" i="1" s="1"/>
  <c r="G208" i="12"/>
  <c r="E1195" i="1" s="1"/>
  <c r="G209" i="12"/>
  <c r="E1196" i="1" s="1"/>
  <c r="G210" i="12"/>
  <c r="E1197" i="1" s="1"/>
  <c r="G211" i="12"/>
  <c r="E1198" i="1" s="1"/>
  <c r="G212" i="12"/>
  <c r="E1199" i="1" s="1"/>
  <c r="G213" i="12"/>
  <c r="G214" i="12"/>
  <c r="E1201" i="1" s="1"/>
  <c r="G215" i="12"/>
  <c r="E1202" i="1" s="1"/>
  <c r="C1485" i="1"/>
  <c r="D1485" i="1"/>
  <c r="E1485" i="1"/>
  <c r="C1486" i="1"/>
  <c r="D1486" i="1"/>
  <c r="E1486" i="1"/>
  <c r="C1487" i="1"/>
  <c r="D1487" i="1"/>
  <c r="E1487" i="1"/>
  <c r="C1488" i="1"/>
  <c r="D1488" i="1"/>
  <c r="E1488" i="1"/>
  <c r="C1489" i="1"/>
  <c r="D1489" i="1"/>
  <c r="E1489" i="1"/>
  <c r="C1490" i="1"/>
  <c r="D1490" i="1"/>
  <c r="E1490" i="1"/>
  <c r="C1491" i="1"/>
  <c r="D1491" i="1"/>
  <c r="E1491" i="1"/>
  <c r="C1492" i="1"/>
  <c r="D1492" i="1"/>
  <c r="E1492" i="1"/>
  <c r="C1493" i="1"/>
  <c r="D1493" i="1"/>
  <c r="E1493" i="1"/>
  <c r="C1494" i="1"/>
  <c r="D1494" i="1"/>
  <c r="E1494" i="1"/>
  <c r="C1495" i="1"/>
  <c r="D1495" i="1"/>
  <c r="E1495" i="1"/>
  <c r="C1496" i="1"/>
  <c r="D1496" i="1"/>
  <c r="E1496" i="1"/>
  <c r="C1497" i="1"/>
  <c r="D1497" i="1"/>
  <c r="E1497" i="1"/>
  <c r="C1498" i="1"/>
  <c r="D1498" i="1"/>
  <c r="E1498" i="1"/>
  <c r="C1499" i="1"/>
  <c r="D1499" i="1"/>
  <c r="E1499" i="1"/>
  <c r="C1500" i="1"/>
  <c r="D1500" i="1"/>
  <c r="E1500" i="1"/>
  <c r="C1501" i="1"/>
  <c r="D1501" i="1"/>
  <c r="E1501" i="1"/>
  <c r="C1502" i="1"/>
  <c r="D1502" i="1"/>
  <c r="E1502" i="1"/>
  <c r="C1503" i="1"/>
  <c r="D1503" i="1"/>
  <c r="E1503" i="1"/>
  <c r="C1504" i="1"/>
  <c r="D1504" i="1"/>
  <c r="E1504" i="1"/>
  <c r="C1505" i="1"/>
  <c r="D1505" i="1"/>
  <c r="E1505" i="1"/>
  <c r="C1506" i="1"/>
  <c r="D1506" i="1"/>
  <c r="E1506" i="1"/>
  <c r="C1507" i="1"/>
  <c r="D1507" i="1"/>
  <c r="E1507" i="1"/>
  <c r="C1508" i="1"/>
  <c r="D1508" i="1"/>
  <c r="E1508" i="1"/>
  <c r="C1509" i="1"/>
  <c r="D1509" i="1"/>
  <c r="E1509" i="1"/>
  <c r="C1510" i="1"/>
  <c r="D1510" i="1"/>
  <c r="E1510" i="1"/>
  <c r="C1511" i="1"/>
  <c r="D1511" i="1"/>
  <c r="E1511" i="1"/>
  <c r="C1512" i="1"/>
  <c r="D1512" i="1"/>
  <c r="E1512" i="1"/>
  <c r="C1513" i="1"/>
  <c r="D1513" i="1"/>
  <c r="E1513" i="1"/>
  <c r="C1514" i="1"/>
  <c r="D1514" i="1"/>
  <c r="E1514" i="1"/>
  <c r="C1515" i="1"/>
  <c r="D1515" i="1"/>
  <c r="E1515" i="1"/>
  <c r="C1516" i="1"/>
  <c r="D1516" i="1"/>
  <c r="E1516" i="1"/>
  <c r="C1517" i="1"/>
  <c r="D1517" i="1"/>
  <c r="E1517" i="1"/>
  <c r="C1518" i="1"/>
  <c r="D1518" i="1"/>
  <c r="E1518" i="1"/>
  <c r="C1519" i="1"/>
  <c r="D1519" i="1"/>
  <c r="E1519" i="1"/>
  <c r="C1520" i="1"/>
  <c r="D1520" i="1"/>
  <c r="E1520" i="1"/>
  <c r="C1521" i="1"/>
  <c r="D1521" i="1"/>
  <c r="E1521" i="1"/>
  <c r="C1522" i="1"/>
  <c r="D1522" i="1"/>
  <c r="E1522" i="1"/>
  <c r="C1523" i="1"/>
  <c r="D1523" i="1"/>
  <c r="E1523" i="1"/>
  <c r="C1524" i="1"/>
  <c r="D1524" i="1"/>
  <c r="E1524" i="1"/>
  <c r="C1525" i="1"/>
  <c r="D1525" i="1"/>
  <c r="E1525" i="1"/>
  <c r="C1526" i="1"/>
  <c r="D1526" i="1"/>
  <c r="E1526" i="1"/>
  <c r="C1527" i="1"/>
  <c r="D1527" i="1"/>
  <c r="E1527" i="1"/>
  <c r="C1528" i="1"/>
  <c r="D1528" i="1"/>
  <c r="E1528" i="1"/>
  <c r="C1529" i="1"/>
  <c r="D1529" i="1"/>
  <c r="E1529" i="1"/>
  <c r="C1530" i="1"/>
  <c r="D1530" i="1"/>
  <c r="E1530" i="1"/>
  <c r="C1531" i="1"/>
  <c r="D1531" i="1"/>
  <c r="E1531" i="1"/>
  <c r="C1532" i="1"/>
  <c r="D1532" i="1"/>
  <c r="E1532" i="1"/>
  <c r="C1533" i="1"/>
  <c r="D1533" i="1"/>
  <c r="E1533" i="1"/>
  <c r="C1534" i="1"/>
  <c r="D1534" i="1"/>
  <c r="E1534" i="1"/>
  <c r="C1535" i="1"/>
  <c r="D1535" i="1"/>
  <c r="E1535" i="1"/>
  <c r="C1536" i="1"/>
  <c r="D1536" i="1"/>
  <c r="E1536" i="1"/>
  <c r="C1537" i="1"/>
  <c r="D1537" i="1"/>
  <c r="E1537" i="1"/>
  <c r="C1538" i="1"/>
  <c r="D1538" i="1"/>
  <c r="E1538" i="1"/>
  <c r="C1539" i="1"/>
  <c r="D1539" i="1"/>
  <c r="E1539" i="1"/>
  <c r="C1540" i="1"/>
  <c r="D1540" i="1"/>
  <c r="E1540" i="1"/>
  <c r="C1541" i="1"/>
  <c r="D1541" i="1"/>
  <c r="E1541" i="1"/>
  <c r="C1542" i="1"/>
  <c r="D1542" i="1"/>
  <c r="E1542" i="1"/>
  <c r="C1543" i="1"/>
  <c r="D1543" i="1"/>
  <c r="E1543" i="1"/>
  <c r="C1544" i="1"/>
  <c r="D1544" i="1"/>
  <c r="E1544" i="1"/>
  <c r="C1545" i="1"/>
  <c r="D1545" i="1"/>
  <c r="E1545" i="1"/>
  <c r="C1546" i="1"/>
  <c r="D1546" i="1"/>
  <c r="E1546" i="1"/>
  <c r="C1547" i="1"/>
  <c r="D1547" i="1"/>
  <c r="E1547" i="1"/>
  <c r="C1548" i="1"/>
  <c r="D1548" i="1"/>
  <c r="E1548" i="1"/>
  <c r="C1549" i="1"/>
  <c r="D1549" i="1"/>
  <c r="E1549" i="1"/>
  <c r="C1550" i="1"/>
  <c r="D1550" i="1"/>
  <c r="E1550" i="1"/>
  <c r="C1551" i="1"/>
  <c r="D1551" i="1"/>
  <c r="E1551" i="1"/>
  <c r="C1552" i="1"/>
  <c r="D1552" i="1"/>
  <c r="E1552" i="1"/>
  <c r="C1553" i="1"/>
  <c r="D1553" i="1"/>
  <c r="E1553" i="1"/>
  <c r="C1554" i="1"/>
  <c r="D1554" i="1"/>
  <c r="E1554" i="1"/>
  <c r="C1555" i="1"/>
  <c r="D1555" i="1"/>
  <c r="E1555" i="1"/>
  <c r="C1556" i="1"/>
  <c r="D1556" i="1"/>
  <c r="E1556" i="1"/>
  <c r="C1557" i="1"/>
  <c r="D1557" i="1"/>
  <c r="E1557" i="1"/>
  <c r="C1558" i="1"/>
  <c r="D1558" i="1"/>
  <c r="E1558" i="1"/>
  <c r="C1559" i="1"/>
  <c r="D1559" i="1"/>
  <c r="E1559" i="1"/>
  <c r="C1560" i="1"/>
  <c r="D1560" i="1"/>
  <c r="E1560" i="1"/>
  <c r="C1561" i="1"/>
  <c r="D1561" i="1"/>
  <c r="E1561" i="1"/>
  <c r="C1562" i="1"/>
  <c r="D1562" i="1"/>
  <c r="E1562" i="1"/>
  <c r="C1563" i="1"/>
  <c r="D1563" i="1"/>
  <c r="E1563" i="1"/>
  <c r="C1564" i="1"/>
  <c r="D1564" i="1"/>
  <c r="E1564" i="1"/>
  <c r="C1565" i="1"/>
  <c r="D1565" i="1"/>
  <c r="E1565" i="1"/>
  <c r="C1566" i="1"/>
  <c r="D1566" i="1"/>
  <c r="E1566" i="1"/>
  <c r="C1567" i="1"/>
  <c r="D1567" i="1"/>
  <c r="E1567" i="1"/>
  <c r="C1568" i="1"/>
  <c r="D1568" i="1"/>
  <c r="E1568" i="1"/>
  <c r="C1569" i="1"/>
  <c r="D1569" i="1"/>
  <c r="E1569" i="1"/>
  <c r="C1570" i="1"/>
  <c r="D1570" i="1"/>
  <c r="E1570" i="1"/>
  <c r="C1571" i="1"/>
  <c r="D1571" i="1"/>
  <c r="E1571" i="1"/>
  <c r="C1572" i="1"/>
  <c r="D1572" i="1"/>
  <c r="E1572" i="1"/>
  <c r="C1573" i="1"/>
  <c r="D1573" i="1"/>
  <c r="E1573" i="1"/>
  <c r="C1574" i="1"/>
  <c r="D1574" i="1"/>
  <c r="E1574" i="1"/>
  <c r="C1575" i="1"/>
  <c r="D1575" i="1"/>
  <c r="E1575" i="1"/>
  <c r="C1576" i="1"/>
  <c r="D1576" i="1"/>
  <c r="E1576" i="1"/>
  <c r="C1577" i="1"/>
  <c r="D1577" i="1"/>
  <c r="E1577" i="1"/>
  <c r="C1578" i="1"/>
  <c r="D1578" i="1"/>
  <c r="E1578" i="1"/>
  <c r="C1579" i="1"/>
  <c r="D1579" i="1"/>
  <c r="E1579" i="1"/>
  <c r="C1580" i="1"/>
  <c r="D1580" i="1"/>
  <c r="E1580" i="1"/>
  <c r="C1581" i="1"/>
  <c r="D1581" i="1"/>
  <c r="E1581" i="1"/>
  <c r="C1582" i="1"/>
  <c r="D1582" i="1"/>
  <c r="E1582" i="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2" i="21"/>
  <c r="C1449" i="1"/>
  <c r="D1449" i="1"/>
  <c r="E1449" i="1"/>
  <c r="C1450" i="1"/>
  <c r="D1450" i="1"/>
  <c r="E1450" i="1"/>
  <c r="C1451" i="1"/>
  <c r="D1451" i="1"/>
  <c r="E1451" i="1"/>
  <c r="C1452" i="1"/>
  <c r="D1452" i="1"/>
  <c r="E1452" i="1"/>
  <c r="C1453" i="1"/>
  <c r="D1453" i="1"/>
  <c r="E1453" i="1"/>
  <c r="C1454" i="1"/>
  <c r="D1454" i="1"/>
  <c r="E1454" i="1"/>
  <c r="C1455" i="1"/>
  <c r="D1455" i="1"/>
  <c r="E1455" i="1"/>
  <c r="C1456" i="1"/>
  <c r="D1456" i="1"/>
  <c r="E1456" i="1"/>
  <c r="C1457" i="1"/>
  <c r="D1457" i="1"/>
  <c r="E1457" i="1"/>
  <c r="C1458" i="1"/>
  <c r="D1458" i="1"/>
  <c r="E1458" i="1"/>
  <c r="C1459" i="1"/>
  <c r="D1459" i="1"/>
  <c r="E1459" i="1"/>
  <c r="C1460" i="1"/>
  <c r="D1460" i="1"/>
  <c r="E1460" i="1"/>
  <c r="C1461" i="1"/>
  <c r="D1461" i="1"/>
  <c r="E1461" i="1"/>
  <c r="C1462" i="1"/>
  <c r="D1462" i="1"/>
  <c r="E1462" i="1"/>
  <c r="G3" i="20"/>
  <c r="G4" i="20"/>
  <c r="G5" i="20"/>
  <c r="G6" i="20"/>
  <c r="G7" i="20"/>
  <c r="G8" i="20"/>
  <c r="G9" i="20"/>
  <c r="G10" i="20"/>
  <c r="G11" i="20"/>
  <c r="G12" i="20"/>
  <c r="G13" i="20"/>
  <c r="G14" i="20"/>
  <c r="G15" i="20"/>
  <c r="G2" i="20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2" i="20"/>
  <c r="E3" i="20"/>
  <c r="E4" i="20"/>
  <c r="E5" i="20"/>
  <c r="E6" i="20"/>
  <c r="E7" i="20"/>
  <c r="E8" i="20"/>
  <c r="E9" i="20"/>
  <c r="E10" i="20"/>
  <c r="E11" i="20"/>
  <c r="E12" i="20"/>
  <c r="E13" i="20"/>
  <c r="E14" i="20"/>
  <c r="E15" i="20"/>
  <c r="E2" i="20"/>
  <c r="C1463" i="1"/>
  <c r="D1463" i="1"/>
  <c r="E1463" i="1"/>
  <c r="C1464" i="1"/>
  <c r="D1464" i="1"/>
  <c r="E1464" i="1"/>
  <c r="C1465" i="1"/>
  <c r="D1465" i="1"/>
  <c r="E1465" i="1"/>
  <c r="C1466" i="1"/>
  <c r="D1466" i="1"/>
  <c r="E1466" i="1"/>
  <c r="C1467" i="1"/>
  <c r="D1467" i="1"/>
  <c r="E1467" i="1"/>
  <c r="C1468" i="1"/>
  <c r="D1468" i="1"/>
  <c r="E1468" i="1"/>
  <c r="C1469" i="1"/>
  <c r="D1469" i="1"/>
  <c r="E1469" i="1"/>
  <c r="C1470" i="1"/>
  <c r="D1470" i="1"/>
  <c r="E1470" i="1"/>
  <c r="C1471" i="1"/>
  <c r="D1471" i="1"/>
  <c r="E1471" i="1"/>
  <c r="C1472" i="1"/>
  <c r="D1472" i="1"/>
  <c r="E1472" i="1"/>
  <c r="C1473" i="1"/>
  <c r="D1473" i="1"/>
  <c r="E1473" i="1"/>
  <c r="C1474" i="1"/>
  <c r="D1474" i="1"/>
  <c r="E1474" i="1"/>
  <c r="C1475" i="1"/>
  <c r="D1475" i="1"/>
  <c r="E1475" i="1"/>
  <c r="C1476" i="1"/>
  <c r="D1476" i="1"/>
  <c r="E1476" i="1"/>
  <c r="C1477" i="1"/>
  <c r="D1477" i="1"/>
  <c r="E1477" i="1"/>
  <c r="C1478" i="1"/>
  <c r="D1478" i="1"/>
  <c r="E1478" i="1"/>
  <c r="C1479" i="1"/>
  <c r="D1479" i="1"/>
  <c r="E1479" i="1"/>
  <c r="C1480" i="1"/>
  <c r="D1480" i="1"/>
  <c r="E1480" i="1"/>
  <c r="C1481" i="1"/>
  <c r="D1481" i="1"/>
  <c r="E1481" i="1"/>
  <c r="C1482" i="1"/>
  <c r="D1482" i="1"/>
  <c r="E1482" i="1"/>
  <c r="C1483" i="1"/>
  <c r="D1483" i="1"/>
  <c r="E1483" i="1"/>
  <c r="C1484" i="1"/>
  <c r="D1484" i="1"/>
  <c r="E1484" i="1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" i="19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" i="19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" i="19"/>
  <c r="C1423" i="1"/>
  <c r="D1423" i="1"/>
  <c r="E1423" i="1"/>
  <c r="C1424" i="1"/>
  <c r="D1424" i="1"/>
  <c r="E1424" i="1"/>
  <c r="C1425" i="1"/>
  <c r="D1425" i="1"/>
  <c r="E1425" i="1"/>
  <c r="C1426" i="1"/>
  <c r="D1426" i="1"/>
  <c r="E1426" i="1"/>
  <c r="C1427" i="1"/>
  <c r="D1427" i="1"/>
  <c r="E1427" i="1"/>
  <c r="C1428" i="1"/>
  <c r="D1428" i="1"/>
  <c r="E1428" i="1"/>
  <c r="C1429" i="1"/>
  <c r="D1429" i="1"/>
  <c r="E1429" i="1"/>
  <c r="C1430" i="1"/>
  <c r="D1430" i="1"/>
  <c r="E1430" i="1"/>
  <c r="C1431" i="1"/>
  <c r="D1431" i="1"/>
  <c r="E1431" i="1"/>
  <c r="C1432" i="1"/>
  <c r="D1432" i="1"/>
  <c r="E1432" i="1"/>
  <c r="C1433" i="1"/>
  <c r="D1433" i="1"/>
  <c r="E1433" i="1"/>
  <c r="C1434" i="1"/>
  <c r="D1434" i="1"/>
  <c r="E1434" i="1"/>
  <c r="C1435" i="1"/>
  <c r="D1435" i="1"/>
  <c r="E1435" i="1"/>
  <c r="C1436" i="1"/>
  <c r="D1436" i="1"/>
  <c r="E1436" i="1"/>
  <c r="C1437" i="1"/>
  <c r="D1437" i="1"/>
  <c r="E1437" i="1"/>
  <c r="C1438" i="1"/>
  <c r="D1438" i="1"/>
  <c r="E1438" i="1"/>
  <c r="C1439" i="1"/>
  <c r="D1439" i="1"/>
  <c r="E1439" i="1"/>
  <c r="C1440" i="1"/>
  <c r="D1440" i="1"/>
  <c r="E1440" i="1"/>
  <c r="C1441" i="1"/>
  <c r="D1441" i="1"/>
  <c r="E1441" i="1"/>
  <c r="C1442" i="1"/>
  <c r="D1442" i="1"/>
  <c r="E1442" i="1"/>
  <c r="C1443" i="1"/>
  <c r="D1443" i="1"/>
  <c r="E1443" i="1"/>
  <c r="C1444" i="1"/>
  <c r="D1444" i="1"/>
  <c r="E1444" i="1"/>
  <c r="C1445" i="1"/>
  <c r="D1445" i="1"/>
  <c r="E1445" i="1"/>
  <c r="C1446" i="1"/>
  <c r="D1446" i="1"/>
  <c r="E1446" i="1"/>
  <c r="C1447" i="1"/>
  <c r="D1447" i="1"/>
  <c r="E1447" i="1"/>
  <c r="C1448" i="1"/>
  <c r="D1448" i="1"/>
  <c r="E1448" i="1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G2" i="18"/>
  <c r="F2" i="18"/>
  <c r="E3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" i="18"/>
  <c r="C1418" i="1"/>
  <c r="D1418" i="1"/>
  <c r="E1418" i="1"/>
  <c r="C1419" i="1"/>
  <c r="D1419" i="1"/>
  <c r="E1419" i="1"/>
  <c r="C1420" i="1"/>
  <c r="D1420" i="1"/>
  <c r="E1420" i="1"/>
  <c r="C1421" i="1"/>
  <c r="D1421" i="1"/>
  <c r="E1421" i="1"/>
  <c r="C1422" i="1"/>
  <c r="D1422" i="1"/>
  <c r="E1422" i="1"/>
  <c r="G3" i="17"/>
  <c r="G4" i="17"/>
  <c r="G5" i="17"/>
  <c r="G6" i="17"/>
  <c r="G2" i="17"/>
  <c r="F3" i="17"/>
  <c r="F4" i="17"/>
  <c r="F5" i="17"/>
  <c r="F6" i="17"/>
  <c r="F2" i="17"/>
  <c r="E3" i="17"/>
  <c r="E4" i="17"/>
  <c r="E5" i="17"/>
  <c r="E6" i="17"/>
  <c r="E2" i="17"/>
  <c r="C1394" i="1"/>
  <c r="D1394" i="1"/>
  <c r="E1394" i="1"/>
  <c r="C1395" i="1"/>
  <c r="D1395" i="1"/>
  <c r="E1395" i="1"/>
  <c r="C1396" i="1"/>
  <c r="D1396" i="1"/>
  <c r="E1396" i="1"/>
  <c r="C1397" i="1"/>
  <c r="D1397" i="1"/>
  <c r="E1397" i="1"/>
  <c r="C1398" i="1"/>
  <c r="D1398" i="1"/>
  <c r="E1398" i="1"/>
  <c r="C1399" i="1"/>
  <c r="D1399" i="1"/>
  <c r="E1399" i="1"/>
  <c r="C1400" i="1"/>
  <c r="D1400" i="1"/>
  <c r="E1400" i="1"/>
  <c r="C1401" i="1"/>
  <c r="D1401" i="1"/>
  <c r="E1401" i="1"/>
  <c r="C1402" i="1"/>
  <c r="D1402" i="1"/>
  <c r="E1402" i="1"/>
  <c r="C1403" i="1"/>
  <c r="D1403" i="1"/>
  <c r="E1403" i="1"/>
  <c r="C1404" i="1"/>
  <c r="D1404" i="1"/>
  <c r="E1404" i="1"/>
  <c r="C1405" i="1"/>
  <c r="D1405" i="1"/>
  <c r="E1405" i="1"/>
  <c r="C1406" i="1"/>
  <c r="D1406" i="1"/>
  <c r="E1406" i="1"/>
  <c r="C1407" i="1"/>
  <c r="D1407" i="1"/>
  <c r="E1407" i="1"/>
  <c r="C1408" i="1"/>
  <c r="D1408" i="1"/>
  <c r="E1408" i="1"/>
  <c r="C1409" i="1"/>
  <c r="D1409" i="1"/>
  <c r="E1409" i="1"/>
  <c r="C1410" i="1"/>
  <c r="D1410" i="1"/>
  <c r="E1410" i="1"/>
  <c r="C1411" i="1"/>
  <c r="D1411" i="1"/>
  <c r="E1411" i="1"/>
  <c r="C1412" i="1"/>
  <c r="D1412" i="1"/>
  <c r="E1412" i="1"/>
  <c r="C1413" i="1"/>
  <c r="D1413" i="1"/>
  <c r="E1413" i="1"/>
  <c r="C1414" i="1"/>
  <c r="D1414" i="1"/>
  <c r="E1414" i="1"/>
  <c r="C1415" i="1"/>
  <c r="D1415" i="1"/>
  <c r="E1415" i="1"/>
  <c r="C1416" i="1"/>
  <c r="D1416" i="1"/>
  <c r="E1416" i="1"/>
  <c r="C1417" i="1"/>
  <c r="D1417" i="1"/>
  <c r="E1417" i="1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" i="16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" i="16"/>
  <c r="C1367" i="1"/>
  <c r="D1367" i="1"/>
  <c r="E1367" i="1"/>
  <c r="C1368" i="1"/>
  <c r="D1368" i="1"/>
  <c r="E1368" i="1"/>
  <c r="C1369" i="1"/>
  <c r="D1369" i="1"/>
  <c r="E1369" i="1"/>
  <c r="C1370" i="1"/>
  <c r="D1370" i="1"/>
  <c r="E1370" i="1"/>
  <c r="C1371" i="1"/>
  <c r="D1371" i="1"/>
  <c r="E1371" i="1"/>
  <c r="C1372" i="1"/>
  <c r="D1372" i="1"/>
  <c r="E1372" i="1"/>
  <c r="C1373" i="1"/>
  <c r="D1373" i="1"/>
  <c r="E1373" i="1"/>
  <c r="C1374" i="1"/>
  <c r="D1374" i="1"/>
  <c r="E1374" i="1"/>
  <c r="C1375" i="1"/>
  <c r="D1375" i="1"/>
  <c r="E1375" i="1"/>
  <c r="C1376" i="1"/>
  <c r="D1376" i="1"/>
  <c r="E1376" i="1"/>
  <c r="C1377" i="1"/>
  <c r="D1377" i="1"/>
  <c r="E1377" i="1"/>
  <c r="C1378" i="1"/>
  <c r="D1378" i="1"/>
  <c r="E1378" i="1"/>
  <c r="C1379" i="1"/>
  <c r="D1379" i="1"/>
  <c r="E1379" i="1"/>
  <c r="C1380" i="1"/>
  <c r="D1380" i="1"/>
  <c r="E1380" i="1"/>
  <c r="C1381" i="1"/>
  <c r="D1381" i="1"/>
  <c r="E1381" i="1"/>
  <c r="C1382" i="1"/>
  <c r="D1382" i="1"/>
  <c r="E1382" i="1"/>
  <c r="C1383" i="1"/>
  <c r="D1383" i="1"/>
  <c r="E1383" i="1"/>
  <c r="C1384" i="1"/>
  <c r="D1384" i="1"/>
  <c r="E1384" i="1"/>
  <c r="C1385" i="1"/>
  <c r="D1385" i="1"/>
  <c r="E1385" i="1"/>
  <c r="C1386" i="1"/>
  <c r="D1386" i="1"/>
  <c r="E1386" i="1"/>
  <c r="C1387" i="1"/>
  <c r="D1387" i="1"/>
  <c r="E1387" i="1"/>
  <c r="C1388" i="1"/>
  <c r="D1388" i="1"/>
  <c r="E1388" i="1"/>
  <c r="C1389" i="1"/>
  <c r="D1389" i="1"/>
  <c r="E1389" i="1"/>
  <c r="C1390" i="1"/>
  <c r="D1390" i="1"/>
  <c r="E1390" i="1"/>
  <c r="C1391" i="1"/>
  <c r="D1391" i="1"/>
  <c r="E1391" i="1"/>
  <c r="C1392" i="1"/>
  <c r="D1392" i="1"/>
  <c r="E1392" i="1"/>
  <c r="C1393" i="1"/>
  <c r="D1393" i="1"/>
  <c r="E1393" i="1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" i="15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" i="15"/>
  <c r="C1330" i="1"/>
  <c r="D1330" i="1"/>
  <c r="E1330" i="1"/>
  <c r="C1331" i="1"/>
  <c r="D1331" i="1"/>
  <c r="E1331" i="1"/>
  <c r="C1332" i="1"/>
  <c r="D1332" i="1"/>
  <c r="E1332" i="1"/>
  <c r="C1333" i="1"/>
  <c r="D1333" i="1"/>
  <c r="E1333" i="1"/>
  <c r="C1334" i="1"/>
  <c r="D1334" i="1"/>
  <c r="E1334" i="1"/>
  <c r="C1335" i="1"/>
  <c r="D1335" i="1"/>
  <c r="E1335" i="1"/>
  <c r="C1336" i="1"/>
  <c r="D1336" i="1"/>
  <c r="E1336" i="1"/>
  <c r="C1337" i="1"/>
  <c r="D1337" i="1"/>
  <c r="E1337" i="1"/>
  <c r="C1338" i="1"/>
  <c r="D1338" i="1"/>
  <c r="E1338" i="1"/>
  <c r="C1339" i="1"/>
  <c r="D1339" i="1"/>
  <c r="E1339" i="1"/>
  <c r="C1340" i="1"/>
  <c r="D1340" i="1"/>
  <c r="E1340" i="1"/>
  <c r="C1341" i="1"/>
  <c r="D1341" i="1"/>
  <c r="E1341" i="1"/>
  <c r="C1342" i="1"/>
  <c r="D1342" i="1"/>
  <c r="E1342" i="1"/>
  <c r="C1343" i="1"/>
  <c r="D1343" i="1"/>
  <c r="E1343" i="1"/>
  <c r="C1344" i="1"/>
  <c r="D1344" i="1"/>
  <c r="E1344" i="1"/>
  <c r="C1345" i="1"/>
  <c r="D1345" i="1"/>
  <c r="E1345" i="1"/>
  <c r="C1346" i="1"/>
  <c r="D1346" i="1"/>
  <c r="E1346" i="1"/>
  <c r="C1347" i="1"/>
  <c r="D1347" i="1"/>
  <c r="E1347" i="1"/>
  <c r="D1348" i="1"/>
  <c r="E1348" i="1"/>
  <c r="C1349" i="1"/>
  <c r="D1349" i="1"/>
  <c r="E1349" i="1"/>
  <c r="C1350" i="1"/>
  <c r="D1350" i="1"/>
  <c r="E1350" i="1"/>
  <c r="C1351" i="1"/>
  <c r="D1351" i="1"/>
  <c r="E1351" i="1"/>
  <c r="C1352" i="1"/>
  <c r="D1352" i="1"/>
  <c r="E1352" i="1"/>
  <c r="C1353" i="1"/>
  <c r="D1353" i="1"/>
  <c r="E1353" i="1"/>
  <c r="C1354" i="1"/>
  <c r="D1354" i="1"/>
  <c r="E1354" i="1"/>
  <c r="C1355" i="1"/>
  <c r="D1355" i="1"/>
  <c r="E1355" i="1"/>
  <c r="C1356" i="1"/>
  <c r="D1356" i="1"/>
  <c r="E1356" i="1"/>
  <c r="C1357" i="1"/>
  <c r="D1357" i="1"/>
  <c r="E1357" i="1"/>
  <c r="C1358" i="1"/>
  <c r="D1358" i="1"/>
  <c r="E1358" i="1"/>
  <c r="C1359" i="1"/>
  <c r="D1359" i="1"/>
  <c r="E1359" i="1"/>
  <c r="C1360" i="1"/>
  <c r="D1360" i="1"/>
  <c r="E1360" i="1"/>
  <c r="C1361" i="1"/>
  <c r="D1361" i="1"/>
  <c r="E1361" i="1"/>
  <c r="C1362" i="1"/>
  <c r="D1362" i="1"/>
  <c r="E1362" i="1"/>
  <c r="C1363" i="1"/>
  <c r="D1363" i="1"/>
  <c r="E1363" i="1"/>
  <c r="C1364" i="1"/>
  <c r="D1364" i="1"/>
  <c r="E1364" i="1"/>
  <c r="C1365" i="1"/>
  <c r="D1365" i="1"/>
  <c r="E1365" i="1"/>
  <c r="C1366" i="1"/>
  <c r="D1366" i="1"/>
  <c r="E1366" i="1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2" i="14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2" i="14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C1348" i="1" s="1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2" i="14"/>
  <c r="C1203" i="1"/>
  <c r="D1203" i="1"/>
  <c r="E1203" i="1"/>
  <c r="C1204" i="1"/>
  <c r="D1204" i="1"/>
  <c r="E1204" i="1"/>
  <c r="C1205" i="1"/>
  <c r="D1205" i="1"/>
  <c r="E1205" i="1"/>
  <c r="C1206" i="1"/>
  <c r="D1206" i="1"/>
  <c r="E1206" i="1"/>
  <c r="C1207" i="1"/>
  <c r="D1207" i="1"/>
  <c r="E1207" i="1"/>
  <c r="C1208" i="1"/>
  <c r="D1208" i="1"/>
  <c r="E1208" i="1"/>
  <c r="C1209" i="1"/>
  <c r="D1209" i="1"/>
  <c r="E1209" i="1"/>
  <c r="C1210" i="1"/>
  <c r="D1210" i="1"/>
  <c r="E1210" i="1"/>
  <c r="C1211" i="1"/>
  <c r="D1211" i="1"/>
  <c r="E1211" i="1"/>
  <c r="C1212" i="1"/>
  <c r="D1212" i="1"/>
  <c r="E1212" i="1"/>
  <c r="C1213" i="1"/>
  <c r="D1213" i="1"/>
  <c r="E1213" i="1"/>
  <c r="C1214" i="1"/>
  <c r="D1214" i="1"/>
  <c r="E1214" i="1"/>
  <c r="C1215" i="1"/>
  <c r="D1215" i="1"/>
  <c r="E1215" i="1"/>
  <c r="C1216" i="1"/>
  <c r="D1216" i="1"/>
  <c r="E1216" i="1"/>
  <c r="C1217" i="1"/>
  <c r="D1217" i="1"/>
  <c r="E1217" i="1"/>
  <c r="C1218" i="1"/>
  <c r="D1218" i="1"/>
  <c r="E1218" i="1"/>
  <c r="C1219" i="1"/>
  <c r="D1219" i="1"/>
  <c r="E1219" i="1"/>
  <c r="C1220" i="1"/>
  <c r="D1220" i="1"/>
  <c r="E1220" i="1"/>
  <c r="C1221" i="1"/>
  <c r="D1221" i="1"/>
  <c r="E1221" i="1"/>
  <c r="C1222" i="1"/>
  <c r="D1222" i="1"/>
  <c r="E1222" i="1"/>
  <c r="C1223" i="1"/>
  <c r="D1223" i="1"/>
  <c r="E1223" i="1"/>
  <c r="C1224" i="1"/>
  <c r="D1224" i="1"/>
  <c r="E1224" i="1"/>
  <c r="C1225" i="1"/>
  <c r="D1225" i="1"/>
  <c r="E1225" i="1"/>
  <c r="C1226" i="1"/>
  <c r="D1226" i="1"/>
  <c r="E1226" i="1"/>
  <c r="C1227" i="1"/>
  <c r="D1227" i="1"/>
  <c r="E1227" i="1"/>
  <c r="C1228" i="1"/>
  <c r="D1228" i="1"/>
  <c r="E1228" i="1"/>
  <c r="C1229" i="1"/>
  <c r="D1229" i="1"/>
  <c r="E1229" i="1"/>
  <c r="C1230" i="1"/>
  <c r="D1230" i="1"/>
  <c r="E1230" i="1"/>
  <c r="C1231" i="1"/>
  <c r="D1231" i="1"/>
  <c r="E1231" i="1"/>
  <c r="C1232" i="1"/>
  <c r="D1232" i="1"/>
  <c r="E1232" i="1"/>
  <c r="C1233" i="1"/>
  <c r="D1233" i="1"/>
  <c r="E1233" i="1"/>
  <c r="C1234" i="1"/>
  <c r="D1234" i="1"/>
  <c r="E1234" i="1"/>
  <c r="C1235" i="1"/>
  <c r="D1235" i="1"/>
  <c r="E1235" i="1"/>
  <c r="C1236" i="1"/>
  <c r="D1236" i="1"/>
  <c r="E1236" i="1"/>
  <c r="C1237" i="1"/>
  <c r="D1237" i="1"/>
  <c r="E1237" i="1"/>
  <c r="C1238" i="1"/>
  <c r="D1238" i="1"/>
  <c r="E1238" i="1"/>
  <c r="C1239" i="1"/>
  <c r="D1239" i="1"/>
  <c r="E1239" i="1"/>
  <c r="C1240" i="1"/>
  <c r="D1240" i="1"/>
  <c r="E1240" i="1"/>
  <c r="C1241" i="1"/>
  <c r="D1241" i="1"/>
  <c r="E1241" i="1"/>
  <c r="C1242" i="1"/>
  <c r="D1242" i="1"/>
  <c r="E1242" i="1"/>
  <c r="C1243" i="1"/>
  <c r="D1243" i="1"/>
  <c r="E1243" i="1"/>
  <c r="C1244" i="1"/>
  <c r="D1244" i="1"/>
  <c r="E1244" i="1"/>
  <c r="C1245" i="1"/>
  <c r="D1245" i="1"/>
  <c r="E1245" i="1"/>
  <c r="C1246" i="1"/>
  <c r="D1246" i="1"/>
  <c r="E1246" i="1"/>
  <c r="C1247" i="1"/>
  <c r="D1247" i="1"/>
  <c r="E1247" i="1"/>
  <c r="C1248" i="1"/>
  <c r="D1248" i="1"/>
  <c r="E1248" i="1"/>
  <c r="C1249" i="1"/>
  <c r="D1249" i="1"/>
  <c r="E1249" i="1"/>
  <c r="C1250" i="1"/>
  <c r="D1250" i="1"/>
  <c r="E1250" i="1"/>
  <c r="C1251" i="1"/>
  <c r="D1251" i="1"/>
  <c r="E1251" i="1"/>
  <c r="C1252" i="1"/>
  <c r="D1252" i="1"/>
  <c r="E1252" i="1"/>
  <c r="C1253" i="1"/>
  <c r="D1253" i="1"/>
  <c r="E1253" i="1"/>
  <c r="C1254" i="1"/>
  <c r="D1254" i="1"/>
  <c r="E1254" i="1"/>
  <c r="C1255" i="1"/>
  <c r="D1255" i="1"/>
  <c r="E1255" i="1"/>
  <c r="C1256" i="1"/>
  <c r="D1256" i="1"/>
  <c r="E1256" i="1"/>
  <c r="C1257" i="1"/>
  <c r="D1257" i="1"/>
  <c r="E1257" i="1"/>
  <c r="C1258" i="1"/>
  <c r="D1258" i="1"/>
  <c r="E1258" i="1"/>
  <c r="C1259" i="1"/>
  <c r="D1259" i="1"/>
  <c r="E1259" i="1"/>
  <c r="C1260" i="1"/>
  <c r="D1260" i="1"/>
  <c r="E1260" i="1"/>
  <c r="C1261" i="1"/>
  <c r="D1261" i="1"/>
  <c r="E1261" i="1"/>
  <c r="C1262" i="1"/>
  <c r="D1262" i="1"/>
  <c r="E1262" i="1"/>
  <c r="C1263" i="1"/>
  <c r="D1263" i="1"/>
  <c r="E1263" i="1"/>
  <c r="C1264" i="1"/>
  <c r="D1264" i="1"/>
  <c r="E1264" i="1"/>
  <c r="C1265" i="1"/>
  <c r="D1265" i="1"/>
  <c r="E1265" i="1"/>
  <c r="C1266" i="1"/>
  <c r="D1266" i="1"/>
  <c r="E1266" i="1"/>
  <c r="C1267" i="1"/>
  <c r="D1267" i="1"/>
  <c r="E1267" i="1"/>
  <c r="C1268" i="1"/>
  <c r="D1268" i="1"/>
  <c r="E1268" i="1"/>
  <c r="C1269" i="1"/>
  <c r="D1269" i="1"/>
  <c r="E1269" i="1"/>
  <c r="C1270" i="1"/>
  <c r="D1270" i="1"/>
  <c r="E1270" i="1"/>
  <c r="C1271" i="1"/>
  <c r="D1271" i="1"/>
  <c r="E1271" i="1"/>
  <c r="C1272" i="1"/>
  <c r="D1272" i="1"/>
  <c r="E1272" i="1"/>
  <c r="C1273" i="1"/>
  <c r="D1273" i="1"/>
  <c r="E1273" i="1"/>
  <c r="C1274" i="1"/>
  <c r="D1274" i="1"/>
  <c r="E1274" i="1"/>
  <c r="C1275" i="1"/>
  <c r="D1275" i="1"/>
  <c r="E1275" i="1"/>
  <c r="C1276" i="1"/>
  <c r="D1276" i="1"/>
  <c r="E1276" i="1"/>
  <c r="C1277" i="1"/>
  <c r="D1277" i="1"/>
  <c r="E1277" i="1"/>
  <c r="C1278" i="1"/>
  <c r="D1278" i="1"/>
  <c r="E1278" i="1"/>
  <c r="C1279" i="1"/>
  <c r="D1279" i="1"/>
  <c r="E1279" i="1"/>
  <c r="C1280" i="1"/>
  <c r="D1280" i="1"/>
  <c r="E1280" i="1"/>
  <c r="C1281" i="1"/>
  <c r="D1281" i="1"/>
  <c r="E1281" i="1"/>
  <c r="C1282" i="1"/>
  <c r="D1282" i="1"/>
  <c r="E1282" i="1"/>
  <c r="C1283" i="1"/>
  <c r="D1283" i="1"/>
  <c r="E1283" i="1"/>
  <c r="C1284" i="1"/>
  <c r="D1284" i="1"/>
  <c r="E1284" i="1"/>
  <c r="C1285" i="1"/>
  <c r="D1285" i="1"/>
  <c r="E1285" i="1"/>
  <c r="C1286" i="1"/>
  <c r="D1286" i="1"/>
  <c r="E1286" i="1"/>
  <c r="C1287" i="1"/>
  <c r="D1287" i="1"/>
  <c r="E1287" i="1"/>
  <c r="C1288" i="1"/>
  <c r="D1288" i="1"/>
  <c r="E1288" i="1"/>
  <c r="C1289" i="1"/>
  <c r="D1289" i="1"/>
  <c r="E1289" i="1"/>
  <c r="C1290" i="1"/>
  <c r="D1290" i="1"/>
  <c r="E1290" i="1"/>
  <c r="C1291" i="1"/>
  <c r="D1291" i="1"/>
  <c r="E1291" i="1"/>
  <c r="C1292" i="1"/>
  <c r="D1292" i="1"/>
  <c r="E1292" i="1"/>
  <c r="C1293" i="1"/>
  <c r="D1293" i="1"/>
  <c r="E1293" i="1"/>
  <c r="C1294" i="1"/>
  <c r="D1294" i="1"/>
  <c r="E1294" i="1"/>
  <c r="C1295" i="1"/>
  <c r="D1295" i="1"/>
  <c r="E1295" i="1"/>
  <c r="C1296" i="1"/>
  <c r="D1296" i="1"/>
  <c r="E1296" i="1"/>
  <c r="C1297" i="1"/>
  <c r="D1297" i="1"/>
  <c r="E1297" i="1"/>
  <c r="C1298" i="1"/>
  <c r="D1298" i="1"/>
  <c r="E1298" i="1"/>
  <c r="C1299" i="1"/>
  <c r="D1299" i="1"/>
  <c r="E1299" i="1"/>
  <c r="C1300" i="1"/>
  <c r="D1300" i="1"/>
  <c r="E1300" i="1"/>
  <c r="C1301" i="1"/>
  <c r="D1301" i="1"/>
  <c r="E1301" i="1"/>
  <c r="C1302" i="1"/>
  <c r="D1302" i="1"/>
  <c r="E1302" i="1"/>
  <c r="C1303" i="1"/>
  <c r="D1303" i="1"/>
  <c r="E1303" i="1"/>
  <c r="C1304" i="1"/>
  <c r="D1304" i="1"/>
  <c r="E1304" i="1"/>
  <c r="C1305" i="1"/>
  <c r="D1305" i="1"/>
  <c r="E1305" i="1"/>
  <c r="C1306" i="1"/>
  <c r="D1306" i="1"/>
  <c r="E1306" i="1"/>
  <c r="C1307" i="1"/>
  <c r="D1307" i="1"/>
  <c r="E1307" i="1"/>
  <c r="C1308" i="1"/>
  <c r="D1308" i="1"/>
  <c r="E1308" i="1"/>
  <c r="C1309" i="1"/>
  <c r="D1309" i="1"/>
  <c r="E1309" i="1"/>
  <c r="C1310" i="1"/>
  <c r="D1310" i="1"/>
  <c r="E1310" i="1"/>
  <c r="C1311" i="1"/>
  <c r="D1311" i="1"/>
  <c r="E1311" i="1"/>
  <c r="C1312" i="1"/>
  <c r="D1312" i="1"/>
  <c r="E1312" i="1"/>
  <c r="C1313" i="1"/>
  <c r="D1313" i="1"/>
  <c r="E1313" i="1"/>
  <c r="C1314" i="1"/>
  <c r="D1314" i="1"/>
  <c r="E1314" i="1"/>
  <c r="C1315" i="1"/>
  <c r="D1315" i="1"/>
  <c r="E1315" i="1"/>
  <c r="C1316" i="1"/>
  <c r="D1316" i="1"/>
  <c r="E1316" i="1"/>
  <c r="C1317" i="1"/>
  <c r="D1317" i="1"/>
  <c r="E1317" i="1"/>
  <c r="C1318" i="1"/>
  <c r="D1318" i="1"/>
  <c r="E1318" i="1"/>
  <c r="C1319" i="1"/>
  <c r="D1319" i="1"/>
  <c r="E1319" i="1"/>
  <c r="C1320" i="1"/>
  <c r="D1320" i="1"/>
  <c r="E1320" i="1"/>
  <c r="C1321" i="1"/>
  <c r="D1321" i="1"/>
  <c r="E1321" i="1"/>
  <c r="C1322" i="1"/>
  <c r="D1322" i="1"/>
  <c r="E1322" i="1"/>
  <c r="C1323" i="1"/>
  <c r="D1323" i="1"/>
  <c r="E1323" i="1"/>
  <c r="C1324" i="1"/>
  <c r="D1324" i="1"/>
  <c r="E1324" i="1"/>
  <c r="C1325" i="1"/>
  <c r="D1325" i="1"/>
  <c r="E1325" i="1"/>
  <c r="C1326" i="1"/>
  <c r="D1326" i="1"/>
  <c r="E1326" i="1"/>
  <c r="C1327" i="1"/>
  <c r="D1327" i="1"/>
  <c r="E1327" i="1"/>
  <c r="C1328" i="1"/>
  <c r="D1328" i="1"/>
  <c r="E1328" i="1"/>
  <c r="C1329" i="1"/>
  <c r="D1329" i="1"/>
  <c r="E1329" i="1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G2" i="13"/>
  <c r="F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2" i="13"/>
  <c r="E989" i="1"/>
  <c r="E990" i="1"/>
  <c r="E997" i="1"/>
  <c r="E998" i="1"/>
  <c r="E999" i="1"/>
  <c r="E1001" i="1"/>
  <c r="E1005" i="1"/>
  <c r="E1006" i="1"/>
  <c r="E1007" i="1"/>
  <c r="E1008" i="1"/>
  <c r="E1013" i="1"/>
  <c r="E1014" i="1"/>
  <c r="E1015" i="1"/>
  <c r="E1016" i="1"/>
  <c r="E1021" i="1"/>
  <c r="E1022" i="1"/>
  <c r="E1029" i="1"/>
  <c r="E1030" i="1"/>
  <c r="E1031" i="1"/>
  <c r="E1032" i="1"/>
  <c r="E1037" i="1"/>
  <c r="E1038" i="1"/>
  <c r="E1045" i="1"/>
  <c r="E1046" i="1"/>
  <c r="E1047" i="1"/>
  <c r="E1053" i="1"/>
  <c r="E1054" i="1"/>
  <c r="E1060" i="1"/>
  <c r="E1061" i="1"/>
  <c r="E1062" i="1"/>
  <c r="E1068" i="1"/>
  <c r="E1069" i="1"/>
  <c r="E1076" i="1"/>
  <c r="E1077" i="1"/>
  <c r="E1078" i="1"/>
  <c r="E1083" i="1"/>
  <c r="E1084" i="1"/>
  <c r="E1085" i="1"/>
  <c r="E1091" i="1"/>
  <c r="E1092" i="1"/>
  <c r="E1093" i="1"/>
  <c r="E1099" i="1"/>
  <c r="E1100" i="1"/>
  <c r="E1107" i="1"/>
  <c r="E1115" i="1"/>
  <c r="E1116" i="1"/>
  <c r="E1122" i="1"/>
  <c r="E1123" i="1"/>
  <c r="E1130" i="1"/>
  <c r="E1131" i="1"/>
  <c r="E1138" i="1"/>
  <c r="E1139" i="1"/>
  <c r="E1145" i="1"/>
  <c r="E1146" i="1"/>
  <c r="E1153" i="1"/>
  <c r="E1154" i="1"/>
  <c r="E1169" i="1"/>
  <c r="E1192" i="1"/>
  <c r="E1200" i="1"/>
  <c r="E2" i="12"/>
  <c r="C989" i="1" s="1"/>
  <c r="F2" i="12"/>
  <c r="D989" i="1" s="1"/>
  <c r="E3" i="12"/>
  <c r="C990" i="1" s="1"/>
  <c r="F3" i="12"/>
  <c r="D990" i="1" s="1"/>
  <c r="E4" i="12"/>
  <c r="C991" i="1" s="1"/>
  <c r="F4" i="12"/>
  <c r="D991" i="1" s="1"/>
  <c r="E5" i="12"/>
  <c r="C992" i="1" s="1"/>
  <c r="F5" i="12"/>
  <c r="D992" i="1" s="1"/>
  <c r="E6" i="12"/>
  <c r="C993" i="1" s="1"/>
  <c r="F6" i="12"/>
  <c r="D993" i="1" s="1"/>
  <c r="E7" i="12"/>
  <c r="C994" i="1" s="1"/>
  <c r="F7" i="12"/>
  <c r="D994" i="1" s="1"/>
  <c r="E8" i="12"/>
  <c r="C995" i="1" s="1"/>
  <c r="F8" i="12"/>
  <c r="D995" i="1" s="1"/>
  <c r="E9" i="12"/>
  <c r="C996" i="1" s="1"/>
  <c r="F9" i="12"/>
  <c r="D996" i="1" s="1"/>
  <c r="E10" i="12"/>
  <c r="C997" i="1" s="1"/>
  <c r="F10" i="12"/>
  <c r="D997" i="1" s="1"/>
  <c r="E11" i="12"/>
  <c r="C998" i="1" s="1"/>
  <c r="F11" i="12"/>
  <c r="D998" i="1" s="1"/>
  <c r="E12" i="12"/>
  <c r="C999" i="1" s="1"/>
  <c r="F12" i="12"/>
  <c r="D999" i="1" s="1"/>
  <c r="E13" i="12"/>
  <c r="C1000" i="1" s="1"/>
  <c r="F13" i="12"/>
  <c r="D1000" i="1" s="1"/>
  <c r="E14" i="12"/>
  <c r="C1001" i="1" s="1"/>
  <c r="F14" i="12"/>
  <c r="D1001" i="1" s="1"/>
  <c r="E15" i="12"/>
  <c r="C1002" i="1" s="1"/>
  <c r="F15" i="12"/>
  <c r="D1002" i="1" s="1"/>
  <c r="E16" i="12"/>
  <c r="C1003" i="1" s="1"/>
  <c r="F16" i="12"/>
  <c r="D1003" i="1" s="1"/>
  <c r="E17" i="12"/>
  <c r="C1004" i="1" s="1"/>
  <c r="F17" i="12"/>
  <c r="D1004" i="1" s="1"/>
  <c r="E18" i="12"/>
  <c r="C1005" i="1" s="1"/>
  <c r="F18" i="12"/>
  <c r="D1005" i="1" s="1"/>
  <c r="E19" i="12"/>
  <c r="C1006" i="1" s="1"/>
  <c r="F19" i="12"/>
  <c r="D1006" i="1" s="1"/>
  <c r="E20" i="12"/>
  <c r="C1007" i="1" s="1"/>
  <c r="F20" i="12"/>
  <c r="D1007" i="1" s="1"/>
  <c r="E21" i="12"/>
  <c r="C1008" i="1" s="1"/>
  <c r="F21" i="12"/>
  <c r="D1008" i="1" s="1"/>
  <c r="E22" i="12"/>
  <c r="C1009" i="1" s="1"/>
  <c r="F22" i="12"/>
  <c r="D1009" i="1" s="1"/>
  <c r="E23" i="12"/>
  <c r="C1010" i="1" s="1"/>
  <c r="F23" i="12"/>
  <c r="D1010" i="1" s="1"/>
  <c r="E24" i="12"/>
  <c r="C1011" i="1" s="1"/>
  <c r="F24" i="12"/>
  <c r="D1011" i="1" s="1"/>
  <c r="E25" i="12"/>
  <c r="C1012" i="1" s="1"/>
  <c r="F25" i="12"/>
  <c r="D1012" i="1" s="1"/>
  <c r="E26" i="12"/>
  <c r="C1013" i="1" s="1"/>
  <c r="F26" i="12"/>
  <c r="D1013" i="1" s="1"/>
  <c r="E27" i="12"/>
  <c r="C1014" i="1" s="1"/>
  <c r="F27" i="12"/>
  <c r="D1014" i="1" s="1"/>
  <c r="E28" i="12"/>
  <c r="C1015" i="1" s="1"/>
  <c r="F28" i="12"/>
  <c r="D1015" i="1" s="1"/>
  <c r="E29" i="12"/>
  <c r="C1016" i="1" s="1"/>
  <c r="F29" i="12"/>
  <c r="D1016" i="1" s="1"/>
  <c r="E30" i="12"/>
  <c r="C1017" i="1" s="1"/>
  <c r="F30" i="12"/>
  <c r="D1017" i="1" s="1"/>
  <c r="E31" i="12"/>
  <c r="C1018" i="1" s="1"/>
  <c r="F31" i="12"/>
  <c r="D1018" i="1" s="1"/>
  <c r="E32" i="12"/>
  <c r="C1019" i="1" s="1"/>
  <c r="F32" i="12"/>
  <c r="D1019" i="1" s="1"/>
  <c r="E33" i="12"/>
  <c r="C1020" i="1" s="1"/>
  <c r="F33" i="12"/>
  <c r="D1020" i="1" s="1"/>
  <c r="E34" i="12"/>
  <c r="C1021" i="1" s="1"/>
  <c r="F34" i="12"/>
  <c r="D1021" i="1" s="1"/>
  <c r="E35" i="12"/>
  <c r="C1022" i="1" s="1"/>
  <c r="F35" i="12"/>
  <c r="D1022" i="1" s="1"/>
  <c r="E36" i="12"/>
  <c r="C1023" i="1" s="1"/>
  <c r="F36" i="12"/>
  <c r="D1023" i="1" s="1"/>
  <c r="E37" i="12"/>
  <c r="C1024" i="1" s="1"/>
  <c r="F37" i="12"/>
  <c r="D1024" i="1" s="1"/>
  <c r="E38" i="12"/>
  <c r="C1025" i="1" s="1"/>
  <c r="F38" i="12"/>
  <c r="D1025" i="1" s="1"/>
  <c r="E39" i="12"/>
  <c r="C1026" i="1" s="1"/>
  <c r="F39" i="12"/>
  <c r="D1026" i="1" s="1"/>
  <c r="E40" i="12"/>
  <c r="C1027" i="1" s="1"/>
  <c r="F40" i="12"/>
  <c r="D1027" i="1" s="1"/>
  <c r="E41" i="12"/>
  <c r="C1028" i="1" s="1"/>
  <c r="F41" i="12"/>
  <c r="D1028" i="1" s="1"/>
  <c r="E42" i="12"/>
  <c r="C1029" i="1" s="1"/>
  <c r="F42" i="12"/>
  <c r="D1029" i="1" s="1"/>
  <c r="E43" i="12"/>
  <c r="C1030" i="1" s="1"/>
  <c r="F43" i="12"/>
  <c r="D1030" i="1" s="1"/>
  <c r="E44" i="12"/>
  <c r="C1031" i="1" s="1"/>
  <c r="F44" i="12"/>
  <c r="D1031" i="1" s="1"/>
  <c r="E45" i="12"/>
  <c r="C1032" i="1" s="1"/>
  <c r="F45" i="12"/>
  <c r="D1032" i="1" s="1"/>
  <c r="E46" i="12"/>
  <c r="C1033" i="1" s="1"/>
  <c r="F46" i="12"/>
  <c r="D1033" i="1" s="1"/>
  <c r="E47" i="12"/>
  <c r="C1034" i="1" s="1"/>
  <c r="F47" i="12"/>
  <c r="D1034" i="1" s="1"/>
  <c r="E48" i="12"/>
  <c r="C1035" i="1" s="1"/>
  <c r="F48" i="12"/>
  <c r="D1035" i="1" s="1"/>
  <c r="E49" i="12"/>
  <c r="C1036" i="1" s="1"/>
  <c r="F49" i="12"/>
  <c r="D1036" i="1" s="1"/>
  <c r="E50" i="12"/>
  <c r="C1037" i="1" s="1"/>
  <c r="F50" i="12"/>
  <c r="D1037" i="1" s="1"/>
  <c r="E51" i="12"/>
  <c r="C1038" i="1" s="1"/>
  <c r="F51" i="12"/>
  <c r="D1038" i="1" s="1"/>
  <c r="E52" i="12"/>
  <c r="C1039" i="1" s="1"/>
  <c r="F52" i="12"/>
  <c r="D1039" i="1" s="1"/>
  <c r="E53" i="12"/>
  <c r="C1040" i="1" s="1"/>
  <c r="F53" i="12"/>
  <c r="D1040" i="1" s="1"/>
  <c r="E54" i="12"/>
  <c r="C1041" i="1" s="1"/>
  <c r="F54" i="12"/>
  <c r="D1041" i="1" s="1"/>
  <c r="E55" i="12"/>
  <c r="C1042" i="1" s="1"/>
  <c r="F55" i="12"/>
  <c r="D1042" i="1" s="1"/>
  <c r="E56" i="12"/>
  <c r="C1043" i="1" s="1"/>
  <c r="F56" i="12"/>
  <c r="D1043" i="1" s="1"/>
  <c r="E57" i="12"/>
  <c r="C1044" i="1" s="1"/>
  <c r="F57" i="12"/>
  <c r="D1044" i="1" s="1"/>
  <c r="E58" i="12"/>
  <c r="C1045" i="1" s="1"/>
  <c r="F58" i="12"/>
  <c r="D1045" i="1" s="1"/>
  <c r="E59" i="12"/>
  <c r="C1046" i="1" s="1"/>
  <c r="F59" i="12"/>
  <c r="D1046" i="1" s="1"/>
  <c r="E60" i="12"/>
  <c r="C1047" i="1" s="1"/>
  <c r="F60" i="12"/>
  <c r="D1047" i="1" s="1"/>
  <c r="E61" i="12"/>
  <c r="C1048" i="1" s="1"/>
  <c r="F61" i="12"/>
  <c r="D1048" i="1" s="1"/>
  <c r="E62" i="12"/>
  <c r="C1049" i="1" s="1"/>
  <c r="F62" i="12"/>
  <c r="D1049" i="1" s="1"/>
  <c r="E63" i="12"/>
  <c r="C1050" i="1" s="1"/>
  <c r="F63" i="12"/>
  <c r="D1050" i="1" s="1"/>
  <c r="E64" i="12"/>
  <c r="C1051" i="1" s="1"/>
  <c r="F64" i="12"/>
  <c r="D1051" i="1" s="1"/>
  <c r="E65" i="12"/>
  <c r="C1052" i="1" s="1"/>
  <c r="F65" i="12"/>
  <c r="D1052" i="1" s="1"/>
  <c r="E66" i="12"/>
  <c r="C1053" i="1" s="1"/>
  <c r="F66" i="12"/>
  <c r="D1053" i="1" s="1"/>
  <c r="E67" i="12"/>
  <c r="C1054" i="1" s="1"/>
  <c r="F67" i="12"/>
  <c r="D1054" i="1" s="1"/>
  <c r="E68" i="12"/>
  <c r="C1055" i="1" s="1"/>
  <c r="F68" i="12"/>
  <c r="D1055" i="1" s="1"/>
  <c r="E69" i="12"/>
  <c r="C1056" i="1" s="1"/>
  <c r="F69" i="12"/>
  <c r="D1056" i="1" s="1"/>
  <c r="E70" i="12"/>
  <c r="C1057" i="1" s="1"/>
  <c r="F70" i="12"/>
  <c r="D1057" i="1" s="1"/>
  <c r="E71" i="12"/>
  <c r="C1058" i="1" s="1"/>
  <c r="F71" i="12"/>
  <c r="D1058" i="1" s="1"/>
  <c r="E72" i="12"/>
  <c r="C1059" i="1" s="1"/>
  <c r="F72" i="12"/>
  <c r="D1059" i="1" s="1"/>
  <c r="E73" i="12"/>
  <c r="C1060" i="1" s="1"/>
  <c r="F73" i="12"/>
  <c r="D1060" i="1" s="1"/>
  <c r="E74" i="12"/>
  <c r="C1061" i="1" s="1"/>
  <c r="F74" i="12"/>
  <c r="D1061" i="1" s="1"/>
  <c r="E75" i="12"/>
  <c r="C1062" i="1" s="1"/>
  <c r="F75" i="12"/>
  <c r="D1062" i="1" s="1"/>
  <c r="E76" i="12"/>
  <c r="C1063" i="1" s="1"/>
  <c r="F76" i="12"/>
  <c r="D1063" i="1" s="1"/>
  <c r="E77" i="12"/>
  <c r="C1064" i="1" s="1"/>
  <c r="F77" i="12"/>
  <c r="D1064" i="1" s="1"/>
  <c r="E78" i="12"/>
  <c r="C1065" i="1" s="1"/>
  <c r="F78" i="12"/>
  <c r="D1065" i="1" s="1"/>
  <c r="E79" i="12"/>
  <c r="C1066" i="1" s="1"/>
  <c r="F79" i="12"/>
  <c r="D1066" i="1" s="1"/>
  <c r="E80" i="12"/>
  <c r="C1067" i="1" s="1"/>
  <c r="F80" i="12"/>
  <c r="D1067" i="1" s="1"/>
  <c r="E81" i="12"/>
  <c r="C1068" i="1" s="1"/>
  <c r="F81" i="12"/>
  <c r="D1068" i="1" s="1"/>
  <c r="E82" i="12"/>
  <c r="C1069" i="1" s="1"/>
  <c r="F82" i="12"/>
  <c r="D1069" i="1" s="1"/>
  <c r="E83" i="12"/>
  <c r="C1070" i="1" s="1"/>
  <c r="F83" i="12"/>
  <c r="D1070" i="1" s="1"/>
  <c r="E84" i="12"/>
  <c r="C1071" i="1" s="1"/>
  <c r="F84" i="12"/>
  <c r="D1071" i="1" s="1"/>
  <c r="E85" i="12"/>
  <c r="C1072" i="1" s="1"/>
  <c r="F85" i="12"/>
  <c r="D1072" i="1" s="1"/>
  <c r="E86" i="12"/>
  <c r="C1073" i="1" s="1"/>
  <c r="F86" i="12"/>
  <c r="D1073" i="1" s="1"/>
  <c r="E87" i="12"/>
  <c r="C1074" i="1" s="1"/>
  <c r="F87" i="12"/>
  <c r="D1074" i="1" s="1"/>
  <c r="E88" i="12"/>
  <c r="C1075" i="1" s="1"/>
  <c r="F88" i="12"/>
  <c r="D1075" i="1" s="1"/>
  <c r="E89" i="12"/>
  <c r="C1076" i="1" s="1"/>
  <c r="F89" i="12"/>
  <c r="D1076" i="1" s="1"/>
  <c r="E90" i="12"/>
  <c r="C1077" i="1" s="1"/>
  <c r="F90" i="12"/>
  <c r="D1077" i="1" s="1"/>
  <c r="E91" i="12"/>
  <c r="C1078" i="1" s="1"/>
  <c r="F91" i="12"/>
  <c r="D1078" i="1" s="1"/>
  <c r="E92" i="12"/>
  <c r="C1079" i="1" s="1"/>
  <c r="F92" i="12"/>
  <c r="D1079" i="1" s="1"/>
  <c r="E93" i="12"/>
  <c r="C1080" i="1" s="1"/>
  <c r="F93" i="12"/>
  <c r="D1080" i="1" s="1"/>
  <c r="E94" i="12"/>
  <c r="C1081" i="1" s="1"/>
  <c r="F94" i="12"/>
  <c r="D1081" i="1" s="1"/>
  <c r="E95" i="12"/>
  <c r="C1082" i="1" s="1"/>
  <c r="F95" i="12"/>
  <c r="D1082" i="1" s="1"/>
  <c r="E96" i="12"/>
  <c r="C1083" i="1" s="1"/>
  <c r="F96" i="12"/>
  <c r="D1083" i="1" s="1"/>
  <c r="E97" i="12"/>
  <c r="C1084" i="1" s="1"/>
  <c r="F97" i="12"/>
  <c r="D1084" i="1" s="1"/>
  <c r="E98" i="12"/>
  <c r="C1085" i="1" s="1"/>
  <c r="F98" i="12"/>
  <c r="D1085" i="1" s="1"/>
  <c r="E99" i="12"/>
  <c r="C1086" i="1" s="1"/>
  <c r="F99" i="12"/>
  <c r="D1086" i="1" s="1"/>
  <c r="E100" i="12"/>
  <c r="C1087" i="1" s="1"/>
  <c r="F100" i="12"/>
  <c r="D1087" i="1" s="1"/>
  <c r="E101" i="12"/>
  <c r="C1088" i="1" s="1"/>
  <c r="F101" i="12"/>
  <c r="D1088" i="1" s="1"/>
  <c r="E102" i="12"/>
  <c r="C1089" i="1" s="1"/>
  <c r="F102" i="12"/>
  <c r="D1089" i="1" s="1"/>
  <c r="E103" i="12"/>
  <c r="C1090" i="1" s="1"/>
  <c r="F103" i="12"/>
  <c r="D1090" i="1" s="1"/>
  <c r="E104" i="12"/>
  <c r="C1091" i="1" s="1"/>
  <c r="F104" i="12"/>
  <c r="D1091" i="1" s="1"/>
  <c r="E105" i="12"/>
  <c r="C1092" i="1" s="1"/>
  <c r="F105" i="12"/>
  <c r="D1092" i="1" s="1"/>
  <c r="E106" i="12"/>
  <c r="C1093" i="1" s="1"/>
  <c r="F106" i="12"/>
  <c r="D1093" i="1" s="1"/>
  <c r="E107" i="12"/>
  <c r="C1094" i="1" s="1"/>
  <c r="F107" i="12"/>
  <c r="D1094" i="1" s="1"/>
  <c r="E108" i="12"/>
  <c r="C1095" i="1" s="1"/>
  <c r="F108" i="12"/>
  <c r="D1095" i="1" s="1"/>
  <c r="E109" i="12"/>
  <c r="C1096" i="1" s="1"/>
  <c r="F109" i="12"/>
  <c r="D1096" i="1" s="1"/>
  <c r="E110" i="12"/>
  <c r="C1097" i="1" s="1"/>
  <c r="F110" i="12"/>
  <c r="D1097" i="1" s="1"/>
  <c r="E111" i="12"/>
  <c r="C1098" i="1" s="1"/>
  <c r="F111" i="12"/>
  <c r="D1098" i="1" s="1"/>
  <c r="E112" i="12"/>
  <c r="C1099" i="1" s="1"/>
  <c r="F112" i="12"/>
  <c r="D1099" i="1" s="1"/>
  <c r="E113" i="12"/>
  <c r="C1100" i="1" s="1"/>
  <c r="F113" i="12"/>
  <c r="D1100" i="1" s="1"/>
  <c r="E114" i="12"/>
  <c r="C1101" i="1" s="1"/>
  <c r="F114" i="12"/>
  <c r="D1101" i="1" s="1"/>
  <c r="E115" i="12"/>
  <c r="C1102" i="1" s="1"/>
  <c r="F115" i="12"/>
  <c r="D1102" i="1" s="1"/>
  <c r="E116" i="12"/>
  <c r="C1103" i="1" s="1"/>
  <c r="F116" i="12"/>
  <c r="D1103" i="1" s="1"/>
  <c r="E117" i="12"/>
  <c r="C1104" i="1" s="1"/>
  <c r="F117" i="12"/>
  <c r="D1104" i="1" s="1"/>
  <c r="E118" i="12"/>
  <c r="C1105" i="1" s="1"/>
  <c r="F118" i="12"/>
  <c r="D1105" i="1" s="1"/>
  <c r="E119" i="12"/>
  <c r="C1106" i="1" s="1"/>
  <c r="F119" i="12"/>
  <c r="D1106" i="1" s="1"/>
  <c r="E120" i="12"/>
  <c r="C1107" i="1" s="1"/>
  <c r="F120" i="12"/>
  <c r="D1107" i="1" s="1"/>
  <c r="E121" i="12"/>
  <c r="C1108" i="1" s="1"/>
  <c r="F121" i="12"/>
  <c r="D1108" i="1" s="1"/>
  <c r="E122" i="12"/>
  <c r="C1109" i="1" s="1"/>
  <c r="F122" i="12"/>
  <c r="D1109" i="1" s="1"/>
  <c r="E123" i="12"/>
  <c r="C1110" i="1" s="1"/>
  <c r="F123" i="12"/>
  <c r="D1110" i="1" s="1"/>
  <c r="E124" i="12"/>
  <c r="C1111" i="1" s="1"/>
  <c r="F124" i="12"/>
  <c r="D1111" i="1" s="1"/>
  <c r="E125" i="12"/>
  <c r="C1112" i="1" s="1"/>
  <c r="F125" i="12"/>
  <c r="D1112" i="1" s="1"/>
  <c r="E126" i="12"/>
  <c r="C1113" i="1" s="1"/>
  <c r="F126" i="12"/>
  <c r="D1113" i="1" s="1"/>
  <c r="E127" i="12"/>
  <c r="C1114" i="1" s="1"/>
  <c r="F127" i="12"/>
  <c r="D1114" i="1" s="1"/>
  <c r="E128" i="12"/>
  <c r="C1115" i="1" s="1"/>
  <c r="F128" i="12"/>
  <c r="D1115" i="1" s="1"/>
  <c r="E129" i="12"/>
  <c r="C1116" i="1" s="1"/>
  <c r="F129" i="12"/>
  <c r="D1116" i="1" s="1"/>
  <c r="E130" i="12"/>
  <c r="C1117" i="1" s="1"/>
  <c r="F130" i="12"/>
  <c r="D1117" i="1" s="1"/>
  <c r="E131" i="12"/>
  <c r="C1118" i="1" s="1"/>
  <c r="F131" i="12"/>
  <c r="D1118" i="1" s="1"/>
  <c r="E132" i="12"/>
  <c r="C1119" i="1" s="1"/>
  <c r="F132" i="12"/>
  <c r="D1119" i="1" s="1"/>
  <c r="E133" i="12"/>
  <c r="C1120" i="1" s="1"/>
  <c r="F133" i="12"/>
  <c r="D1120" i="1" s="1"/>
  <c r="E134" i="12"/>
  <c r="C1121" i="1" s="1"/>
  <c r="F134" i="12"/>
  <c r="D1121" i="1" s="1"/>
  <c r="E135" i="12"/>
  <c r="C1122" i="1" s="1"/>
  <c r="F135" i="12"/>
  <c r="D1122" i="1" s="1"/>
  <c r="E136" i="12"/>
  <c r="C1123" i="1" s="1"/>
  <c r="F136" i="12"/>
  <c r="D1123" i="1" s="1"/>
  <c r="E137" i="12"/>
  <c r="C1124" i="1" s="1"/>
  <c r="F137" i="12"/>
  <c r="D1124" i="1" s="1"/>
  <c r="E138" i="12"/>
  <c r="C1125" i="1" s="1"/>
  <c r="F138" i="12"/>
  <c r="D1125" i="1" s="1"/>
  <c r="E139" i="12"/>
  <c r="C1126" i="1" s="1"/>
  <c r="F139" i="12"/>
  <c r="D1126" i="1" s="1"/>
  <c r="E140" i="12"/>
  <c r="C1127" i="1" s="1"/>
  <c r="F140" i="12"/>
  <c r="D1127" i="1" s="1"/>
  <c r="E141" i="12"/>
  <c r="C1128" i="1" s="1"/>
  <c r="F141" i="12"/>
  <c r="D1128" i="1" s="1"/>
  <c r="E142" i="12"/>
  <c r="C1129" i="1" s="1"/>
  <c r="F142" i="12"/>
  <c r="D1129" i="1" s="1"/>
  <c r="E143" i="12"/>
  <c r="C1130" i="1" s="1"/>
  <c r="F143" i="12"/>
  <c r="D1130" i="1" s="1"/>
  <c r="E144" i="12"/>
  <c r="C1131" i="1" s="1"/>
  <c r="F144" i="12"/>
  <c r="D1131" i="1" s="1"/>
  <c r="E145" i="12"/>
  <c r="C1132" i="1" s="1"/>
  <c r="F145" i="12"/>
  <c r="D1132" i="1" s="1"/>
  <c r="E146" i="12"/>
  <c r="C1133" i="1" s="1"/>
  <c r="F146" i="12"/>
  <c r="D1133" i="1" s="1"/>
  <c r="E147" i="12"/>
  <c r="C1134" i="1" s="1"/>
  <c r="F147" i="12"/>
  <c r="D1134" i="1" s="1"/>
  <c r="E148" i="12"/>
  <c r="C1135" i="1" s="1"/>
  <c r="F148" i="12"/>
  <c r="D1135" i="1" s="1"/>
  <c r="E149" i="12"/>
  <c r="C1136" i="1" s="1"/>
  <c r="F149" i="12"/>
  <c r="D1136" i="1" s="1"/>
  <c r="E150" i="12"/>
  <c r="C1137" i="1" s="1"/>
  <c r="F150" i="12"/>
  <c r="D1137" i="1" s="1"/>
  <c r="E151" i="12"/>
  <c r="C1138" i="1" s="1"/>
  <c r="F151" i="12"/>
  <c r="D1138" i="1" s="1"/>
  <c r="E152" i="12"/>
  <c r="C1139" i="1" s="1"/>
  <c r="F152" i="12"/>
  <c r="D1139" i="1" s="1"/>
  <c r="E153" i="12"/>
  <c r="C1140" i="1" s="1"/>
  <c r="F153" i="12"/>
  <c r="D1140" i="1" s="1"/>
  <c r="E154" i="12"/>
  <c r="C1141" i="1" s="1"/>
  <c r="F154" i="12"/>
  <c r="D1141" i="1" s="1"/>
  <c r="E155" i="12"/>
  <c r="C1142" i="1" s="1"/>
  <c r="F155" i="12"/>
  <c r="D1142" i="1" s="1"/>
  <c r="E156" i="12"/>
  <c r="C1143" i="1" s="1"/>
  <c r="F156" i="12"/>
  <c r="D1143" i="1" s="1"/>
  <c r="E157" i="12"/>
  <c r="C1144" i="1" s="1"/>
  <c r="F157" i="12"/>
  <c r="D1144" i="1" s="1"/>
  <c r="E158" i="12"/>
  <c r="C1145" i="1" s="1"/>
  <c r="F158" i="12"/>
  <c r="D1145" i="1" s="1"/>
  <c r="E159" i="12"/>
  <c r="C1146" i="1" s="1"/>
  <c r="F159" i="12"/>
  <c r="D1146" i="1" s="1"/>
  <c r="E160" i="12"/>
  <c r="C1147" i="1" s="1"/>
  <c r="F160" i="12"/>
  <c r="D1147" i="1" s="1"/>
  <c r="E161" i="12"/>
  <c r="C1148" i="1" s="1"/>
  <c r="F161" i="12"/>
  <c r="D1148" i="1" s="1"/>
  <c r="E162" i="12"/>
  <c r="C1149" i="1" s="1"/>
  <c r="F162" i="12"/>
  <c r="D1149" i="1" s="1"/>
  <c r="E163" i="12"/>
  <c r="C1150" i="1" s="1"/>
  <c r="F163" i="12"/>
  <c r="D1150" i="1" s="1"/>
  <c r="E164" i="12"/>
  <c r="C1151" i="1" s="1"/>
  <c r="F164" i="12"/>
  <c r="D1151" i="1" s="1"/>
  <c r="E165" i="12"/>
  <c r="C1152" i="1" s="1"/>
  <c r="F165" i="12"/>
  <c r="D1152" i="1" s="1"/>
  <c r="E166" i="12"/>
  <c r="C1153" i="1" s="1"/>
  <c r="F166" i="12"/>
  <c r="D1153" i="1" s="1"/>
  <c r="E167" i="12"/>
  <c r="C1154" i="1" s="1"/>
  <c r="F167" i="12"/>
  <c r="D1154" i="1" s="1"/>
  <c r="E168" i="12"/>
  <c r="C1155" i="1" s="1"/>
  <c r="F168" i="12"/>
  <c r="D1155" i="1" s="1"/>
  <c r="E169" i="12"/>
  <c r="C1156" i="1" s="1"/>
  <c r="F169" i="12"/>
  <c r="D1156" i="1" s="1"/>
  <c r="E170" i="12"/>
  <c r="C1157" i="1" s="1"/>
  <c r="F170" i="12"/>
  <c r="D1157" i="1" s="1"/>
  <c r="E171" i="12"/>
  <c r="C1158" i="1" s="1"/>
  <c r="F171" i="12"/>
  <c r="D1158" i="1" s="1"/>
  <c r="E172" i="12"/>
  <c r="C1159" i="1" s="1"/>
  <c r="F172" i="12"/>
  <c r="D1159" i="1" s="1"/>
  <c r="E173" i="12"/>
  <c r="C1160" i="1" s="1"/>
  <c r="F173" i="12"/>
  <c r="D1160" i="1" s="1"/>
  <c r="E174" i="12"/>
  <c r="C1161" i="1" s="1"/>
  <c r="F174" i="12"/>
  <c r="D1161" i="1" s="1"/>
  <c r="E175" i="12"/>
  <c r="C1162" i="1" s="1"/>
  <c r="F175" i="12"/>
  <c r="D1162" i="1" s="1"/>
  <c r="E176" i="12"/>
  <c r="C1163" i="1" s="1"/>
  <c r="F176" i="12"/>
  <c r="D1163" i="1" s="1"/>
  <c r="E177" i="12"/>
  <c r="C1164" i="1" s="1"/>
  <c r="F177" i="12"/>
  <c r="D1164" i="1" s="1"/>
  <c r="E178" i="12"/>
  <c r="C1165" i="1" s="1"/>
  <c r="F178" i="12"/>
  <c r="D1165" i="1" s="1"/>
  <c r="E179" i="12"/>
  <c r="C1166" i="1" s="1"/>
  <c r="F179" i="12"/>
  <c r="D1166" i="1" s="1"/>
  <c r="E180" i="12"/>
  <c r="C1167" i="1" s="1"/>
  <c r="F180" i="12"/>
  <c r="D1167" i="1" s="1"/>
  <c r="E181" i="12"/>
  <c r="C1168" i="1" s="1"/>
  <c r="F181" i="12"/>
  <c r="D1168" i="1" s="1"/>
  <c r="E182" i="12"/>
  <c r="C1169" i="1" s="1"/>
  <c r="F182" i="12"/>
  <c r="D1169" i="1" s="1"/>
  <c r="E183" i="12"/>
  <c r="C1170" i="1" s="1"/>
  <c r="F183" i="12"/>
  <c r="D1170" i="1" s="1"/>
  <c r="E184" i="12"/>
  <c r="C1171" i="1" s="1"/>
  <c r="F184" i="12"/>
  <c r="D1171" i="1" s="1"/>
  <c r="E185" i="12"/>
  <c r="C1172" i="1" s="1"/>
  <c r="F185" i="12"/>
  <c r="D1172" i="1" s="1"/>
  <c r="E186" i="12"/>
  <c r="C1173" i="1" s="1"/>
  <c r="F186" i="12"/>
  <c r="D1173" i="1" s="1"/>
  <c r="E187" i="12"/>
  <c r="C1174" i="1" s="1"/>
  <c r="F187" i="12"/>
  <c r="D1174" i="1" s="1"/>
  <c r="E188" i="12"/>
  <c r="C1175" i="1" s="1"/>
  <c r="F188" i="12"/>
  <c r="D1175" i="1" s="1"/>
  <c r="E189" i="12"/>
  <c r="C1176" i="1" s="1"/>
  <c r="F189" i="12"/>
  <c r="D1176" i="1" s="1"/>
  <c r="E190" i="12"/>
  <c r="C1177" i="1" s="1"/>
  <c r="F190" i="12"/>
  <c r="D1177" i="1" s="1"/>
  <c r="E191" i="12"/>
  <c r="C1178" i="1" s="1"/>
  <c r="F191" i="12"/>
  <c r="D1178" i="1" s="1"/>
  <c r="E192" i="12"/>
  <c r="C1179" i="1" s="1"/>
  <c r="F192" i="12"/>
  <c r="D1179" i="1" s="1"/>
  <c r="E193" i="12"/>
  <c r="C1180" i="1" s="1"/>
  <c r="F193" i="12"/>
  <c r="D1180" i="1" s="1"/>
  <c r="E194" i="12"/>
  <c r="C1181" i="1" s="1"/>
  <c r="F194" i="12"/>
  <c r="D1181" i="1" s="1"/>
  <c r="E195" i="12"/>
  <c r="C1182" i="1" s="1"/>
  <c r="F195" i="12"/>
  <c r="D1182" i="1" s="1"/>
  <c r="E196" i="12"/>
  <c r="C1183" i="1" s="1"/>
  <c r="F196" i="12"/>
  <c r="D1183" i="1" s="1"/>
  <c r="E197" i="12"/>
  <c r="C1184" i="1" s="1"/>
  <c r="F197" i="12"/>
  <c r="D1184" i="1" s="1"/>
  <c r="E198" i="12"/>
  <c r="C1185" i="1" s="1"/>
  <c r="F198" i="12"/>
  <c r="D1185" i="1" s="1"/>
  <c r="E199" i="12"/>
  <c r="C1186" i="1" s="1"/>
  <c r="F199" i="12"/>
  <c r="D1186" i="1" s="1"/>
  <c r="E200" i="12"/>
  <c r="C1187" i="1" s="1"/>
  <c r="F200" i="12"/>
  <c r="D1187" i="1" s="1"/>
  <c r="E201" i="12"/>
  <c r="C1188" i="1" s="1"/>
  <c r="F201" i="12"/>
  <c r="D1188" i="1" s="1"/>
  <c r="E202" i="12"/>
  <c r="C1189" i="1" s="1"/>
  <c r="F202" i="12"/>
  <c r="D1189" i="1" s="1"/>
  <c r="E203" i="12"/>
  <c r="C1190" i="1" s="1"/>
  <c r="F203" i="12"/>
  <c r="D1190" i="1" s="1"/>
  <c r="E204" i="12"/>
  <c r="C1191" i="1" s="1"/>
  <c r="F204" i="12"/>
  <c r="D1191" i="1" s="1"/>
  <c r="E205" i="12"/>
  <c r="C1192" i="1" s="1"/>
  <c r="F205" i="12"/>
  <c r="D1192" i="1" s="1"/>
  <c r="E206" i="12"/>
  <c r="C1193" i="1" s="1"/>
  <c r="F206" i="12"/>
  <c r="D1193" i="1" s="1"/>
  <c r="E207" i="12"/>
  <c r="C1194" i="1" s="1"/>
  <c r="F207" i="12"/>
  <c r="D1194" i="1" s="1"/>
  <c r="E208" i="12"/>
  <c r="C1195" i="1" s="1"/>
  <c r="F208" i="12"/>
  <c r="D1195" i="1" s="1"/>
  <c r="E209" i="12"/>
  <c r="C1196" i="1" s="1"/>
  <c r="F209" i="12"/>
  <c r="D1196" i="1" s="1"/>
  <c r="E210" i="12"/>
  <c r="C1197" i="1" s="1"/>
  <c r="F210" i="12"/>
  <c r="D1197" i="1" s="1"/>
  <c r="E211" i="12"/>
  <c r="C1198" i="1" s="1"/>
  <c r="F211" i="12"/>
  <c r="D1198" i="1" s="1"/>
  <c r="E212" i="12"/>
  <c r="C1199" i="1" s="1"/>
  <c r="F212" i="12"/>
  <c r="D1199" i="1" s="1"/>
  <c r="E213" i="12"/>
  <c r="C1200" i="1" s="1"/>
  <c r="F213" i="12"/>
  <c r="D1200" i="1" s="1"/>
  <c r="E214" i="12"/>
  <c r="C1201" i="1" s="1"/>
  <c r="F214" i="12"/>
  <c r="D1201" i="1" s="1"/>
  <c r="E215" i="12"/>
  <c r="C1202" i="1" s="1"/>
  <c r="F215" i="12"/>
  <c r="D1202" i="1" s="1"/>
  <c r="G3" i="11"/>
  <c r="E843" i="1" s="1"/>
  <c r="G4" i="11"/>
  <c r="E844" i="1" s="1"/>
  <c r="G5" i="11"/>
  <c r="E845" i="1" s="1"/>
  <c r="G6" i="11"/>
  <c r="E846" i="1" s="1"/>
  <c r="G7" i="11"/>
  <c r="E847" i="1" s="1"/>
  <c r="G8" i="11"/>
  <c r="E848" i="1" s="1"/>
  <c r="G9" i="11"/>
  <c r="E849" i="1" s="1"/>
  <c r="G10" i="11"/>
  <c r="E850" i="1" s="1"/>
  <c r="G11" i="11"/>
  <c r="E851" i="1" s="1"/>
  <c r="G12" i="11"/>
  <c r="E852" i="1" s="1"/>
  <c r="G13" i="11"/>
  <c r="E853" i="1" s="1"/>
  <c r="G14" i="11"/>
  <c r="E854" i="1" s="1"/>
  <c r="G15" i="11"/>
  <c r="E855" i="1" s="1"/>
  <c r="G16" i="11"/>
  <c r="E856" i="1" s="1"/>
  <c r="G17" i="11"/>
  <c r="E857" i="1" s="1"/>
  <c r="G18" i="11"/>
  <c r="E858" i="1" s="1"/>
  <c r="G19" i="11"/>
  <c r="E859" i="1" s="1"/>
  <c r="G20" i="11"/>
  <c r="E860" i="1" s="1"/>
  <c r="G21" i="11"/>
  <c r="E861" i="1" s="1"/>
  <c r="G22" i="11"/>
  <c r="E862" i="1" s="1"/>
  <c r="G23" i="11"/>
  <c r="E863" i="1" s="1"/>
  <c r="G24" i="11"/>
  <c r="E864" i="1" s="1"/>
  <c r="G25" i="11"/>
  <c r="E865" i="1" s="1"/>
  <c r="G26" i="11"/>
  <c r="E866" i="1" s="1"/>
  <c r="G27" i="11"/>
  <c r="E867" i="1" s="1"/>
  <c r="G28" i="11"/>
  <c r="E868" i="1" s="1"/>
  <c r="G29" i="11"/>
  <c r="E869" i="1" s="1"/>
  <c r="G30" i="11"/>
  <c r="E870" i="1" s="1"/>
  <c r="G31" i="11"/>
  <c r="E871" i="1" s="1"/>
  <c r="G32" i="11"/>
  <c r="E872" i="1" s="1"/>
  <c r="G33" i="11"/>
  <c r="E873" i="1" s="1"/>
  <c r="G34" i="11"/>
  <c r="E874" i="1" s="1"/>
  <c r="G35" i="11"/>
  <c r="E875" i="1" s="1"/>
  <c r="G36" i="11"/>
  <c r="E876" i="1" s="1"/>
  <c r="G37" i="11"/>
  <c r="E877" i="1" s="1"/>
  <c r="G38" i="11"/>
  <c r="E878" i="1" s="1"/>
  <c r="G39" i="11"/>
  <c r="E879" i="1" s="1"/>
  <c r="G40" i="11"/>
  <c r="E880" i="1" s="1"/>
  <c r="G41" i="11"/>
  <c r="E881" i="1" s="1"/>
  <c r="G42" i="11"/>
  <c r="E882" i="1" s="1"/>
  <c r="G43" i="11"/>
  <c r="E883" i="1" s="1"/>
  <c r="G44" i="11"/>
  <c r="E884" i="1" s="1"/>
  <c r="G45" i="11"/>
  <c r="E885" i="1" s="1"/>
  <c r="G46" i="11"/>
  <c r="E886" i="1" s="1"/>
  <c r="G47" i="11"/>
  <c r="E887" i="1" s="1"/>
  <c r="G48" i="11"/>
  <c r="E888" i="1" s="1"/>
  <c r="G49" i="11"/>
  <c r="E889" i="1" s="1"/>
  <c r="G50" i="11"/>
  <c r="E890" i="1" s="1"/>
  <c r="G51" i="11"/>
  <c r="E891" i="1" s="1"/>
  <c r="G52" i="11"/>
  <c r="E892" i="1" s="1"/>
  <c r="G53" i="11"/>
  <c r="E893" i="1" s="1"/>
  <c r="G54" i="11"/>
  <c r="E894" i="1" s="1"/>
  <c r="G55" i="11"/>
  <c r="E895" i="1" s="1"/>
  <c r="G56" i="11"/>
  <c r="E896" i="1" s="1"/>
  <c r="G57" i="11"/>
  <c r="E897" i="1" s="1"/>
  <c r="G58" i="11"/>
  <c r="E898" i="1" s="1"/>
  <c r="G59" i="11"/>
  <c r="E899" i="1" s="1"/>
  <c r="G60" i="11"/>
  <c r="E900" i="1" s="1"/>
  <c r="G61" i="11"/>
  <c r="E901" i="1" s="1"/>
  <c r="G62" i="11"/>
  <c r="E902" i="1" s="1"/>
  <c r="G63" i="11"/>
  <c r="E903" i="1" s="1"/>
  <c r="G64" i="11"/>
  <c r="E904" i="1" s="1"/>
  <c r="G65" i="11"/>
  <c r="E905" i="1" s="1"/>
  <c r="G66" i="11"/>
  <c r="E906" i="1" s="1"/>
  <c r="G67" i="11"/>
  <c r="E907" i="1" s="1"/>
  <c r="G68" i="11"/>
  <c r="E908" i="1" s="1"/>
  <c r="G69" i="11"/>
  <c r="E909" i="1" s="1"/>
  <c r="G70" i="11"/>
  <c r="E910" i="1" s="1"/>
  <c r="G71" i="11"/>
  <c r="E911" i="1" s="1"/>
  <c r="G72" i="11"/>
  <c r="E912" i="1" s="1"/>
  <c r="G73" i="11"/>
  <c r="E913" i="1" s="1"/>
  <c r="G74" i="11"/>
  <c r="E914" i="1" s="1"/>
  <c r="G75" i="11"/>
  <c r="E915" i="1" s="1"/>
  <c r="G76" i="11"/>
  <c r="E916" i="1" s="1"/>
  <c r="G77" i="11"/>
  <c r="E917" i="1" s="1"/>
  <c r="G78" i="11"/>
  <c r="E918" i="1" s="1"/>
  <c r="G79" i="11"/>
  <c r="E919" i="1" s="1"/>
  <c r="G80" i="11"/>
  <c r="E920" i="1" s="1"/>
  <c r="G81" i="11"/>
  <c r="E921" i="1" s="1"/>
  <c r="G82" i="11"/>
  <c r="E922" i="1" s="1"/>
  <c r="G83" i="11"/>
  <c r="E923" i="1" s="1"/>
  <c r="G84" i="11"/>
  <c r="E924" i="1" s="1"/>
  <c r="G85" i="11"/>
  <c r="E925" i="1" s="1"/>
  <c r="G86" i="11"/>
  <c r="E926" i="1" s="1"/>
  <c r="G87" i="11"/>
  <c r="E927" i="1" s="1"/>
  <c r="G88" i="11"/>
  <c r="E928" i="1" s="1"/>
  <c r="G89" i="11"/>
  <c r="E929" i="1" s="1"/>
  <c r="G90" i="11"/>
  <c r="E930" i="1" s="1"/>
  <c r="G91" i="11"/>
  <c r="E931" i="1" s="1"/>
  <c r="G92" i="11"/>
  <c r="E932" i="1" s="1"/>
  <c r="G93" i="11"/>
  <c r="E933" i="1" s="1"/>
  <c r="G94" i="11"/>
  <c r="E934" i="1" s="1"/>
  <c r="G95" i="11"/>
  <c r="E935" i="1" s="1"/>
  <c r="G96" i="11"/>
  <c r="E936" i="1" s="1"/>
  <c r="G97" i="11"/>
  <c r="E937" i="1" s="1"/>
  <c r="G98" i="11"/>
  <c r="E938" i="1" s="1"/>
  <c r="G99" i="11"/>
  <c r="E939" i="1" s="1"/>
  <c r="G100" i="11"/>
  <c r="E940" i="1" s="1"/>
  <c r="G101" i="11"/>
  <c r="E941" i="1" s="1"/>
  <c r="G102" i="11"/>
  <c r="E942" i="1" s="1"/>
  <c r="G103" i="11"/>
  <c r="E943" i="1" s="1"/>
  <c r="G104" i="11"/>
  <c r="E944" i="1" s="1"/>
  <c r="G105" i="11"/>
  <c r="E945" i="1" s="1"/>
  <c r="G106" i="11"/>
  <c r="E946" i="1" s="1"/>
  <c r="G107" i="11"/>
  <c r="E947" i="1" s="1"/>
  <c r="G108" i="11"/>
  <c r="E948" i="1" s="1"/>
  <c r="G109" i="11"/>
  <c r="E949" i="1" s="1"/>
  <c r="G110" i="11"/>
  <c r="E950" i="1" s="1"/>
  <c r="G111" i="11"/>
  <c r="E951" i="1" s="1"/>
  <c r="G112" i="11"/>
  <c r="E952" i="1" s="1"/>
  <c r="G113" i="11"/>
  <c r="E953" i="1" s="1"/>
  <c r="G114" i="11"/>
  <c r="E954" i="1" s="1"/>
  <c r="G115" i="11"/>
  <c r="E955" i="1" s="1"/>
  <c r="G116" i="11"/>
  <c r="E956" i="1" s="1"/>
  <c r="G117" i="11"/>
  <c r="E957" i="1" s="1"/>
  <c r="G118" i="11"/>
  <c r="E958" i="1" s="1"/>
  <c r="G119" i="11"/>
  <c r="E959" i="1" s="1"/>
  <c r="G120" i="11"/>
  <c r="E960" i="1" s="1"/>
  <c r="G121" i="11"/>
  <c r="E961" i="1" s="1"/>
  <c r="G122" i="11"/>
  <c r="E962" i="1" s="1"/>
  <c r="G123" i="11"/>
  <c r="E963" i="1" s="1"/>
  <c r="G124" i="11"/>
  <c r="E964" i="1" s="1"/>
  <c r="G125" i="11"/>
  <c r="E965" i="1" s="1"/>
  <c r="G126" i="11"/>
  <c r="E966" i="1" s="1"/>
  <c r="G127" i="11"/>
  <c r="E967" i="1" s="1"/>
  <c r="G128" i="11"/>
  <c r="E968" i="1" s="1"/>
  <c r="G129" i="11"/>
  <c r="E969" i="1" s="1"/>
  <c r="G130" i="11"/>
  <c r="E970" i="1" s="1"/>
  <c r="G131" i="11"/>
  <c r="E971" i="1" s="1"/>
  <c r="G132" i="11"/>
  <c r="E972" i="1" s="1"/>
  <c r="G133" i="11"/>
  <c r="E973" i="1" s="1"/>
  <c r="G134" i="11"/>
  <c r="E974" i="1" s="1"/>
  <c r="G135" i="11"/>
  <c r="E975" i="1" s="1"/>
  <c r="G136" i="11"/>
  <c r="E976" i="1" s="1"/>
  <c r="G137" i="11"/>
  <c r="E977" i="1" s="1"/>
  <c r="G138" i="11"/>
  <c r="E978" i="1" s="1"/>
  <c r="G139" i="11"/>
  <c r="E979" i="1" s="1"/>
  <c r="G140" i="11"/>
  <c r="E980" i="1" s="1"/>
  <c r="G141" i="11"/>
  <c r="E981" i="1" s="1"/>
  <c r="G142" i="11"/>
  <c r="E982" i="1" s="1"/>
  <c r="G143" i="11"/>
  <c r="E983" i="1" s="1"/>
  <c r="G144" i="11"/>
  <c r="E984" i="1" s="1"/>
  <c r="G145" i="11"/>
  <c r="E985" i="1" s="1"/>
  <c r="G146" i="11"/>
  <c r="E986" i="1" s="1"/>
  <c r="G147" i="11"/>
  <c r="E987" i="1" s="1"/>
  <c r="G148" i="11"/>
  <c r="E988" i="1" s="1"/>
  <c r="G2" i="11"/>
  <c r="E842" i="1" s="1"/>
  <c r="F3" i="11"/>
  <c r="D843" i="1" s="1"/>
  <c r="F4" i="11"/>
  <c r="D844" i="1" s="1"/>
  <c r="F5" i="11"/>
  <c r="D845" i="1" s="1"/>
  <c r="F6" i="11"/>
  <c r="D846" i="1" s="1"/>
  <c r="F7" i="11"/>
  <c r="D847" i="1" s="1"/>
  <c r="F8" i="11"/>
  <c r="D848" i="1" s="1"/>
  <c r="F9" i="11"/>
  <c r="D849" i="1" s="1"/>
  <c r="F10" i="11"/>
  <c r="D850" i="1" s="1"/>
  <c r="F11" i="11"/>
  <c r="D851" i="1" s="1"/>
  <c r="F12" i="11"/>
  <c r="D852" i="1" s="1"/>
  <c r="F13" i="11"/>
  <c r="D853" i="1" s="1"/>
  <c r="F14" i="11"/>
  <c r="D854" i="1" s="1"/>
  <c r="F15" i="11"/>
  <c r="D855" i="1" s="1"/>
  <c r="F16" i="11"/>
  <c r="D856" i="1" s="1"/>
  <c r="F17" i="11"/>
  <c r="D857" i="1" s="1"/>
  <c r="F18" i="11"/>
  <c r="D858" i="1" s="1"/>
  <c r="F19" i="11"/>
  <c r="D859" i="1" s="1"/>
  <c r="F20" i="11"/>
  <c r="D860" i="1" s="1"/>
  <c r="F21" i="11"/>
  <c r="D861" i="1" s="1"/>
  <c r="F22" i="11"/>
  <c r="D862" i="1" s="1"/>
  <c r="F23" i="11"/>
  <c r="D863" i="1" s="1"/>
  <c r="F24" i="11"/>
  <c r="D864" i="1" s="1"/>
  <c r="F25" i="11"/>
  <c r="D865" i="1" s="1"/>
  <c r="F26" i="11"/>
  <c r="D866" i="1" s="1"/>
  <c r="F27" i="11"/>
  <c r="D867" i="1" s="1"/>
  <c r="F28" i="11"/>
  <c r="D868" i="1" s="1"/>
  <c r="F29" i="11"/>
  <c r="D869" i="1" s="1"/>
  <c r="F30" i="11"/>
  <c r="D870" i="1" s="1"/>
  <c r="F31" i="11"/>
  <c r="D871" i="1" s="1"/>
  <c r="F32" i="11"/>
  <c r="D872" i="1" s="1"/>
  <c r="F33" i="11"/>
  <c r="D873" i="1" s="1"/>
  <c r="F34" i="11"/>
  <c r="D874" i="1" s="1"/>
  <c r="F35" i="11"/>
  <c r="D875" i="1" s="1"/>
  <c r="F36" i="11"/>
  <c r="D876" i="1" s="1"/>
  <c r="F37" i="11"/>
  <c r="D877" i="1" s="1"/>
  <c r="F38" i="11"/>
  <c r="D878" i="1" s="1"/>
  <c r="F39" i="11"/>
  <c r="D879" i="1" s="1"/>
  <c r="F40" i="11"/>
  <c r="D880" i="1" s="1"/>
  <c r="F41" i="11"/>
  <c r="D881" i="1" s="1"/>
  <c r="F42" i="11"/>
  <c r="D882" i="1" s="1"/>
  <c r="F43" i="11"/>
  <c r="D883" i="1" s="1"/>
  <c r="F44" i="11"/>
  <c r="D884" i="1" s="1"/>
  <c r="F45" i="11"/>
  <c r="D885" i="1" s="1"/>
  <c r="F46" i="11"/>
  <c r="D886" i="1" s="1"/>
  <c r="F47" i="11"/>
  <c r="D887" i="1" s="1"/>
  <c r="F48" i="11"/>
  <c r="D888" i="1" s="1"/>
  <c r="F49" i="11"/>
  <c r="D889" i="1" s="1"/>
  <c r="F50" i="11"/>
  <c r="D890" i="1" s="1"/>
  <c r="F51" i="11"/>
  <c r="D891" i="1" s="1"/>
  <c r="F52" i="11"/>
  <c r="D892" i="1" s="1"/>
  <c r="F53" i="11"/>
  <c r="D893" i="1" s="1"/>
  <c r="F54" i="11"/>
  <c r="D894" i="1" s="1"/>
  <c r="F55" i="11"/>
  <c r="D895" i="1" s="1"/>
  <c r="F56" i="11"/>
  <c r="D896" i="1" s="1"/>
  <c r="F57" i="11"/>
  <c r="D897" i="1" s="1"/>
  <c r="F58" i="11"/>
  <c r="D898" i="1" s="1"/>
  <c r="F59" i="11"/>
  <c r="D899" i="1" s="1"/>
  <c r="F60" i="11"/>
  <c r="D900" i="1" s="1"/>
  <c r="F61" i="11"/>
  <c r="D901" i="1" s="1"/>
  <c r="F62" i="11"/>
  <c r="D902" i="1" s="1"/>
  <c r="F63" i="11"/>
  <c r="D903" i="1" s="1"/>
  <c r="F64" i="11"/>
  <c r="D904" i="1" s="1"/>
  <c r="F65" i="11"/>
  <c r="D905" i="1" s="1"/>
  <c r="F66" i="11"/>
  <c r="D906" i="1" s="1"/>
  <c r="F67" i="11"/>
  <c r="D907" i="1" s="1"/>
  <c r="F68" i="11"/>
  <c r="D908" i="1" s="1"/>
  <c r="F69" i="11"/>
  <c r="D909" i="1" s="1"/>
  <c r="F70" i="11"/>
  <c r="D910" i="1" s="1"/>
  <c r="F71" i="11"/>
  <c r="D911" i="1" s="1"/>
  <c r="F72" i="11"/>
  <c r="D912" i="1" s="1"/>
  <c r="F73" i="11"/>
  <c r="D913" i="1" s="1"/>
  <c r="F74" i="11"/>
  <c r="D914" i="1" s="1"/>
  <c r="F75" i="11"/>
  <c r="D915" i="1" s="1"/>
  <c r="F76" i="11"/>
  <c r="D916" i="1" s="1"/>
  <c r="F77" i="11"/>
  <c r="D917" i="1" s="1"/>
  <c r="F78" i="11"/>
  <c r="D918" i="1" s="1"/>
  <c r="F79" i="11"/>
  <c r="D919" i="1" s="1"/>
  <c r="F80" i="11"/>
  <c r="D920" i="1" s="1"/>
  <c r="F81" i="11"/>
  <c r="D921" i="1" s="1"/>
  <c r="F82" i="11"/>
  <c r="D922" i="1" s="1"/>
  <c r="F83" i="11"/>
  <c r="D923" i="1" s="1"/>
  <c r="F84" i="11"/>
  <c r="D924" i="1" s="1"/>
  <c r="F85" i="11"/>
  <c r="D925" i="1" s="1"/>
  <c r="F86" i="11"/>
  <c r="D926" i="1" s="1"/>
  <c r="F87" i="11"/>
  <c r="D927" i="1" s="1"/>
  <c r="F88" i="11"/>
  <c r="D928" i="1" s="1"/>
  <c r="F89" i="11"/>
  <c r="D929" i="1" s="1"/>
  <c r="F90" i="11"/>
  <c r="D930" i="1" s="1"/>
  <c r="F91" i="11"/>
  <c r="D931" i="1" s="1"/>
  <c r="F92" i="11"/>
  <c r="D932" i="1" s="1"/>
  <c r="F93" i="11"/>
  <c r="D933" i="1" s="1"/>
  <c r="F94" i="11"/>
  <c r="D934" i="1" s="1"/>
  <c r="F95" i="11"/>
  <c r="D935" i="1" s="1"/>
  <c r="F96" i="11"/>
  <c r="D936" i="1" s="1"/>
  <c r="F97" i="11"/>
  <c r="D937" i="1" s="1"/>
  <c r="F98" i="11"/>
  <c r="D938" i="1" s="1"/>
  <c r="F99" i="11"/>
  <c r="D939" i="1" s="1"/>
  <c r="F100" i="11"/>
  <c r="D940" i="1" s="1"/>
  <c r="F101" i="11"/>
  <c r="D941" i="1" s="1"/>
  <c r="F102" i="11"/>
  <c r="D942" i="1" s="1"/>
  <c r="F103" i="11"/>
  <c r="D943" i="1" s="1"/>
  <c r="F104" i="11"/>
  <c r="D944" i="1" s="1"/>
  <c r="F105" i="11"/>
  <c r="D945" i="1" s="1"/>
  <c r="F106" i="11"/>
  <c r="D946" i="1" s="1"/>
  <c r="F107" i="11"/>
  <c r="D947" i="1" s="1"/>
  <c r="F108" i="11"/>
  <c r="D948" i="1" s="1"/>
  <c r="F109" i="11"/>
  <c r="D949" i="1" s="1"/>
  <c r="F110" i="11"/>
  <c r="D950" i="1" s="1"/>
  <c r="F111" i="11"/>
  <c r="D951" i="1" s="1"/>
  <c r="F112" i="11"/>
  <c r="D952" i="1" s="1"/>
  <c r="F113" i="11"/>
  <c r="D953" i="1" s="1"/>
  <c r="F114" i="11"/>
  <c r="D954" i="1" s="1"/>
  <c r="F115" i="11"/>
  <c r="D955" i="1" s="1"/>
  <c r="F116" i="11"/>
  <c r="D956" i="1" s="1"/>
  <c r="F117" i="11"/>
  <c r="D957" i="1" s="1"/>
  <c r="F118" i="11"/>
  <c r="D958" i="1" s="1"/>
  <c r="F119" i="11"/>
  <c r="D959" i="1" s="1"/>
  <c r="F120" i="11"/>
  <c r="D960" i="1" s="1"/>
  <c r="F121" i="11"/>
  <c r="D961" i="1" s="1"/>
  <c r="F122" i="11"/>
  <c r="D962" i="1" s="1"/>
  <c r="F123" i="11"/>
  <c r="D963" i="1" s="1"/>
  <c r="F124" i="11"/>
  <c r="D964" i="1" s="1"/>
  <c r="F125" i="11"/>
  <c r="D965" i="1" s="1"/>
  <c r="F126" i="11"/>
  <c r="D966" i="1" s="1"/>
  <c r="F127" i="11"/>
  <c r="D967" i="1" s="1"/>
  <c r="F128" i="11"/>
  <c r="D968" i="1" s="1"/>
  <c r="F129" i="11"/>
  <c r="D969" i="1" s="1"/>
  <c r="F130" i="11"/>
  <c r="D970" i="1" s="1"/>
  <c r="F131" i="11"/>
  <c r="D971" i="1" s="1"/>
  <c r="F132" i="11"/>
  <c r="D972" i="1" s="1"/>
  <c r="F133" i="11"/>
  <c r="D973" i="1" s="1"/>
  <c r="F134" i="11"/>
  <c r="D974" i="1" s="1"/>
  <c r="F135" i="11"/>
  <c r="D975" i="1" s="1"/>
  <c r="F136" i="11"/>
  <c r="D976" i="1" s="1"/>
  <c r="F137" i="11"/>
  <c r="D977" i="1" s="1"/>
  <c r="F138" i="11"/>
  <c r="D978" i="1" s="1"/>
  <c r="F139" i="11"/>
  <c r="D979" i="1" s="1"/>
  <c r="F140" i="11"/>
  <c r="D980" i="1" s="1"/>
  <c r="F141" i="11"/>
  <c r="D981" i="1" s="1"/>
  <c r="F142" i="11"/>
  <c r="D982" i="1" s="1"/>
  <c r="F143" i="11"/>
  <c r="D983" i="1" s="1"/>
  <c r="F144" i="11"/>
  <c r="D984" i="1" s="1"/>
  <c r="F145" i="11"/>
  <c r="D985" i="1" s="1"/>
  <c r="F146" i="11"/>
  <c r="D986" i="1" s="1"/>
  <c r="F147" i="11"/>
  <c r="D987" i="1" s="1"/>
  <c r="F148" i="11"/>
  <c r="D988" i="1" s="1"/>
  <c r="F2" i="11"/>
  <c r="D842" i="1" s="1"/>
  <c r="C843" i="1"/>
  <c r="C844" i="1"/>
  <c r="C845" i="1"/>
  <c r="C846" i="1"/>
  <c r="C847" i="1"/>
  <c r="C848" i="1"/>
  <c r="C851" i="1"/>
  <c r="C852" i="1"/>
  <c r="C853" i="1"/>
  <c r="C854" i="1"/>
  <c r="C855" i="1"/>
  <c r="C856" i="1"/>
  <c r="C859" i="1"/>
  <c r="C860" i="1"/>
  <c r="C861" i="1"/>
  <c r="C862" i="1"/>
  <c r="C863" i="1"/>
  <c r="C864" i="1"/>
  <c r="C867" i="1"/>
  <c r="C868" i="1"/>
  <c r="C869" i="1"/>
  <c r="C870" i="1"/>
  <c r="C871" i="1"/>
  <c r="C872" i="1"/>
  <c r="C875" i="1"/>
  <c r="C876" i="1"/>
  <c r="C877" i="1"/>
  <c r="C878" i="1"/>
  <c r="C879" i="1"/>
  <c r="C880" i="1"/>
  <c r="C883" i="1"/>
  <c r="C884" i="1"/>
  <c r="C885" i="1"/>
  <c r="C886" i="1"/>
  <c r="C887" i="1"/>
  <c r="C888" i="1"/>
  <c r="C891" i="1"/>
  <c r="C892" i="1"/>
  <c r="C893" i="1"/>
  <c r="C894" i="1"/>
  <c r="C895" i="1"/>
  <c r="C896" i="1"/>
  <c r="C899" i="1"/>
  <c r="C900" i="1"/>
  <c r="C901" i="1"/>
  <c r="C902" i="1"/>
  <c r="C903" i="1"/>
  <c r="C904" i="1"/>
  <c r="C907" i="1"/>
  <c r="C908" i="1"/>
  <c r="C909" i="1"/>
  <c r="C910" i="1"/>
  <c r="C911" i="1"/>
  <c r="C912" i="1"/>
  <c r="C915" i="1"/>
  <c r="C916" i="1"/>
  <c r="C917" i="1"/>
  <c r="C918" i="1"/>
  <c r="C919" i="1"/>
  <c r="C920" i="1"/>
  <c r="C923" i="1"/>
  <c r="C924" i="1"/>
  <c r="C925" i="1"/>
  <c r="C926" i="1"/>
  <c r="C927" i="1"/>
  <c r="C928" i="1"/>
  <c r="C931" i="1"/>
  <c r="C932" i="1"/>
  <c r="C933" i="1"/>
  <c r="C934" i="1"/>
  <c r="C935" i="1"/>
  <c r="C936" i="1"/>
  <c r="C939" i="1"/>
  <c r="C940" i="1"/>
  <c r="C941" i="1"/>
  <c r="C942" i="1"/>
  <c r="C943" i="1"/>
  <c r="C944" i="1"/>
  <c r="C947" i="1"/>
  <c r="C948" i="1"/>
  <c r="C949" i="1"/>
  <c r="C950" i="1"/>
  <c r="C951" i="1"/>
  <c r="C952" i="1"/>
  <c r="C955" i="1"/>
  <c r="C956" i="1"/>
  <c r="C957" i="1"/>
  <c r="C958" i="1"/>
  <c r="C959" i="1"/>
  <c r="C960" i="1"/>
  <c r="C963" i="1"/>
  <c r="C964" i="1"/>
  <c r="C965" i="1"/>
  <c r="C966" i="1"/>
  <c r="C967" i="1"/>
  <c r="C968" i="1"/>
  <c r="C971" i="1"/>
  <c r="C972" i="1"/>
  <c r="C973" i="1"/>
  <c r="C974" i="1"/>
  <c r="C975" i="1"/>
  <c r="C976" i="1"/>
  <c r="C979" i="1"/>
  <c r="C980" i="1"/>
  <c r="C981" i="1"/>
  <c r="C982" i="1"/>
  <c r="C983" i="1"/>
  <c r="C984" i="1"/>
  <c r="C987" i="1"/>
  <c r="C988" i="1"/>
  <c r="C842" i="1"/>
  <c r="C640" i="1"/>
  <c r="D640" i="1"/>
  <c r="E640" i="1"/>
  <c r="C641" i="1"/>
  <c r="D641" i="1"/>
  <c r="E641" i="1"/>
  <c r="C642" i="1"/>
  <c r="D642" i="1"/>
  <c r="E642" i="1"/>
  <c r="C643" i="1"/>
  <c r="D643" i="1"/>
  <c r="E643" i="1"/>
  <c r="C644" i="1"/>
  <c r="D644" i="1"/>
  <c r="E644" i="1"/>
  <c r="C645" i="1"/>
  <c r="D645" i="1"/>
  <c r="E645" i="1"/>
  <c r="C646" i="1"/>
  <c r="D646" i="1"/>
  <c r="E646" i="1"/>
  <c r="C647" i="1"/>
  <c r="D647" i="1"/>
  <c r="E647" i="1"/>
  <c r="C648" i="1"/>
  <c r="D648" i="1"/>
  <c r="E648" i="1"/>
  <c r="C649" i="1"/>
  <c r="D649" i="1"/>
  <c r="E649" i="1"/>
  <c r="C650" i="1"/>
  <c r="D650" i="1"/>
  <c r="E650" i="1"/>
  <c r="C651" i="1"/>
  <c r="D651" i="1"/>
  <c r="E651" i="1"/>
  <c r="C652" i="1"/>
  <c r="D652" i="1"/>
  <c r="E652" i="1"/>
  <c r="C653" i="1"/>
  <c r="D653" i="1"/>
  <c r="E653" i="1"/>
  <c r="C654" i="1"/>
  <c r="D654" i="1"/>
  <c r="E654" i="1"/>
  <c r="C655" i="1"/>
  <c r="D655" i="1"/>
  <c r="E655" i="1"/>
  <c r="C656" i="1"/>
  <c r="D656" i="1"/>
  <c r="E656" i="1"/>
  <c r="C657" i="1"/>
  <c r="D657" i="1"/>
  <c r="E657" i="1"/>
  <c r="C658" i="1"/>
  <c r="D658" i="1"/>
  <c r="E658" i="1"/>
  <c r="C659" i="1"/>
  <c r="D659" i="1"/>
  <c r="E659" i="1"/>
  <c r="C660" i="1"/>
  <c r="D660" i="1"/>
  <c r="E660" i="1"/>
  <c r="C661" i="1"/>
  <c r="D661" i="1"/>
  <c r="E661" i="1"/>
  <c r="C662" i="1"/>
  <c r="D662" i="1"/>
  <c r="E662" i="1"/>
  <c r="C663" i="1"/>
  <c r="D663" i="1"/>
  <c r="E663" i="1"/>
  <c r="C664" i="1"/>
  <c r="D664" i="1"/>
  <c r="E664" i="1"/>
  <c r="C665" i="1"/>
  <c r="D665" i="1"/>
  <c r="E665" i="1"/>
  <c r="C666" i="1"/>
  <c r="D666" i="1"/>
  <c r="E666" i="1"/>
  <c r="C667" i="1"/>
  <c r="D667" i="1"/>
  <c r="E667" i="1"/>
  <c r="C668" i="1"/>
  <c r="D668" i="1"/>
  <c r="E668" i="1"/>
  <c r="C669" i="1"/>
  <c r="D669" i="1"/>
  <c r="E669" i="1"/>
  <c r="C670" i="1"/>
  <c r="D670" i="1"/>
  <c r="E670" i="1"/>
  <c r="C671" i="1"/>
  <c r="D671" i="1"/>
  <c r="E671" i="1"/>
  <c r="C672" i="1"/>
  <c r="D672" i="1"/>
  <c r="E672" i="1"/>
  <c r="C673" i="1"/>
  <c r="D673" i="1"/>
  <c r="E673" i="1"/>
  <c r="C674" i="1"/>
  <c r="D674" i="1"/>
  <c r="E674" i="1"/>
  <c r="C675" i="1"/>
  <c r="D675" i="1"/>
  <c r="E675" i="1"/>
  <c r="C676" i="1"/>
  <c r="D676" i="1"/>
  <c r="E676" i="1"/>
  <c r="C677" i="1"/>
  <c r="D677" i="1"/>
  <c r="E677" i="1"/>
  <c r="C678" i="1"/>
  <c r="D678" i="1"/>
  <c r="E678" i="1"/>
  <c r="C679" i="1"/>
  <c r="D679" i="1"/>
  <c r="E679" i="1"/>
  <c r="C680" i="1"/>
  <c r="D680" i="1"/>
  <c r="E680" i="1"/>
  <c r="C681" i="1"/>
  <c r="D681" i="1"/>
  <c r="E681" i="1"/>
  <c r="C682" i="1"/>
  <c r="D682" i="1"/>
  <c r="E682" i="1"/>
  <c r="C683" i="1"/>
  <c r="D683" i="1"/>
  <c r="E683" i="1"/>
  <c r="C684" i="1"/>
  <c r="D684" i="1"/>
  <c r="E684" i="1"/>
  <c r="C685" i="1"/>
  <c r="D685" i="1"/>
  <c r="E685" i="1"/>
  <c r="C686" i="1"/>
  <c r="D686" i="1"/>
  <c r="E686" i="1"/>
  <c r="C687" i="1"/>
  <c r="D687" i="1"/>
  <c r="E687" i="1"/>
  <c r="C688" i="1"/>
  <c r="D688" i="1"/>
  <c r="E688" i="1"/>
  <c r="C689" i="1"/>
  <c r="D689" i="1"/>
  <c r="E689" i="1"/>
  <c r="C690" i="1"/>
  <c r="D690" i="1"/>
  <c r="E690" i="1"/>
  <c r="C691" i="1"/>
  <c r="D691" i="1"/>
  <c r="E691" i="1"/>
  <c r="C692" i="1"/>
  <c r="D692" i="1"/>
  <c r="E692" i="1"/>
  <c r="C693" i="1"/>
  <c r="D693" i="1"/>
  <c r="E693" i="1"/>
  <c r="C694" i="1"/>
  <c r="D694" i="1"/>
  <c r="E694" i="1"/>
  <c r="C695" i="1"/>
  <c r="D695" i="1"/>
  <c r="E695" i="1"/>
  <c r="C696" i="1"/>
  <c r="D696" i="1"/>
  <c r="E696" i="1"/>
  <c r="C697" i="1"/>
  <c r="D697" i="1"/>
  <c r="E697" i="1"/>
  <c r="C698" i="1"/>
  <c r="D698" i="1"/>
  <c r="E698" i="1"/>
  <c r="C699" i="1"/>
  <c r="D699" i="1"/>
  <c r="E699" i="1"/>
  <c r="C700" i="1"/>
  <c r="D700" i="1"/>
  <c r="E700" i="1"/>
  <c r="C701" i="1"/>
  <c r="D701" i="1"/>
  <c r="E701" i="1"/>
  <c r="C702" i="1"/>
  <c r="D702" i="1"/>
  <c r="E702" i="1"/>
  <c r="C703" i="1"/>
  <c r="D703" i="1"/>
  <c r="E703" i="1"/>
  <c r="C704" i="1"/>
  <c r="D704" i="1"/>
  <c r="E704" i="1"/>
  <c r="C705" i="1"/>
  <c r="D705" i="1"/>
  <c r="E705" i="1"/>
  <c r="C706" i="1"/>
  <c r="D706" i="1"/>
  <c r="E706" i="1"/>
  <c r="C707" i="1"/>
  <c r="D707" i="1"/>
  <c r="E707" i="1"/>
  <c r="C708" i="1"/>
  <c r="D708" i="1"/>
  <c r="E708" i="1"/>
  <c r="C709" i="1"/>
  <c r="D709" i="1"/>
  <c r="E709" i="1"/>
  <c r="C710" i="1"/>
  <c r="D710" i="1"/>
  <c r="E710" i="1"/>
  <c r="C711" i="1"/>
  <c r="D711" i="1"/>
  <c r="E711" i="1"/>
  <c r="C712" i="1"/>
  <c r="D712" i="1"/>
  <c r="E712" i="1"/>
  <c r="C713" i="1"/>
  <c r="D713" i="1"/>
  <c r="E713" i="1"/>
  <c r="C714" i="1"/>
  <c r="D714" i="1"/>
  <c r="E714" i="1"/>
  <c r="C715" i="1"/>
  <c r="D715" i="1"/>
  <c r="E715" i="1"/>
  <c r="C716" i="1"/>
  <c r="D716" i="1"/>
  <c r="E716" i="1"/>
  <c r="C717" i="1"/>
  <c r="D717" i="1"/>
  <c r="E717" i="1"/>
  <c r="C718" i="1"/>
  <c r="D718" i="1"/>
  <c r="E718" i="1"/>
  <c r="C719" i="1"/>
  <c r="D719" i="1"/>
  <c r="E719" i="1"/>
  <c r="C720" i="1"/>
  <c r="D720" i="1"/>
  <c r="E720" i="1"/>
  <c r="C721" i="1"/>
  <c r="D721" i="1"/>
  <c r="E721" i="1"/>
  <c r="C722" i="1"/>
  <c r="D722" i="1"/>
  <c r="E722" i="1"/>
  <c r="C723" i="1"/>
  <c r="D723" i="1"/>
  <c r="E723" i="1"/>
  <c r="C724" i="1"/>
  <c r="D724" i="1"/>
  <c r="E724" i="1"/>
  <c r="C725" i="1"/>
  <c r="D725" i="1"/>
  <c r="E725" i="1"/>
  <c r="C726" i="1"/>
  <c r="D726" i="1"/>
  <c r="E726" i="1"/>
  <c r="C727" i="1"/>
  <c r="D727" i="1"/>
  <c r="E727" i="1"/>
  <c r="C728" i="1"/>
  <c r="D728" i="1"/>
  <c r="E728" i="1"/>
  <c r="C729" i="1"/>
  <c r="D729" i="1"/>
  <c r="E729" i="1"/>
  <c r="C730" i="1"/>
  <c r="D730" i="1"/>
  <c r="E730" i="1"/>
  <c r="C731" i="1"/>
  <c r="D731" i="1"/>
  <c r="E731" i="1"/>
  <c r="C732" i="1"/>
  <c r="D732" i="1"/>
  <c r="E732" i="1"/>
  <c r="C733" i="1"/>
  <c r="D733" i="1"/>
  <c r="E733" i="1"/>
  <c r="C734" i="1"/>
  <c r="D734" i="1"/>
  <c r="E734" i="1"/>
  <c r="C735" i="1"/>
  <c r="D735" i="1"/>
  <c r="E735" i="1"/>
  <c r="C736" i="1"/>
  <c r="D736" i="1"/>
  <c r="E736" i="1"/>
  <c r="C737" i="1"/>
  <c r="D737" i="1"/>
  <c r="E737" i="1"/>
  <c r="C738" i="1"/>
  <c r="D738" i="1"/>
  <c r="E738" i="1"/>
  <c r="C739" i="1"/>
  <c r="D739" i="1"/>
  <c r="E739" i="1"/>
  <c r="C740" i="1"/>
  <c r="D740" i="1"/>
  <c r="E740" i="1"/>
  <c r="C741" i="1"/>
  <c r="D741" i="1"/>
  <c r="E741" i="1"/>
  <c r="C742" i="1"/>
  <c r="D742" i="1"/>
  <c r="E742" i="1"/>
  <c r="C743" i="1"/>
  <c r="D743" i="1"/>
  <c r="E743" i="1"/>
  <c r="C744" i="1"/>
  <c r="D744" i="1"/>
  <c r="E744" i="1"/>
  <c r="C745" i="1"/>
  <c r="D745" i="1"/>
  <c r="E745" i="1"/>
  <c r="C746" i="1"/>
  <c r="D746" i="1"/>
  <c r="E746" i="1"/>
  <c r="C747" i="1"/>
  <c r="D747" i="1"/>
  <c r="E747" i="1"/>
  <c r="C748" i="1"/>
  <c r="D748" i="1"/>
  <c r="E748" i="1"/>
  <c r="C749" i="1"/>
  <c r="D749" i="1"/>
  <c r="E749" i="1"/>
  <c r="C750" i="1"/>
  <c r="D750" i="1"/>
  <c r="E750" i="1"/>
  <c r="C751" i="1"/>
  <c r="D751" i="1"/>
  <c r="E751" i="1"/>
  <c r="C752" i="1"/>
  <c r="D752" i="1"/>
  <c r="E752" i="1"/>
  <c r="C753" i="1"/>
  <c r="D753" i="1"/>
  <c r="E753" i="1"/>
  <c r="C754" i="1"/>
  <c r="D754" i="1"/>
  <c r="E754" i="1"/>
  <c r="C755" i="1"/>
  <c r="D755" i="1"/>
  <c r="E755" i="1"/>
  <c r="C756" i="1"/>
  <c r="D756" i="1"/>
  <c r="E756" i="1"/>
  <c r="C757" i="1"/>
  <c r="D757" i="1"/>
  <c r="E757" i="1"/>
  <c r="C758" i="1"/>
  <c r="D758" i="1"/>
  <c r="E758" i="1"/>
  <c r="C759" i="1"/>
  <c r="D759" i="1"/>
  <c r="E759" i="1"/>
  <c r="C760" i="1"/>
  <c r="D760" i="1"/>
  <c r="E760" i="1"/>
  <c r="C761" i="1"/>
  <c r="D761" i="1"/>
  <c r="E761" i="1"/>
  <c r="C762" i="1"/>
  <c r="D762" i="1"/>
  <c r="E762" i="1"/>
  <c r="C763" i="1"/>
  <c r="D763" i="1"/>
  <c r="E763" i="1"/>
  <c r="C764" i="1"/>
  <c r="D764" i="1"/>
  <c r="E764" i="1"/>
  <c r="C765" i="1"/>
  <c r="D765" i="1"/>
  <c r="E765" i="1"/>
  <c r="C766" i="1"/>
  <c r="D766" i="1"/>
  <c r="E766" i="1"/>
  <c r="C767" i="1"/>
  <c r="D767" i="1"/>
  <c r="E767" i="1"/>
  <c r="C768" i="1"/>
  <c r="D768" i="1"/>
  <c r="E768" i="1"/>
  <c r="C769" i="1"/>
  <c r="D769" i="1"/>
  <c r="E769" i="1"/>
  <c r="C770" i="1"/>
  <c r="D770" i="1"/>
  <c r="E770" i="1"/>
  <c r="C771" i="1"/>
  <c r="D771" i="1"/>
  <c r="E771" i="1"/>
  <c r="C772" i="1"/>
  <c r="D772" i="1"/>
  <c r="E772" i="1"/>
  <c r="C773" i="1"/>
  <c r="D773" i="1"/>
  <c r="E773" i="1"/>
  <c r="C774" i="1"/>
  <c r="D774" i="1"/>
  <c r="E774" i="1"/>
  <c r="C775" i="1"/>
  <c r="D775" i="1"/>
  <c r="E775" i="1"/>
  <c r="C776" i="1"/>
  <c r="D776" i="1"/>
  <c r="E776" i="1"/>
  <c r="C777" i="1"/>
  <c r="D777" i="1"/>
  <c r="E777" i="1"/>
  <c r="C778" i="1"/>
  <c r="D778" i="1"/>
  <c r="E778" i="1"/>
  <c r="C779" i="1"/>
  <c r="D779" i="1"/>
  <c r="E779" i="1"/>
  <c r="C780" i="1"/>
  <c r="D780" i="1"/>
  <c r="E780" i="1"/>
  <c r="C781" i="1"/>
  <c r="D781" i="1"/>
  <c r="E781" i="1"/>
  <c r="C782" i="1"/>
  <c r="D782" i="1"/>
  <c r="E782" i="1"/>
  <c r="C783" i="1"/>
  <c r="D783" i="1"/>
  <c r="E783" i="1"/>
  <c r="C784" i="1"/>
  <c r="D784" i="1"/>
  <c r="E784" i="1"/>
  <c r="C785" i="1"/>
  <c r="D785" i="1"/>
  <c r="E785" i="1"/>
  <c r="C786" i="1"/>
  <c r="D786" i="1"/>
  <c r="E786" i="1"/>
  <c r="C787" i="1"/>
  <c r="D787" i="1"/>
  <c r="E787" i="1"/>
  <c r="C788" i="1"/>
  <c r="D788" i="1"/>
  <c r="E788" i="1"/>
  <c r="C789" i="1"/>
  <c r="D789" i="1"/>
  <c r="E789" i="1"/>
  <c r="C790" i="1"/>
  <c r="D790" i="1"/>
  <c r="E790" i="1"/>
  <c r="C791" i="1"/>
  <c r="D791" i="1"/>
  <c r="E791" i="1"/>
  <c r="C792" i="1"/>
  <c r="D792" i="1"/>
  <c r="E792" i="1"/>
  <c r="C793" i="1"/>
  <c r="D793" i="1"/>
  <c r="E793" i="1"/>
  <c r="C794" i="1"/>
  <c r="D794" i="1"/>
  <c r="E794" i="1"/>
  <c r="C795" i="1"/>
  <c r="D795" i="1"/>
  <c r="E795" i="1"/>
  <c r="C796" i="1"/>
  <c r="D796" i="1"/>
  <c r="E796" i="1"/>
  <c r="C797" i="1"/>
  <c r="D797" i="1"/>
  <c r="E797" i="1"/>
  <c r="C798" i="1"/>
  <c r="D798" i="1"/>
  <c r="E798" i="1"/>
  <c r="C799" i="1"/>
  <c r="D799" i="1"/>
  <c r="E799" i="1"/>
  <c r="C800" i="1"/>
  <c r="D800" i="1"/>
  <c r="E800" i="1"/>
  <c r="D801" i="1"/>
  <c r="E801" i="1"/>
  <c r="C802" i="1"/>
  <c r="D802" i="1"/>
  <c r="E802" i="1"/>
  <c r="C803" i="1"/>
  <c r="D803" i="1"/>
  <c r="E803" i="1"/>
  <c r="C804" i="1"/>
  <c r="D804" i="1"/>
  <c r="E804" i="1"/>
  <c r="C805" i="1"/>
  <c r="D805" i="1"/>
  <c r="E805" i="1"/>
  <c r="C806" i="1"/>
  <c r="D806" i="1"/>
  <c r="E806" i="1"/>
  <c r="C807" i="1"/>
  <c r="D807" i="1"/>
  <c r="E807" i="1"/>
  <c r="C808" i="1"/>
  <c r="D808" i="1"/>
  <c r="E808" i="1"/>
  <c r="C809" i="1"/>
  <c r="D809" i="1"/>
  <c r="E809" i="1"/>
  <c r="C810" i="1"/>
  <c r="D810" i="1"/>
  <c r="E810" i="1"/>
  <c r="C811" i="1"/>
  <c r="D811" i="1"/>
  <c r="E811" i="1"/>
  <c r="C812" i="1"/>
  <c r="D812" i="1"/>
  <c r="E812" i="1"/>
  <c r="C813" i="1"/>
  <c r="D813" i="1"/>
  <c r="E813" i="1"/>
  <c r="C814" i="1"/>
  <c r="D814" i="1"/>
  <c r="E814" i="1"/>
  <c r="C815" i="1"/>
  <c r="D815" i="1"/>
  <c r="E815" i="1"/>
  <c r="C816" i="1"/>
  <c r="D816" i="1"/>
  <c r="E816" i="1"/>
  <c r="C817" i="1"/>
  <c r="D817" i="1"/>
  <c r="E817" i="1"/>
  <c r="C818" i="1"/>
  <c r="D818" i="1"/>
  <c r="E818" i="1"/>
  <c r="C819" i="1"/>
  <c r="D819" i="1"/>
  <c r="E819" i="1"/>
  <c r="C820" i="1"/>
  <c r="D820" i="1"/>
  <c r="E820" i="1"/>
  <c r="C821" i="1"/>
  <c r="D821" i="1"/>
  <c r="E821" i="1"/>
  <c r="C822" i="1"/>
  <c r="D822" i="1"/>
  <c r="E822" i="1"/>
  <c r="C823" i="1"/>
  <c r="D823" i="1"/>
  <c r="E823" i="1"/>
  <c r="C824" i="1"/>
  <c r="D824" i="1"/>
  <c r="E824" i="1"/>
  <c r="C825" i="1"/>
  <c r="D825" i="1"/>
  <c r="E825" i="1"/>
  <c r="C826" i="1"/>
  <c r="D826" i="1"/>
  <c r="E826" i="1"/>
  <c r="C827" i="1"/>
  <c r="D827" i="1"/>
  <c r="E827" i="1"/>
  <c r="C828" i="1"/>
  <c r="D828" i="1"/>
  <c r="E828" i="1"/>
  <c r="C829" i="1"/>
  <c r="D829" i="1"/>
  <c r="E829" i="1"/>
  <c r="C830" i="1"/>
  <c r="D830" i="1"/>
  <c r="E830" i="1"/>
  <c r="C831" i="1"/>
  <c r="D831" i="1"/>
  <c r="E831" i="1"/>
  <c r="C832" i="1"/>
  <c r="D832" i="1"/>
  <c r="E832" i="1"/>
  <c r="C833" i="1"/>
  <c r="D833" i="1"/>
  <c r="E833" i="1"/>
  <c r="C834" i="1"/>
  <c r="D834" i="1"/>
  <c r="E834" i="1"/>
  <c r="C835" i="1"/>
  <c r="D835" i="1"/>
  <c r="E835" i="1"/>
  <c r="C836" i="1"/>
  <c r="D836" i="1"/>
  <c r="E836" i="1"/>
  <c r="C837" i="1"/>
  <c r="D837" i="1"/>
  <c r="E837" i="1"/>
  <c r="C838" i="1"/>
  <c r="D838" i="1"/>
  <c r="E838" i="1"/>
  <c r="C839" i="1"/>
  <c r="D839" i="1"/>
  <c r="E839" i="1"/>
  <c r="C840" i="1"/>
  <c r="D840" i="1"/>
  <c r="E840" i="1"/>
  <c r="C841" i="1"/>
  <c r="D841" i="1"/>
  <c r="E841" i="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C801" i="1" s="1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" i="10"/>
  <c r="C478" i="1"/>
  <c r="D478" i="1"/>
  <c r="E478" i="1"/>
  <c r="C479" i="1"/>
  <c r="D479" i="1"/>
  <c r="E479" i="1"/>
  <c r="C480" i="1"/>
  <c r="D480" i="1"/>
  <c r="E480" i="1"/>
  <c r="C481" i="1"/>
  <c r="D481" i="1"/>
  <c r="E481" i="1"/>
  <c r="C482" i="1"/>
  <c r="D482" i="1"/>
  <c r="E482" i="1"/>
  <c r="C483" i="1"/>
  <c r="D483" i="1"/>
  <c r="E483" i="1"/>
  <c r="C484" i="1"/>
  <c r="D484" i="1"/>
  <c r="E484" i="1"/>
  <c r="C485" i="1"/>
  <c r="D485" i="1"/>
  <c r="E485" i="1"/>
  <c r="C486" i="1"/>
  <c r="D486" i="1"/>
  <c r="E486" i="1"/>
  <c r="C487" i="1"/>
  <c r="D487" i="1"/>
  <c r="E487" i="1"/>
  <c r="C488" i="1"/>
  <c r="D488" i="1"/>
  <c r="E488" i="1"/>
  <c r="C489" i="1"/>
  <c r="D489" i="1"/>
  <c r="E489" i="1"/>
  <c r="C490" i="1"/>
  <c r="D490" i="1"/>
  <c r="E490" i="1"/>
  <c r="C491" i="1"/>
  <c r="D491" i="1"/>
  <c r="E491" i="1"/>
  <c r="C492" i="1"/>
  <c r="D492" i="1"/>
  <c r="E492" i="1"/>
  <c r="C493" i="1"/>
  <c r="D493" i="1"/>
  <c r="E493" i="1"/>
  <c r="C494" i="1"/>
  <c r="D494" i="1"/>
  <c r="E494" i="1"/>
  <c r="C495" i="1"/>
  <c r="D495" i="1"/>
  <c r="E495" i="1"/>
  <c r="C496" i="1"/>
  <c r="D496" i="1"/>
  <c r="E496" i="1"/>
  <c r="C497" i="1"/>
  <c r="D497" i="1"/>
  <c r="E497" i="1"/>
  <c r="C498" i="1"/>
  <c r="D498" i="1"/>
  <c r="E498" i="1"/>
  <c r="C499" i="1"/>
  <c r="D499" i="1"/>
  <c r="E499" i="1"/>
  <c r="C500" i="1"/>
  <c r="D500" i="1"/>
  <c r="E500" i="1"/>
  <c r="C501" i="1"/>
  <c r="D501" i="1"/>
  <c r="E501" i="1"/>
  <c r="C502" i="1"/>
  <c r="D502" i="1"/>
  <c r="E502" i="1"/>
  <c r="C503" i="1"/>
  <c r="D503" i="1"/>
  <c r="E503" i="1"/>
  <c r="C504" i="1"/>
  <c r="D504" i="1"/>
  <c r="E504" i="1"/>
  <c r="C505" i="1"/>
  <c r="D505" i="1"/>
  <c r="E505" i="1"/>
  <c r="C506" i="1"/>
  <c r="D506" i="1"/>
  <c r="E506" i="1"/>
  <c r="C507" i="1"/>
  <c r="D507" i="1"/>
  <c r="E507" i="1"/>
  <c r="C508" i="1"/>
  <c r="D508" i="1"/>
  <c r="E508" i="1"/>
  <c r="C509" i="1"/>
  <c r="D509" i="1"/>
  <c r="E509" i="1"/>
  <c r="C510" i="1"/>
  <c r="D510" i="1"/>
  <c r="E510" i="1"/>
  <c r="C511" i="1"/>
  <c r="D511" i="1"/>
  <c r="E511" i="1"/>
  <c r="C512" i="1"/>
  <c r="D512" i="1"/>
  <c r="E512" i="1"/>
  <c r="C513" i="1"/>
  <c r="D513" i="1"/>
  <c r="E513" i="1"/>
  <c r="C514" i="1"/>
  <c r="D514" i="1"/>
  <c r="E514" i="1"/>
  <c r="C515" i="1"/>
  <c r="D515" i="1"/>
  <c r="E515" i="1"/>
  <c r="C516" i="1"/>
  <c r="D516" i="1"/>
  <c r="E516" i="1"/>
  <c r="C517" i="1"/>
  <c r="D517" i="1"/>
  <c r="E517" i="1"/>
  <c r="C518" i="1"/>
  <c r="D518" i="1"/>
  <c r="E518" i="1"/>
  <c r="C519" i="1"/>
  <c r="D519" i="1"/>
  <c r="E519" i="1"/>
  <c r="C520" i="1"/>
  <c r="D520" i="1"/>
  <c r="E520" i="1"/>
  <c r="C521" i="1"/>
  <c r="D521" i="1"/>
  <c r="E521" i="1"/>
  <c r="C522" i="1"/>
  <c r="D522" i="1"/>
  <c r="E522" i="1"/>
  <c r="C523" i="1"/>
  <c r="D523" i="1"/>
  <c r="E523" i="1"/>
  <c r="C524" i="1"/>
  <c r="D524" i="1"/>
  <c r="E524" i="1"/>
  <c r="C525" i="1"/>
  <c r="D525" i="1"/>
  <c r="E525" i="1"/>
  <c r="C526" i="1"/>
  <c r="D526" i="1"/>
  <c r="E526" i="1"/>
  <c r="C527" i="1"/>
  <c r="D527" i="1"/>
  <c r="E527" i="1"/>
  <c r="C528" i="1"/>
  <c r="D528" i="1"/>
  <c r="E528" i="1"/>
  <c r="C529" i="1"/>
  <c r="D529" i="1"/>
  <c r="E529" i="1"/>
  <c r="C530" i="1"/>
  <c r="D530" i="1"/>
  <c r="E530" i="1"/>
  <c r="C531" i="1"/>
  <c r="D531" i="1"/>
  <c r="E531" i="1"/>
  <c r="C532" i="1"/>
  <c r="D532" i="1"/>
  <c r="E532" i="1"/>
  <c r="C533" i="1"/>
  <c r="D533" i="1"/>
  <c r="E533" i="1"/>
  <c r="C534" i="1"/>
  <c r="D534" i="1"/>
  <c r="E534" i="1"/>
  <c r="C535" i="1"/>
  <c r="D535" i="1"/>
  <c r="E535" i="1"/>
  <c r="C536" i="1"/>
  <c r="D536" i="1"/>
  <c r="E536" i="1"/>
  <c r="C537" i="1"/>
  <c r="D537" i="1"/>
  <c r="E537" i="1"/>
  <c r="C538" i="1"/>
  <c r="D538" i="1"/>
  <c r="E538" i="1"/>
  <c r="C539" i="1"/>
  <c r="D539" i="1"/>
  <c r="E539" i="1"/>
  <c r="C540" i="1"/>
  <c r="D540" i="1"/>
  <c r="C541" i="1"/>
  <c r="D541" i="1"/>
  <c r="E541" i="1"/>
  <c r="C542" i="1"/>
  <c r="D542" i="1"/>
  <c r="E542" i="1"/>
  <c r="C543" i="1"/>
  <c r="D543" i="1"/>
  <c r="E543" i="1"/>
  <c r="C544" i="1"/>
  <c r="D544" i="1"/>
  <c r="E544" i="1"/>
  <c r="C545" i="1"/>
  <c r="D545" i="1"/>
  <c r="E545" i="1"/>
  <c r="C546" i="1"/>
  <c r="D546" i="1"/>
  <c r="E546" i="1"/>
  <c r="C547" i="1"/>
  <c r="D547" i="1"/>
  <c r="E547" i="1"/>
  <c r="C548" i="1"/>
  <c r="D548" i="1"/>
  <c r="E548" i="1"/>
  <c r="C549" i="1"/>
  <c r="D549" i="1"/>
  <c r="E549" i="1"/>
  <c r="C550" i="1"/>
  <c r="D550" i="1"/>
  <c r="E550" i="1"/>
  <c r="C551" i="1"/>
  <c r="D551" i="1"/>
  <c r="E551" i="1"/>
  <c r="C552" i="1"/>
  <c r="D552" i="1"/>
  <c r="E552" i="1"/>
  <c r="C553" i="1"/>
  <c r="D553" i="1"/>
  <c r="E553" i="1"/>
  <c r="C554" i="1"/>
  <c r="D554" i="1"/>
  <c r="E554" i="1"/>
  <c r="C555" i="1"/>
  <c r="D555" i="1"/>
  <c r="E555" i="1"/>
  <c r="C556" i="1"/>
  <c r="D556" i="1"/>
  <c r="E556" i="1"/>
  <c r="C557" i="1"/>
  <c r="D557" i="1"/>
  <c r="E557" i="1"/>
  <c r="C558" i="1"/>
  <c r="D558" i="1"/>
  <c r="E558" i="1"/>
  <c r="C559" i="1"/>
  <c r="D559" i="1"/>
  <c r="E559" i="1"/>
  <c r="C560" i="1"/>
  <c r="D560" i="1"/>
  <c r="E560" i="1"/>
  <c r="C561" i="1"/>
  <c r="D561" i="1"/>
  <c r="E561" i="1"/>
  <c r="C562" i="1"/>
  <c r="D562" i="1"/>
  <c r="E562" i="1"/>
  <c r="C563" i="1"/>
  <c r="D563" i="1"/>
  <c r="E563" i="1"/>
  <c r="C564" i="1"/>
  <c r="D564" i="1"/>
  <c r="E564" i="1"/>
  <c r="C565" i="1"/>
  <c r="D565" i="1"/>
  <c r="E565" i="1"/>
  <c r="C566" i="1"/>
  <c r="D566" i="1"/>
  <c r="E566" i="1"/>
  <c r="C567" i="1"/>
  <c r="D567" i="1"/>
  <c r="E567" i="1"/>
  <c r="C568" i="1"/>
  <c r="D568" i="1"/>
  <c r="E568" i="1"/>
  <c r="C569" i="1"/>
  <c r="D569" i="1"/>
  <c r="E569" i="1"/>
  <c r="C570" i="1"/>
  <c r="D570" i="1"/>
  <c r="E570" i="1"/>
  <c r="C571" i="1"/>
  <c r="D571" i="1"/>
  <c r="E571" i="1"/>
  <c r="C572" i="1"/>
  <c r="D572" i="1"/>
  <c r="E572" i="1"/>
  <c r="C573" i="1"/>
  <c r="D573" i="1"/>
  <c r="E573" i="1"/>
  <c r="C574" i="1"/>
  <c r="D574" i="1"/>
  <c r="E574" i="1"/>
  <c r="C575" i="1"/>
  <c r="D575" i="1"/>
  <c r="E575" i="1"/>
  <c r="C576" i="1"/>
  <c r="D576" i="1"/>
  <c r="E576" i="1"/>
  <c r="C577" i="1"/>
  <c r="D577" i="1"/>
  <c r="E577" i="1"/>
  <c r="C578" i="1"/>
  <c r="D578" i="1"/>
  <c r="E578" i="1"/>
  <c r="C579" i="1"/>
  <c r="D579" i="1"/>
  <c r="E579" i="1"/>
  <c r="C580" i="1"/>
  <c r="D580" i="1"/>
  <c r="E580" i="1"/>
  <c r="C581" i="1"/>
  <c r="D581" i="1"/>
  <c r="E581" i="1"/>
  <c r="C582" i="1"/>
  <c r="D582" i="1"/>
  <c r="E582" i="1"/>
  <c r="C583" i="1"/>
  <c r="D583" i="1"/>
  <c r="E583" i="1"/>
  <c r="C584" i="1"/>
  <c r="D584" i="1"/>
  <c r="E584" i="1"/>
  <c r="C585" i="1"/>
  <c r="D585" i="1"/>
  <c r="E585" i="1"/>
  <c r="C586" i="1"/>
  <c r="D586" i="1"/>
  <c r="E586" i="1"/>
  <c r="C587" i="1"/>
  <c r="D587" i="1"/>
  <c r="E587" i="1"/>
  <c r="C588" i="1"/>
  <c r="D588" i="1"/>
  <c r="E588" i="1"/>
  <c r="C589" i="1"/>
  <c r="D589" i="1"/>
  <c r="E589" i="1"/>
  <c r="C590" i="1"/>
  <c r="D590" i="1"/>
  <c r="E590" i="1"/>
  <c r="C591" i="1"/>
  <c r="D591" i="1"/>
  <c r="E591" i="1"/>
  <c r="C592" i="1"/>
  <c r="D592" i="1"/>
  <c r="E592" i="1"/>
  <c r="C593" i="1"/>
  <c r="D593" i="1"/>
  <c r="E593" i="1"/>
  <c r="C594" i="1"/>
  <c r="D594" i="1"/>
  <c r="E594" i="1"/>
  <c r="C595" i="1"/>
  <c r="D595" i="1"/>
  <c r="E595" i="1"/>
  <c r="C596" i="1"/>
  <c r="D596" i="1"/>
  <c r="E596" i="1"/>
  <c r="C597" i="1"/>
  <c r="D597" i="1"/>
  <c r="E597" i="1"/>
  <c r="C598" i="1"/>
  <c r="D598" i="1"/>
  <c r="E598" i="1"/>
  <c r="C599" i="1"/>
  <c r="D599" i="1"/>
  <c r="E599" i="1"/>
  <c r="C600" i="1"/>
  <c r="D600" i="1"/>
  <c r="E600" i="1"/>
  <c r="C601" i="1"/>
  <c r="D601" i="1"/>
  <c r="E601" i="1"/>
  <c r="C602" i="1"/>
  <c r="D602" i="1"/>
  <c r="E602" i="1"/>
  <c r="C603" i="1"/>
  <c r="D603" i="1"/>
  <c r="E603" i="1"/>
  <c r="C604" i="1"/>
  <c r="D604" i="1"/>
  <c r="E604" i="1"/>
  <c r="C605" i="1"/>
  <c r="D605" i="1"/>
  <c r="E605" i="1"/>
  <c r="C606" i="1"/>
  <c r="D606" i="1"/>
  <c r="E606" i="1"/>
  <c r="C607" i="1"/>
  <c r="D607" i="1"/>
  <c r="E607" i="1"/>
  <c r="C608" i="1"/>
  <c r="D608" i="1"/>
  <c r="E608" i="1"/>
  <c r="C609" i="1"/>
  <c r="D609" i="1"/>
  <c r="E609" i="1"/>
  <c r="C610" i="1"/>
  <c r="D610" i="1"/>
  <c r="E610" i="1"/>
  <c r="C611" i="1"/>
  <c r="D611" i="1"/>
  <c r="E611" i="1"/>
  <c r="C612" i="1"/>
  <c r="D612" i="1"/>
  <c r="E612" i="1"/>
  <c r="C613" i="1"/>
  <c r="D613" i="1"/>
  <c r="E613" i="1"/>
  <c r="C614" i="1"/>
  <c r="D614" i="1"/>
  <c r="E614" i="1"/>
  <c r="C615" i="1"/>
  <c r="D615" i="1"/>
  <c r="E615" i="1"/>
  <c r="C616" i="1"/>
  <c r="D616" i="1"/>
  <c r="E616" i="1"/>
  <c r="C617" i="1"/>
  <c r="D617" i="1"/>
  <c r="E617" i="1"/>
  <c r="C618" i="1"/>
  <c r="D618" i="1"/>
  <c r="E618" i="1"/>
  <c r="C619" i="1"/>
  <c r="D619" i="1"/>
  <c r="E619" i="1"/>
  <c r="C620" i="1"/>
  <c r="D620" i="1"/>
  <c r="E620" i="1"/>
  <c r="C621" i="1"/>
  <c r="D621" i="1"/>
  <c r="E621" i="1"/>
  <c r="C622" i="1"/>
  <c r="D622" i="1"/>
  <c r="E622" i="1"/>
  <c r="C623" i="1"/>
  <c r="D623" i="1"/>
  <c r="E623" i="1"/>
  <c r="C624" i="1"/>
  <c r="D624" i="1"/>
  <c r="E624" i="1"/>
  <c r="C625" i="1"/>
  <c r="D625" i="1"/>
  <c r="E625" i="1"/>
  <c r="C626" i="1"/>
  <c r="D626" i="1"/>
  <c r="E626" i="1"/>
  <c r="C627" i="1"/>
  <c r="D627" i="1"/>
  <c r="E627" i="1"/>
  <c r="C628" i="1"/>
  <c r="D628" i="1"/>
  <c r="E628" i="1"/>
  <c r="C629" i="1"/>
  <c r="D629" i="1"/>
  <c r="E629" i="1"/>
  <c r="C630" i="1"/>
  <c r="D630" i="1"/>
  <c r="E630" i="1"/>
  <c r="C631" i="1"/>
  <c r="D631" i="1"/>
  <c r="E631" i="1"/>
  <c r="C632" i="1"/>
  <c r="D632" i="1"/>
  <c r="E632" i="1"/>
  <c r="C633" i="1"/>
  <c r="D633" i="1"/>
  <c r="E633" i="1"/>
  <c r="C634" i="1"/>
  <c r="D634" i="1"/>
  <c r="E634" i="1"/>
  <c r="C635" i="1"/>
  <c r="D635" i="1"/>
  <c r="E635" i="1"/>
  <c r="C636" i="1"/>
  <c r="D636" i="1"/>
  <c r="E636" i="1"/>
  <c r="C637" i="1"/>
  <c r="D637" i="1"/>
  <c r="E637" i="1"/>
  <c r="C638" i="1"/>
  <c r="D638" i="1"/>
  <c r="E638" i="1"/>
  <c r="C639" i="1"/>
  <c r="D639" i="1"/>
  <c r="E639" i="1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E540" i="1" s="1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G2" i="9"/>
  <c r="F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2" i="9"/>
  <c r="C450" i="1"/>
  <c r="D450" i="1"/>
  <c r="E450" i="1"/>
  <c r="C451" i="1"/>
  <c r="D451" i="1"/>
  <c r="E451" i="1"/>
  <c r="C452" i="1"/>
  <c r="D452" i="1"/>
  <c r="E452" i="1"/>
  <c r="C453" i="1"/>
  <c r="D453" i="1"/>
  <c r="E453" i="1"/>
  <c r="C454" i="1"/>
  <c r="D454" i="1"/>
  <c r="E454" i="1"/>
  <c r="C455" i="1"/>
  <c r="D455" i="1"/>
  <c r="E455" i="1"/>
  <c r="C456" i="1"/>
  <c r="D456" i="1"/>
  <c r="E456" i="1"/>
  <c r="C457" i="1"/>
  <c r="D457" i="1"/>
  <c r="E457" i="1"/>
  <c r="C458" i="1"/>
  <c r="E458" i="1"/>
  <c r="C459" i="1"/>
  <c r="D459" i="1"/>
  <c r="E459" i="1"/>
  <c r="C460" i="1"/>
  <c r="D460" i="1"/>
  <c r="E460" i="1"/>
  <c r="C461" i="1"/>
  <c r="D461" i="1"/>
  <c r="E461" i="1"/>
  <c r="C462" i="1"/>
  <c r="D462" i="1"/>
  <c r="E462" i="1"/>
  <c r="C463" i="1"/>
  <c r="D463" i="1"/>
  <c r="E463" i="1"/>
  <c r="C464" i="1"/>
  <c r="D464" i="1"/>
  <c r="E464" i="1"/>
  <c r="C465" i="1"/>
  <c r="D465" i="1"/>
  <c r="E465" i="1"/>
  <c r="C466" i="1"/>
  <c r="E466" i="1"/>
  <c r="C467" i="1"/>
  <c r="D467" i="1"/>
  <c r="E467" i="1"/>
  <c r="C468" i="1"/>
  <c r="D468" i="1"/>
  <c r="E468" i="1"/>
  <c r="C469" i="1"/>
  <c r="D469" i="1"/>
  <c r="E469" i="1"/>
  <c r="C470" i="1"/>
  <c r="D470" i="1"/>
  <c r="E470" i="1"/>
  <c r="C471" i="1"/>
  <c r="D471" i="1"/>
  <c r="E471" i="1"/>
  <c r="C472" i="1"/>
  <c r="D472" i="1"/>
  <c r="E472" i="1"/>
  <c r="C473" i="1"/>
  <c r="D473" i="1"/>
  <c r="E473" i="1"/>
  <c r="C474" i="1"/>
  <c r="E474" i="1"/>
  <c r="C475" i="1"/>
  <c r="D475" i="1"/>
  <c r="E475" i="1"/>
  <c r="C476" i="1"/>
  <c r="D476" i="1"/>
  <c r="E476" i="1"/>
  <c r="C477" i="1"/>
  <c r="D477" i="1"/>
  <c r="E477" i="1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G2" i="8"/>
  <c r="E2" i="8"/>
  <c r="C442" i="1"/>
  <c r="D442" i="1"/>
  <c r="E442" i="1"/>
  <c r="C443" i="1"/>
  <c r="D443" i="1"/>
  <c r="E443" i="1"/>
  <c r="C444" i="1"/>
  <c r="D444" i="1"/>
  <c r="E444" i="1"/>
  <c r="C445" i="1"/>
  <c r="D445" i="1"/>
  <c r="E445" i="1"/>
  <c r="C446" i="1"/>
  <c r="D446" i="1"/>
  <c r="E446" i="1"/>
  <c r="C447" i="1"/>
  <c r="D447" i="1"/>
  <c r="E447" i="1"/>
  <c r="C448" i="1"/>
  <c r="D448" i="1"/>
  <c r="E448" i="1"/>
  <c r="C449" i="1"/>
  <c r="D449" i="1"/>
  <c r="E449" i="1"/>
  <c r="G3" i="7"/>
  <c r="G4" i="7"/>
  <c r="G5" i="7"/>
  <c r="G6" i="7"/>
  <c r="G7" i="7"/>
  <c r="G8" i="7"/>
  <c r="G9" i="7"/>
  <c r="G2" i="7"/>
  <c r="E3" i="7"/>
  <c r="E4" i="7"/>
  <c r="E5" i="7"/>
  <c r="E6" i="7"/>
  <c r="E7" i="7"/>
  <c r="E8" i="7"/>
  <c r="E9" i="7"/>
  <c r="E2" i="7"/>
  <c r="C342" i="1"/>
  <c r="D342" i="1"/>
  <c r="E342" i="1"/>
  <c r="C343" i="1"/>
  <c r="D343" i="1"/>
  <c r="E343" i="1"/>
  <c r="C344" i="1"/>
  <c r="D344" i="1"/>
  <c r="E344" i="1"/>
  <c r="C345" i="1"/>
  <c r="D345" i="1"/>
  <c r="E345" i="1"/>
  <c r="C346" i="1"/>
  <c r="D346" i="1"/>
  <c r="E346" i="1"/>
  <c r="C347" i="1"/>
  <c r="D347" i="1"/>
  <c r="E347" i="1"/>
  <c r="C348" i="1"/>
  <c r="D348" i="1"/>
  <c r="E348" i="1"/>
  <c r="C349" i="1"/>
  <c r="D349" i="1"/>
  <c r="E349" i="1"/>
  <c r="C350" i="1"/>
  <c r="D350" i="1"/>
  <c r="E350" i="1"/>
  <c r="C351" i="1"/>
  <c r="D351" i="1"/>
  <c r="E351" i="1"/>
  <c r="C352" i="1"/>
  <c r="D352" i="1"/>
  <c r="E352" i="1"/>
  <c r="C353" i="1"/>
  <c r="D353" i="1"/>
  <c r="E353" i="1"/>
  <c r="C354" i="1"/>
  <c r="D354" i="1"/>
  <c r="E354" i="1"/>
  <c r="C355" i="1"/>
  <c r="D355" i="1"/>
  <c r="E355" i="1"/>
  <c r="C356" i="1"/>
  <c r="D356" i="1"/>
  <c r="E356" i="1"/>
  <c r="C357" i="1"/>
  <c r="D357" i="1"/>
  <c r="E357" i="1"/>
  <c r="C358" i="1"/>
  <c r="D358" i="1"/>
  <c r="E358" i="1"/>
  <c r="C359" i="1"/>
  <c r="D359" i="1"/>
  <c r="E359" i="1"/>
  <c r="C360" i="1"/>
  <c r="D360" i="1"/>
  <c r="E360" i="1"/>
  <c r="C361" i="1"/>
  <c r="D361" i="1"/>
  <c r="E361" i="1"/>
  <c r="C362" i="1"/>
  <c r="D362" i="1"/>
  <c r="E362" i="1"/>
  <c r="C363" i="1"/>
  <c r="D363" i="1"/>
  <c r="E363" i="1"/>
  <c r="C364" i="1"/>
  <c r="D364" i="1"/>
  <c r="E364" i="1"/>
  <c r="C365" i="1"/>
  <c r="D365" i="1"/>
  <c r="E365" i="1"/>
  <c r="C366" i="1"/>
  <c r="D366" i="1"/>
  <c r="E366" i="1"/>
  <c r="C367" i="1"/>
  <c r="D367" i="1"/>
  <c r="E367" i="1"/>
  <c r="C368" i="1"/>
  <c r="D368" i="1"/>
  <c r="E368" i="1"/>
  <c r="C369" i="1"/>
  <c r="D369" i="1"/>
  <c r="E369" i="1"/>
  <c r="C370" i="1"/>
  <c r="D370" i="1"/>
  <c r="E370" i="1"/>
  <c r="C371" i="1"/>
  <c r="D371" i="1"/>
  <c r="E371" i="1"/>
  <c r="C372" i="1"/>
  <c r="D372" i="1"/>
  <c r="E372" i="1"/>
  <c r="C373" i="1"/>
  <c r="D373" i="1"/>
  <c r="E373" i="1"/>
  <c r="C374" i="1"/>
  <c r="D374" i="1"/>
  <c r="E374" i="1"/>
  <c r="C375" i="1"/>
  <c r="D375" i="1"/>
  <c r="E375" i="1"/>
  <c r="C376" i="1"/>
  <c r="D376" i="1"/>
  <c r="E376" i="1"/>
  <c r="C377" i="1"/>
  <c r="D377" i="1"/>
  <c r="E377" i="1"/>
  <c r="C378" i="1"/>
  <c r="D378" i="1"/>
  <c r="E378" i="1"/>
  <c r="C379" i="1"/>
  <c r="D379" i="1"/>
  <c r="E379" i="1"/>
  <c r="C380" i="1"/>
  <c r="D380" i="1"/>
  <c r="E380" i="1"/>
  <c r="C381" i="1"/>
  <c r="D381" i="1"/>
  <c r="E381" i="1"/>
  <c r="C382" i="1"/>
  <c r="D382" i="1"/>
  <c r="E382" i="1"/>
  <c r="C383" i="1"/>
  <c r="D383" i="1"/>
  <c r="E383" i="1"/>
  <c r="C384" i="1"/>
  <c r="D384" i="1"/>
  <c r="E384" i="1"/>
  <c r="C385" i="1"/>
  <c r="D385" i="1"/>
  <c r="E385" i="1"/>
  <c r="C386" i="1"/>
  <c r="D386" i="1"/>
  <c r="E386" i="1"/>
  <c r="C387" i="1"/>
  <c r="D387" i="1"/>
  <c r="E387" i="1"/>
  <c r="C388" i="1"/>
  <c r="D388" i="1"/>
  <c r="E388" i="1"/>
  <c r="C389" i="1"/>
  <c r="D389" i="1"/>
  <c r="E389" i="1"/>
  <c r="C390" i="1"/>
  <c r="D390" i="1"/>
  <c r="E390" i="1"/>
  <c r="C391" i="1"/>
  <c r="D391" i="1"/>
  <c r="E391" i="1"/>
  <c r="C392" i="1"/>
  <c r="D392" i="1"/>
  <c r="E392" i="1"/>
  <c r="C393" i="1"/>
  <c r="D393" i="1"/>
  <c r="E393" i="1"/>
  <c r="C394" i="1"/>
  <c r="D394" i="1"/>
  <c r="E394" i="1"/>
  <c r="C395" i="1"/>
  <c r="D395" i="1"/>
  <c r="E395" i="1"/>
  <c r="C396" i="1"/>
  <c r="D396" i="1"/>
  <c r="E396" i="1"/>
  <c r="C397" i="1"/>
  <c r="D397" i="1"/>
  <c r="E397" i="1"/>
  <c r="C398" i="1"/>
  <c r="D398" i="1"/>
  <c r="E398" i="1"/>
  <c r="C399" i="1"/>
  <c r="D399" i="1"/>
  <c r="E399" i="1"/>
  <c r="C400" i="1"/>
  <c r="D400" i="1"/>
  <c r="E400" i="1"/>
  <c r="C401" i="1"/>
  <c r="D401" i="1"/>
  <c r="E401" i="1"/>
  <c r="C402" i="1"/>
  <c r="D402" i="1"/>
  <c r="E402" i="1"/>
  <c r="C403" i="1"/>
  <c r="D403" i="1"/>
  <c r="E403" i="1"/>
  <c r="C404" i="1"/>
  <c r="D404" i="1"/>
  <c r="E404" i="1"/>
  <c r="C405" i="1"/>
  <c r="D405" i="1"/>
  <c r="E405" i="1"/>
  <c r="C406" i="1"/>
  <c r="D406" i="1"/>
  <c r="E406" i="1"/>
  <c r="C407" i="1"/>
  <c r="D407" i="1"/>
  <c r="E407" i="1"/>
  <c r="C408" i="1"/>
  <c r="D408" i="1"/>
  <c r="E408" i="1"/>
  <c r="C409" i="1"/>
  <c r="D409" i="1"/>
  <c r="E409" i="1"/>
  <c r="C410" i="1"/>
  <c r="D410" i="1"/>
  <c r="E410" i="1"/>
  <c r="C411" i="1"/>
  <c r="D411" i="1"/>
  <c r="E411" i="1"/>
  <c r="C412" i="1"/>
  <c r="D412" i="1"/>
  <c r="E412" i="1"/>
  <c r="C413" i="1"/>
  <c r="D413" i="1"/>
  <c r="E413" i="1"/>
  <c r="C414" i="1"/>
  <c r="D414" i="1"/>
  <c r="E414" i="1"/>
  <c r="C415" i="1"/>
  <c r="D415" i="1"/>
  <c r="E415" i="1"/>
  <c r="C416" i="1"/>
  <c r="D416" i="1"/>
  <c r="E416" i="1"/>
  <c r="C417" i="1"/>
  <c r="D417" i="1"/>
  <c r="E417" i="1"/>
  <c r="C418" i="1"/>
  <c r="D418" i="1"/>
  <c r="E418" i="1"/>
  <c r="C419" i="1"/>
  <c r="D419" i="1"/>
  <c r="E419" i="1"/>
  <c r="C420" i="1"/>
  <c r="D420" i="1"/>
  <c r="E420" i="1"/>
  <c r="C421" i="1"/>
  <c r="D421" i="1"/>
  <c r="E421" i="1"/>
  <c r="C422" i="1"/>
  <c r="D422" i="1"/>
  <c r="E422" i="1"/>
  <c r="C423" i="1"/>
  <c r="D423" i="1"/>
  <c r="E423" i="1"/>
  <c r="C424" i="1"/>
  <c r="D424" i="1"/>
  <c r="E424" i="1"/>
  <c r="C425" i="1"/>
  <c r="D425" i="1"/>
  <c r="E425" i="1"/>
  <c r="C426" i="1"/>
  <c r="D426" i="1"/>
  <c r="E426" i="1"/>
  <c r="C427" i="1"/>
  <c r="D427" i="1"/>
  <c r="E427" i="1"/>
  <c r="C428" i="1"/>
  <c r="D428" i="1"/>
  <c r="E428" i="1"/>
  <c r="C429" i="1"/>
  <c r="D429" i="1"/>
  <c r="E429" i="1"/>
  <c r="C430" i="1"/>
  <c r="D430" i="1"/>
  <c r="E430" i="1"/>
  <c r="C431" i="1"/>
  <c r="D431" i="1"/>
  <c r="E431" i="1"/>
  <c r="C432" i="1"/>
  <c r="D432" i="1"/>
  <c r="E432" i="1"/>
  <c r="C433" i="1"/>
  <c r="D433" i="1"/>
  <c r="E433" i="1"/>
  <c r="C434" i="1"/>
  <c r="D434" i="1"/>
  <c r="E434" i="1"/>
  <c r="C435" i="1"/>
  <c r="D435" i="1"/>
  <c r="E435" i="1"/>
  <c r="C436" i="1"/>
  <c r="D436" i="1"/>
  <c r="E436" i="1"/>
  <c r="C437" i="1"/>
  <c r="D437" i="1"/>
  <c r="E437" i="1"/>
  <c r="C438" i="1"/>
  <c r="D438" i="1"/>
  <c r="E438" i="1"/>
  <c r="C439" i="1"/>
  <c r="D439" i="1"/>
  <c r="E439" i="1"/>
  <c r="C440" i="1"/>
  <c r="D440" i="1"/>
  <c r="E440" i="1"/>
  <c r="C441" i="1"/>
  <c r="D441" i="1"/>
  <c r="E441" i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2" i="6"/>
  <c r="I2" i="6"/>
  <c r="C249" i="1"/>
  <c r="C250" i="1"/>
  <c r="C251" i="1"/>
  <c r="C252" i="1"/>
  <c r="C253" i="1"/>
  <c r="C254" i="1"/>
  <c r="C256" i="1"/>
  <c r="C257" i="1"/>
  <c r="C258" i="1"/>
  <c r="C259" i="1"/>
  <c r="C260" i="1"/>
  <c r="C261" i="1"/>
  <c r="C262" i="1"/>
  <c r="C264" i="1"/>
  <c r="C265" i="1"/>
  <c r="C266" i="1"/>
  <c r="C267" i="1"/>
  <c r="C268" i="1"/>
  <c r="C269" i="1"/>
  <c r="C270" i="1"/>
  <c r="C272" i="1"/>
  <c r="C273" i="1"/>
  <c r="C274" i="1"/>
  <c r="C275" i="1"/>
  <c r="C276" i="1"/>
  <c r="C277" i="1"/>
  <c r="C278" i="1"/>
  <c r="C280" i="1"/>
  <c r="C281" i="1"/>
  <c r="C282" i="1"/>
  <c r="C283" i="1"/>
  <c r="C284" i="1"/>
  <c r="C285" i="1"/>
  <c r="C286" i="1"/>
  <c r="C288" i="1"/>
  <c r="C289" i="1"/>
  <c r="C293" i="1"/>
  <c r="C294" i="1"/>
  <c r="C296" i="1"/>
  <c r="C297" i="1"/>
  <c r="C298" i="1"/>
  <c r="C299" i="1"/>
  <c r="F2" i="4"/>
  <c r="D249" i="1" s="1"/>
  <c r="F3" i="4"/>
  <c r="D250" i="1" s="1"/>
  <c r="F4" i="4"/>
  <c r="D251" i="1" s="1"/>
  <c r="F5" i="4"/>
  <c r="D252" i="1" s="1"/>
  <c r="F6" i="4"/>
  <c r="D253" i="1" s="1"/>
  <c r="F7" i="4"/>
  <c r="D254" i="1" s="1"/>
  <c r="F8" i="4"/>
  <c r="D255" i="1" s="1"/>
  <c r="F9" i="4"/>
  <c r="D256" i="1" s="1"/>
  <c r="F10" i="4"/>
  <c r="D257" i="1" s="1"/>
  <c r="F11" i="4"/>
  <c r="D258" i="1" s="1"/>
  <c r="F12" i="4"/>
  <c r="D259" i="1" s="1"/>
  <c r="F13" i="4"/>
  <c r="D260" i="1" s="1"/>
  <c r="F14" i="4"/>
  <c r="D261" i="1" s="1"/>
  <c r="F15" i="4"/>
  <c r="D262" i="1" s="1"/>
  <c r="F16" i="4"/>
  <c r="D263" i="1" s="1"/>
  <c r="F17" i="4"/>
  <c r="D264" i="1" s="1"/>
  <c r="F18" i="4"/>
  <c r="D265" i="1" s="1"/>
  <c r="F19" i="4"/>
  <c r="D266" i="1" s="1"/>
  <c r="F20" i="4"/>
  <c r="D267" i="1" s="1"/>
  <c r="F21" i="4"/>
  <c r="D268" i="1" s="1"/>
  <c r="F22" i="4"/>
  <c r="D269" i="1" s="1"/>
  <c r="F23" i="4"/>
  <c r="D270" i="1" s="1"/>
  <c r="F24" i="4"/>
  <c r="D271" i="1" s="1"/>
  <c r="F25" i="4"/>
  <c r="D272" i="1" s="1"/>
  <c r="F26" i="4"/>
  <c r="D273" i="1" s="1"/>
  <c r="F27" i="4"/>
  <c r="D274" i="1" s="1"/>
  <c r="F28" i="4"/>
  <c r="D275" i="1" s="1"/>
  <c r="F29" i="4"/>
  <c r="D276" i="1" s="1"/>
  <c r="F30" i="4"/>
  <c r="D277" i="1" s="1"/>
  <c r="F31" i="4"/>
  <c r="D278" i="1" s="1"/>
  <c r="F32" i="4"/>
  <c r="D279" i="1" s="1"/>
  <c r="F33" i="4"/>
  <c r="D280" i="1" s="1"/>
  <c r="F34" i="4"/>
  <c r="D281" i="1" s="1"/>
  <c r="F35" i="4"/>
  <c r="D282" i="1" s="1"/>
  <c r="F36" i="4"/>
  <c r="D283" i="1" s="1"/>
  <c r="F37" i="4"/>
  <c r="D284" i="1" s="1"/>
  <c r="F38" i="4"/>
  <c r="D285" i="1" s="1"/>
  <c r="F39" i="4"/>
  <c r="D286" i="1" s="1"/>
  <c r="F40" i="4"/>
  <c r="D287" i="1" s="1"/>
  <c r="F41" i="4"/>
  <c r="D288" i="1" s="1"/>
  <c r="F42" i="4"/>
  <c r="D289" i="1" s="1"/>
  <c r="F43" i="4"/>
  <c r="D290" i="1" s="1"/>
  <c r="F44" i="4"/>
  <c r="D291" i="1" s="1"/>
  <c r="F45" i="4"/>
  <c r="D292" i="1" s="1"/>
  <c r="F46" i="4"/>
  <c r="D293" i="1" s="1"/>
  <c r="F47" i="4"/>
  <c r="D294" i="1" s="1"/>
  <c r="F48" i="4"/>
  <c r="D295" i="1" s="1"/>
  <c r="F49" i="4"/>
  <c r="D296" i="1" s="1"/>
  <c r="F50" i="4"/>
  <c r="D297" i="1" s="1"/>
  <c r="F51" i="4"/>
  <c r="D298" i="1" s="1"/>
  <c r="F52" i="4"/>
  <c r="D299" i="1" s="1"/>
  <c r="E282" i="1"/>
  <c r="E288" i="1"/>
  <c r="E290" i="1"/>
  <c r="E291" i="1"/>
  <c r="E294" i="1"/>
  <c r="E299" i="1"/>
  <c r="C190" i="1"/>
  <c r="C191" i="1"/>
  <c r="C195" i="1"/>
  <c r="D196" i="1"/>
  <c r="C199" i="1"/>
  <c r="D208" i="1"/>
  <c r="D209" i="1"/>
  <c r="C211" i="1"/>
  <c r="D212" i="1"/>
  <c r="C221" i="1"/>
  <c r="C224" i="1"/>
  <c r="D225" i="1"/>
  <c r="C229" i="1"/>
  <c r="C231" i="1"/>
  <c r="C233" i="1"/>
  <c r="C235" i="1"/>
  <c r="D240" i="1"/>
  <c r="C241" i="1"/>
  <c r="C242" i="1"/>
  <c r="D248" i="1"/>
  <c r="F2" i="3"/>
  <c r="G2" i="3" s="1"/>
  <c r="E190" i="1" s="1"/>
  <c r="F3" i="3"/>
  <c r="D191" i="1" s="1"/>
  <c r="F4" i="3"/>
  <c r="D192" i="1" s="1"/>
  <c r="F5" i="3"/>
  <c r="D193" i="1" s="1"/>
  <c r="F6" i="3"/>
  <c r="D194" i="1" s="1"/>
  <c r="F7" i="3"/>
  <c r="D195" i="1" s="1"/>
  <c r="F8" i="3"/>
  <c r="F9" i="3"/>
  <c r="D197" i="1" s="1"/>
  <c r="F10" i="3"/>
  <c r="D198" i="1" s="1"/>
  <c r="F11" i="3"/>
  <c r="D199" i="1" s="1"/>
  <c r="F12" i="3"/>
  <c r="D200" i="1" s="1"/>
  <c r="F13" i="3"/>
  <c r="D201" i="1" s="1"/>
  <c r="F14" i="3"/>
  <c r="D202" i="1" s="1"/>
  <c r="F15" i="3"/>
  <c r="D203" i="1" s="1"/>
  <c r="F16" i="3"/>
  <c r="D204" i="1" s="1"/>
  <c r="F17" i="3"/>
  <c r="D205" i="1" s="1"/>
  <c r="F18" i="3"/>
  <c r="D206" i="1" s="1"/>
  <c r="F19" i="3"/>
  <c r="D207" i="1" s="1"/>
  <c r="F20" i="3"/>
  <c r="F21" i="3"/>
  <c r="F22" i="3"/>
  <c r="D210" i="1" s="1"/>
  <c r="F23" i="3"/>
  <c r="D211" i="1" s="1"/>
  <c r="F24" i="3"/>
  <c r="F25" i="3"/>
  <c r="D213" i="1" s="1"/>
  <c r="F26" i="3"/>
  <c r="D214" i="1" s="1"/>
  <c r="F27" i="3"/>
  <c r="D215" i="1" s="1"/>
  <c r="F28" i="3"/>
  <c r="D216" i="1" s="1"/>
  <c r="F29" i="3"/>
  <c r="D217" i="1" s="1"/>
  <c r="F30" i="3"/>
  <c r="D218" i="1" s="1"/>
  <c r="F31" i="3"/>
  <c r="D219" i="1" s="1"/>
  <c r="F32" i="3"/>
  <c r="D220" i="1" s="1"/>
  <c r="F33" i="3"/>
  <c r="D221" i="1" s="1"/>
  <c r="F34" i="3"/>
  <c r="D222" i="1" s="1"/>
  <c r="F35" i="3"/>
  <c r="D223" i="1" s="1"/>
  <c r="F36" i="3"/>
  <c r="D224" i="1" s="1"/>
  <c r="F37" i="3"/>
  <c r="F38" i="3"/>
  <c r="D226" i="1" s="1"/>
  <c r="F39" i="3"/>
  <c r="D227" i="1" s="1"/>
  <c r="F40" i="3"/>
  <c r="D228" i="1" s="1"/>
  <c r="F41" i="3"/>
  <c r="D229" i="1" s="1"/>
  <c r="F42" i="3"/>
  <c r="D230" i="1" s="1"/>
  <c r="F43" i="3"/>
  <c r="D231" i="1" s="1"/>
  <c r="F44" i="3"/>
  <c r="D232" i="1" s="1"/>
  <c r="F45" i="3"/>
  <c r="D233" i="1" s="1"/>
  <c r="F46" i="3"/>
  <c r="D234" i="1" s="1"/>
  <c r="F47" i="3"/>
  <c r="D235" i="1" s="1"/>
  <c r="F48" i="3"/>
  <c r="D236" i="1" s="1"/>
  <c r="F49" i="3"/>
  <c r="G49" i="3" s="1"/>
  <c r="E237" i="1" s="1"/>
  <c r="F50" i="3"/>
  <c r="D238" i="1" s="1"/>
  <c r="F51" i="3"/>
  <c r="D239" i="1" s="1"/>
  <c r="F52" i="3"/>
  <c r="F53" i="3"/>
  <c r="D241" i="1" s="1"/>
  <c r="F54" i="3"/>
  <c r="D242" i="1" s="1"/>
  <c r="F55" i="3"/>
  <c r="D243" i="1" s="1"/>
  <c r="F56" i="3"/>
  <c r="D244" i="1" s="1"/>
  <c r="F57" i="3"/>
  <c r="D245" i="1" s="1"/>
  <c r="F58" i="3"/>
  <c r="D246" i="1" s="1"/>
  <c r="F59" i="3"/>
  <c r="D247" i="1" s="1"/>
  <c r="F60" i="3"/>
  <c r="C192" i="1"/>
  <c r="C193" i="1"/>
  <c r="G7" i="3"/>
  <c r="E195" i="1" s="1"/>
  <c r="C197" i="1"/>
  <c r="G12" i="3"/>
  <c r="E200" i="1" s="1"/>
  <c r="G13" i="3"/>
  <c r="E201" i="1" s="1"/>
  <c r="G14" i="3"/>
  <c r="E202" i="1" s="1"/>
  <c r="C204" i="1"/>
  <c r="G19" i="3"/>
  <c r="E207" i="1" s="1"/>
  <c r="G20" i="3"/>
  <c r="E208" i="1" s="1"/>
  <c r="C209" i="1"/>
  <c r="G23" i="3"/>
  <c r="E211" i="1" s="1"/>
  <c r="G25" i="3"/>
  <c r="E213" i="1" s="1"/>
  <c r="C216" i="1"/>
  <c r="C218" i="1"/>
  <c r="C222" i="1"/>
  <c r="G35" i="3"/>
  <c r="E223" i="1" s="1"/>
  <c r="G36" i="3"/>
  <c r="E224" i="1" s="1"/>
  <c r="C226" i="1"/>
  <c r="C230" i="1"/>
  <c r="G43" i="3"/>
  <c r="E231" i="1" s="1"/>
  <c r="G45" i="3"/>
  <c r="E233" i="1" s="1"/>
  <c r="G48" i="3"/>
  <c r="E236" i="1" s="1"/>
  <c r="C238" i="1"/>
  <c r="C239" i="1"/>
  <c r="G53" i="3"/>
  <c r="E241" i="1" s="1"/>
  <c r="G55" i="3"/>
  <c r="E243" i="1" s="1"/>
  <c r="G57" i="3"/>
  <c r="E245" i="1" s="1"/>
  <c r="C246" i="1"/>
  <c r="C247" i="1"/>
  <c r="C2" i="1"/>
  <c r="D2" i="1"/>
  <c r="E2" i="1"/>
  <c r="C3" i="1"/>
  <c r="D3" i="1"/>
  <c r="E3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C36" i="1"/>
  <c r="D36" i="1"/>
  <c r="E36" i="1"/>
  <c r="C37" i="1"/>
  <c r="D37" i="1"/>
  <c r="E37" i="1"/>
  <c r="C38" i="1"/>
  <c r="D38" i="1"/>
  <c r="E38" i="1"/>
  <c r="C39" i="1"/>
  <c r="D39" i="1"/>
  <c r="E39" i="1"/>
  <c r="C40" i="1"/>
  <c r="D40" i="1"/>
  <c r="E40" i="1"/>
  <c r="C41" i="1"/>
  <c r="D41" i="1"/>
  <c r="E41" i="1"/>
  <c r="C42" i="1"/>
  <c r="D42" i="1"/>
  <c r="E42" i="1"/>
  <c r="C43" i="1"/>
  <c r="D43" i="1"/>
  <c r="E43" i="1"/>
  <c r="C44" i="1"/>
  <c r="D44" i="1"/>
  <c r="E44" i="1"/>
  <c r="C45" i="1"/>
  <c r="D45" i="1"/>
  <c r="E45" i="1"/>
  <c r="C46" i="1"/>
  <c r="D46" i="1"/>
  <c r="E46" i="1"/>
  <c r="C47" i="1"/>
  <c r="D47" i="1"/>
  <c r="E47" i="1"/>
  <c r="C48" i="1"/>
  <c r="D48" i="1"/>
  <c r="E48" i="1"/>
  <c r="C49" i="1"/>
  <c r="D49" i="1"/>
  <c r="E49" i="1"/>
  <c r="C50" i="1"/>
  <c r="D50" i="1"/>
  <c r="E50" i="1"/>
  <c r="C51" i="1"/>
  <c r="D51" i="1"/>
  <c r="E51" i="1"/>
  <c r="C52" i="1"/>
  <c r="D52" i="1"/>
  <c r="E52" i="1"/>
  <c r="C53" i="1"/>
  <c r="D53" i="1"/>
  <c r="E53" i="1"/>
  <c r="C54" i="1"/>
  <c r="D54" i="1"/>
  <c r="E54" i="1"/>
  <c r="C55" i="1"/>
  <c r="D55" i="1"/>
  <c r="E55" i="1"/>
  <c r="C56" i="1"/>
  <c r="D56" i="1"/>
  <c r="E56" i="1"/>
  <c r="C57" i="1"/>
  <c r="D57" i="1"/>
  <c r="E57" i="1"/>
  <c r="C58" i="1"/>
  <c r="D58" i="1"/>
  <c r="E58" i="1"/>
  <c r="C59" i="1"/>
  <c r="D59" i="1"/>
  <c r="E59" i="1"/>
  <c r="C60" i="1"/>
  <c r="D60" i="1"/>
  <c r="E60" i="1"/>
  <c r="C61" i="1"/>
  <c r="D61" i="1"/>
  <c r="E61" i="1"/>
  <c r="C62" i="1"/>
  <c r="D62" i="1"/>
  <c r="E62" i="1"/>
  <c r="C63" i="1"/>
  <c r="D63" i="1"/>
  <c r="E63" i="1"/>
  <c r="C64" i="1"/>
  <c r="D64" i="1"/>
  <c r="E64" i="1"/>
  <c r="C65" i="1"/>
  <c r="D65" i="1"/>
  <c r="E65" i="1"/>
  <c r="C66" i="1"/>
  <c r="D66" i="1"/>
  <c r="E66" i="1"/>
  <c r="C67" i="1"/>
  <c r="D67" i="1"/>
  <c r="E67" i="1"/>
  <c r="C68" i="1"/>
  <c r="D68" i="1"/>
  <c r="E68" i="1"/>
  <c r="C69" i="1"/>
  <c r="D69" i="1"/>
  <c r="E69" i="1"/>
  <c r="C70" i="1"/>
  <c r="D70" i="1"/>
  <c r="E70" i="1"/>
  <c r="C71" i="1"/>
  <c r="D71" i="1"/>
  <c r="E71" i="1"/>
  <c r="C72" i="1"/>
  <c r="D72" i="1"/>
  <c r="E72" i="1"/>
  <c r="C73" i="1"/>
  <c r="D73" i="1"/>
  <c r="E73" i="1"/>
  <c r="C74" i="1"/>
  <c r="D74" i="1"/>
  <c r="E74" i="1"/>
  <c r="C75" i="1"/>
  <c r="D75" i="1"/>
  <c r="E75" i="1"/>
  <c r="C76" i="1"/>
  <c r="D76" i="1"/>
  <c r="E76" i="1"/>
  <c r="C77" i="1"/>
  <c r="D77" i="1"/>
  <c r="E77" i="1"/>
  <c r="C78" i="1"/>
  <c r="D78" i="1"/>
  <c r="E78" i="1"/>
  <c r="C79" i="1"/>
  <c r="D79" i="1"/>
  <c r="E79" i="1"/>
  <c r="C80" i="1"/>
  <c r="D80" i="1"/>
  <c r="E80" i="1"/>
  <c r="C81" i="1"/>
  <c r="D81" i="1"/>
  <c r="E81" i="1"/>
  <c r="C82" i="1"/>
  <c r="D82" i="1"/>
  <c r="E82" i="1"/>
  <c r="C83" i="1"/>
  <c r="D83" i="1"/>
  <c r="E83" i="1"/>
  <c r="C84" i="1"/>
  <c r="D84" i="1"/>
  <c r="E84" i="1"/>
  <c r="C85" i="1"/>
  <c r="D85" i="1"/>
  <c r="E85" i="1"/>
  <c r="C86" i="1"/>
  <c r="D86" i="1"/>
  <c r="E86" i="1"/>
  <c r="C87" i="1"/>
  <c r="D87" i="1"/>
  <c r="E87" i="1"/>
  <c r="C88" i="1"/>
  <c r="D88" i="1"/>
  <c r="E88" i="1"/>
  <c r="C89" i="1"/>
  <c r="D89" i="1"/>
  <c r="E89" i="1"/>
  <c r="C90" i="1"/>
  <c r="D90" i="1"/>
  <c r="E90" i="1"/>
  <c r="C91" i="1"/>
  <c r="D91" i="1"/>
  <c r="E91" i="1"/>
  <c r="C92" i="1"/>
  <c r="D92" i="1"/>
  <c r="E92" i="1"/>
  <c r="C93" i="1"/>
  <c r="D93" i="1"/>
  <c r="E93" i="1"/>
  <c r="C94" i="1"/>
  <c r="D94" i="1"/>
  <c r="E94" i="1"/>
  <c r="C95" i="1"/>
  <c r="D95" i="1"/>
  <c r="E95" i="1"/>
  <c r="C96" i="1"/>
  <c r="D96" i="1"/>
  <c r="E96" i="1"/>
  <c r="C97" i="1"/>
  <c r="D97" i="1"/>
  <c r="E97" i="1"/>
  <c r="C98" i="1"/>
  <c r="D98" i="1"/>
  <c r="E98" i="1"/>
  <c r="C99" i="1"/>
  <c r="D99" i="1"/>
  <c r="E99" i="1"/>
  <c r="C100" i="1"/>
  <c r="D100" i="1"/>
  <c r="E100" i="1"/>
  <c r="C101" i="1"/>
  <c r="D101" i="1"/>
  <c r="E101" i="1"/>
  <c r="C102" i="1"/>
  <c r="D102" i="1"/>
  <c r="E102" i="1"/>
  <c r="C103" i="1"/>
  <c r="D103" i="1"/>
  <c r="E103" i="1"/>
  <c r="C104" i="1"/>
  <c r="D104" i="1"/>
  <c r="E104" i="1"/>
  <c r="C105" i="1"/>
  <c r="D105" i="1"/>
  <c r="E105" i="1"/>
  <c r="C106" i="1"/>
  <c r="D106" i="1"/>
  <c r="E106" i="1"/>
  <c r="C107" i="1"/>
  <c r="D107" i="1"/>
  <c r="E107" i="1"/>
  <c r="C108" i="1"/>
  <c r="D108" i="1"/>
  <c r="E108" i="1"/>
  <c r="C109" i="1"/>
  <c r="D109" i="1"/>
  <c r="E109" i="1"/>
  <c r="C110" i="1"/>
  <c r="D110" i="1"/>
  <c r="E110" i="1"/>
  <c r="C111" i="1"/>
  <c r="D111" i="1"/>
  <c r="E111" i="1"/>
  <c r="C112" i="1"/>
  <c r="D112" i="1"/>
  <c r="E112" i="1"/>
  <c r="C113" i="1"/>
  <c r="D113" i="1"/>
  <c r="E113" i="1"/>
  <c r="C114" i="1"/>
  <c r="D114" i="1"/>
  <c r="E114" i="1"/>
  <c r="C115" i="1"/>
  <c r="D115" i="1"/>
  <c r="E115" i="1"/>
  <c r="C116" i="1"/>
  <c r="D116" i="1"/>
  <c r="E116" i="1"/>
  <c r="C117" i="1"/>
  <c r="D117" i="1"/>
  <c r="E117" i="1"/>
  <c r="C118" i="1"/>
  <c r="D118" i="1"/>
  <c r="E118" i="1"/>
  <c r="C119" i="1"/>
  <c r="D119" i="1"/>
  <c r="E119" i="1"/>
  <c r="C120" i="1"/>
  <c r="D120" i="1"/>
  <c r="E120" i="1"/>
  <c r="C121" i="1"/>
  <c r="D121" i="1"/>
  <c r="E121" i="1"/>
  <c r="C122" i="1"/>
  <c r="D122" i="1"/>
  <c r="E122" i="1"/>
  <c r="C123" i="1"/>
  <c r="D123" i="1"/>
  <c r="E123" i="1"/>
  <c r="C124" i="1"/>
  <c r="D124" i="1"/>
  <c r="E124" i="1"/>
  <c r="C125" i="1"/>
  <c r="D125" i="1"/>
  <c r="E125" i="1"/>
  <c r="C126" i="1"/>
  <c r="D126" i="1"/>
  <c r="E126" i="1"/>
  <c r="C127" i="1"/>
  <c r="D127" i="1"/>
  <c r="E127" i="1"/>
  <c r="C128" i="1"/>
  <c r="D128" i="1"/>
  <c r="E128" i="1"/>
  <c r="C129" i="1"/>
  <c r="D129" i="1"/>
  <c r="E129" i="1"/>
  <c r="C130" i="1"/>
  <c r="D130" i="1"/>
  <c r="E130" i="1"/>
  <c r="C131" i="1"/>
  <c r="D131" i="1"/>
  <c r="E131" i="1"/>
  <c r="C132" i="1"/>
  <c r="D132" i="1"/>
  <c r="E132" i="1"/>
  <c r="C133" i="1"/>
  <c r="D133" i="1"/>
  <c r="E133" i="1"/>
  <c r="C134" i="1"/>
  <c r="D134" i="1"/>
  <c r="E134" i="1"/>
  <c r="C135" i="1"/>
  <c r="D135" i="1"/>
  <c r="E135" i="1"/>
  <c r="C136" i="1"/>
  <c r="D136" i="1"/>
  <c r="E136" i="1"/>
  <c r="C137" i="1"/>
  <c r="D137" i="1"/>
  <c r="E137" i="1"/>
  <c r="C138" i="1"/>
  <c r="D138" i="1"/>
  <c r="E138" i="1"/>
  <c r="C139" i="1"/>
  <c r="D139" i="1"/>
  <c r="E139" i="1"/>
  <c r="C140" i="1"/>
  <c r="D140" i="1"/>
  <c r="E140" i="1"/>
  <c r="C141" i="1"/>
  <c r="D141" i="1"/>
  <c r="E141" i="1"/>
  <c r="C142" i="1"/>
  <c r="D142" i="1"/>
  <c r="E142" i="1"/>
  <c r="C143" i="1"/>
  <c r="D143" i="1"/>
  <c r="E143" i="1"/>
  <c r="C144" i="1"/>
  <c r="D144" i="1"/>
  <c r="E144" i="1"/>
  <c r="C145" i="1"/>
  <c r="D145" i="1"/>
  <c r="E145" i="1"/>
  <c r="C146" i="1"/>
  <c r="D146" i="1"/>
  <c r="E146" i="1"/>
  <c r="C147" i="1"/>
  <c r="D147" i="1"/>
  <c r="E147" i="1"/>
  <c r="C148" i="1"/>
  <c r="D148" i="1"/>
  <c r="E148" i="1"/>
  <c r="C149" i="1"/>
  <c r="D149" i="1"/>
  <c r="E149" i="1"/>
  <c r="C150" i="1"/>
  <c r="D150" i="1"/>
  <c r="E150" i="1"/>
  <c r="C151" i="1"/>
  <c r="D151" i="1"/>
  <c r="E151" i="1"/>
  <c r="C152" i="1"/>
  <c r="D152" i="1"/>
  <c r="E152" i="1"/>
  <c r="C153" i="1"/>
  <c r="D153" i="1"/>
  <c r="E153" i="1"/>
  <c r="C154" i="1"/>
  <c r="D154" i="1"/>
  <c r="E154" i="1"/>
  <c r="C155" i="1"/>
  <c r="D155" i="1"/>
  <c r="E155" i="1"/>
  <c r="C156" i="1"/>
  <c r="D156" i="1"/>
  <c r="E156" i="1"/>
  <c r="C157" i="1"/>
  <c r="D157" i="1"/>
  <c r="E157" i="1"/>
  <c r="C158" i="1"/>
  <c r="D158" i="1"/>
  <c r="E158" i="1"/>
  <c r="C159" i="1"/>
  <c r="D159" i="1"/>
  <c r="E159" i="1"/>
  <c r="C160" i="1"/>
  <c r="D160" i="1"/>
  <c r="E160" i="1"/>
  <c r="C161" i="1"/>
  <c r="D161" i="1"/>
  <c r="E161" i="1"/>
  <c r="C162" i="1"/>
  <c r="D162" i="1"/>
  <c r="E162" i="1"/>
  <c r="C163" i="1"/>
  <c r="D163" i="1"/>
  <c r="E163" i="1"/>
  <c r="C164" i="1"/>
  <c r="D164" i="1"/>
  <c r="E164" i="1"/>
  <c r="C165" i="1"/>
  <c r="D165" i="1"/>
  <c r="E165" i="1"/>
  <c r="C166" i="1"/>
  <c r="D166" i="1"/>
  <c r="E166" i="1"/>
  <c r="C167" i="1"/>
  <c r="D167" i="1"/>
  <c r="E167" i="1"/>
  <c r="C168" i="1"/>
  <c r="D168" i="1"/>
  <c r="E168" i="1"/>
  <c r="C169" i="1"/>
  <c r="D169" i="1"/>
  <c r="E169" i="1"/>
  <c r="C170" i="1"/>
  <c r="D170" i="1"/>
  <c r="E170" i="1"/>
  <c r="C171" i="1"/>
  <c r="D171" i="1"/>
  <c r="E171" i="1"/>
  <c r="C172" i="1"/>
  <c r="D172" i="1"/>
  <c r="E172" i="1"/>
  <c r="C173" i="1"/>
  <c r="D173" i="1"/>
  <c r="E173" i="1"/>
  <c r="C174" i="1"/>
  <c r="D174" i="1"/>
  <c r="E174" i="1"/>
  <c r="C175" i="1"/>
  <c r="D175" i="1"/>
  <c r="E175" i="1"/>
  <c r="C176" i="1"/>
  <c r="D176" i="1"/>
  <c r="E176" i="1"/>
  <c r="C177" i="1"/>
  <c r="D177" i="1"/>
  <c r="E177" i="1"/>
  <c r="C178" i="1"/>
  <c r="D178" i="1"/>
  <c r="E178" i="1"/>
  <c r="C179" i="1"/>
  <c r="D179" i="1"/>
  <c r="E179" i="1"/>
  <c r="C180" i="1"/>
  <c r="D180" i="1"/>
  <c r="E180" i="1"/>
  <c r="C181" i="1"/>
  <c r="D181" i="1"/>
  <c r="E181" i="1"/>
  <c r="C182" i="1"/>
  <c r="D182" i="1"/>
  <c r="E182" i="1"/>
  <c r="C183" i="1"/>
  <c r="D183" i="1"/>
  <c r="E183" i="1"/>
  <c r="C184" i="1"/>
  <c r="D184" i="1"/>
  <c r="E184" i="1"/>
  <c r="C185" i="1"/>
  <c r="D185" i="1"/>
  <c r="E185" i="1"/>
  <c r="C186" i="1"/>
  <c r="D186" i="1"/>
  <c r="E186" i="1"/>
  <c r="C187" i="1"/>
  <c r="D187" i="1"/>
  <c r="E187" i="1"/>
  <c r="C188" i="1"/>
  <c r="D188" i="1"/>
  <c r="E188" i="1"/>
  <c r="C189" i="1"/>
  <c r="D189" i="1"/>
  <c r="E189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2" i="2"/>
  <c r="G17" i="4" l="1"/>
  <c r="E264" i="1" s="1"/>
  <c r="G9" i="4"/>
  <c r="E256" i="1" s="1"/>
  <c r="G48" i="4"/>
  <c r="E295" i="1" s="1"/>
  <c r="G40" i="4"/>
  <c r="E287" i="1" s="1"/>
  <c r="G32" i="4"/>
  <c r="E279" i="1" s="1"/>
  <c r="G24" i="4"/>
  <c r="E271" i="1" s="1"/>
  <c r="G16" i="4"/>
  <c r="E263" i="1" s="1"/>
  <c r="G8" i="4"/>
  <c r="E255" i="1" s="1"/>
  <c r="G15" i="4"/>
  <c r="E262" i="1" s="1"/>
  <c r="G7" i="4"/>
  <c r="E254" i="1" s="1"/>
  <c r="E293" i="1"/>
  <c r="G38" i="4"/>
  <c r="E285" i="1" s="1"/>
  <c r="G30" i="4"/>
  <c r="E277" i="1" s="1"/>
  <c r="G22" i="4"/>
  <c r="E269" i="1" s="1"/>
  <c r="G14" i="4"/>
  <c r="E261" i="1" s="1"/>
  <c r="G6" i="4"/>
  <c r="E253" i="1" s="1"/>
  <c r="G2" i="4"/>
  <c r="E249" i="1" s="1"/>
  <c r="G45" i="4"/>
  <c r="G37" i="4"/>
  <c r="E284" i="1" s="1"/>
  <c r="G29" i="4"/>
  <c r="E276" i="1" s="1"/>
  <c r="G21" i="4"/>
  <c r="E268" i="1" s="1"/>
  <c r="G13" i="4"/>
  <c r="E260" i="1" s="1"/>
  <c r="G5" i="4"/>
  <c r="G20" i="4"/>
  <c r="E267" i="1" s="1"/>
  <c r="G12" i="4"/>
  <c r="E259" i="1" s="1"/>
  <c r="G4" i="4"/>
  <c r="E251" i="1" s="1"/>
  <c r="G19" i="4"/>
  <c r="E266" i="1" s="1"/>
  <c r="G11" i="4"/>
  <c r="E258" i="1" s="1"/>
  <c r="E278" i="1"/>
  <c r="E270" i="1"/>
  <c r="E275" i="1"/>
  <c r="E274" i="1"/>
  <c r="E281" i="1"/>
  <c r="E273" i="1"/>
  <c r="E280" i="1"/>
  <c r="E272" i="1"/>
  <c r="E252" i="1"/>
  <c r="E250" i="1"/>
  <c r="G47" i="3"/>
  <c r="E235" i="1" s="1"/>
  <c r="G27" i="3"/>
  <c r="E215" i="1" s="1"/>
  <c r="G18" i="3"/>
  <c r="E206" i="1" s="1"/>
  <c r="G31" i="3"/>
  <c r="E219" i="1" s="1"/>
  <c r="G26" i="3"/>
  <c r="E214" i="1" s="1"/>
  <c r="D237" i="1"/>
  <c r="G54" i="3"/>
  <c r="E242" i="1" s="1"/>
  <c r="G46" i="3"/>
  <c r="E234" i="1" s="1"/>
  <c r="G3" i="3"/>
  <c r="E191" i="1" s="1"/>
  <c r="G41" i="3"/>
  <c r="E229" i="1" s="1"/>
  <c r="G11" i="3"/>
  <c r="E199" i="1" s="1"/>
  <c r="G33" i="3"/>
  <c r="E221" i="1" s="1"/>
  <c r="C205" i="1"/>
  <c r="G39" i="3"/>
  <c r="E227" i="1" s="1"/>
  <c r="G24" i="3"/>
  <c r="E212" i="1" s="1"/>
  <c r="C248" i="1"/>
  <c r="C245" i="1"/>
  <c r="C215" i="1"/>
  <c r="C201" i="1"/>
  <c r="G38" i="3"/>
  <c r="E226" i="1" s="1"/>
  <c r="G30" i="3"/>
  <c r="E218" i="1" s="1"/>
  <c r="G16" i="3"/>
  <c r="E204" i="1" s="1"/>
  <c r="G9" i="3"/>
  <c r="E197" i="1" s="1"/>
  <c r="C237" i="1"/>
  <c r="C208" i="1"/>
  <c r="G52" i="3"/>
  <c r="E240" i="1" s="1"/>
  <c r="G44" i="3"/>
  <c r="E232" i="1" s="1"/>
  <c r="G37" i="3"/>
  <c r="E225" i="1" s="1"/>
  <c r="G15" i="3"/>
  <c r="E203" i="1" s="1"/>
  <c r="G8" i="3"/>
  <c r="E196" i="1" s="1"/>
  <c r="C244" i="1"/>
  <c r="C223" i="1"/>
  <c r="C220" i="1"/>
  <c r="C214" i="1"/>
  <c r="C198" i="1"/>
  <c r="C194" i="1"/>
  <c r="G59" i="3"/>
  <c r="E247" i="1" s="1"/>
  <c r="G51" i="3"/>
  <c r="E239" i="1" s="1"/>
  <c r="G29" i="3"/>
  <c r="E217" i="1" s="1"/>
  <c r="G22" i="3"/>
  <c r="E210" i="1" s="1"/>
  <c r="C236" i="1"/>
  <c r="C207" i="1"/>
  <c r="C200" i="1"/>
  <c r="D190" i="1"/>
  <c r="G58" i="3"/>
  <c r="E246" i="1" s="1"/>
  <c r="G50" i="3"/>
  <c r="E238" i="1" s="1"/>
  <c r="G42" i="3"/>
  <c r="E230" i="1" s="1"/>
  <c r="G28" i="3"/>
  <c r="E216" i="1" s="1"/>
  <c r="G21" i="3"/>
  <c r="E209" i="1" s="1"/>
  <c r="C243" i="1"/>
  <c r="C219" i="1"/>
  <c r="C213" i="1"/>
  <c r="G34" i="3"/>
  <c r="E222" i="1" s="1"/>
  <c r="G5" i="3"/>
  <c r="E193" i="1" s="1"/>
  <c r="G4" i="3"/>
  <c r="E192" i="1" s="1"/>
  <c r="G40" i="3"/>
  <c r="E228" i="1" s="1"/>
  <c r="C234" i="1"/>
  <c r="E292" i="1" l="1"/>
  <c r="E45" i="4"/>
  <c r="C292" i="1" s="1"/>
</calcChain>
</file>

<file path=xl/sharedStrings.xml><?xml version="1.0" encoding="utf-8"?>
<sst xmlns="http://schemas.openxmlformats.org/spreadsheetml/2006/main" count="159" uniqueCount="39">
  <si>
    <t>P</t>
  </si>
  <si>
    <t>T</t>
  </si>
  <si>
    <t>rho</t>
  </si>
  <si>
    <t>P (atm)</t>
  </si>
  <si>
    <t>T ©</t>
  </si>
  <si>
    <t>T (C)</t>
  </si>
  <si>
    <t>rho (cc/g)</t>
  </si>
  <si>
    <t>P (Pa)</t>
  </si>
  <si>
    <t>T (K)</t>
  </si>
  <si>
    <t>rho (kg/m3)</t>
  </si>
  <si>
    <t>T(K)</t>
  </si>
  <si>
    <t>rho(kg/m3)</t>
  </si>
  <si>
    <t>Paper</t>
  </si>
  <si>
    <t>table or figure or page</t>
  </si>
  <si>
    <t>Z</t>
  </si>
  <si>
    <t>T(C)</t>
  </si>
  <si>
    <t>1/V (mol/L)</t>
  </si>
  <si>
    <t>M_NH3</t>
  </si>
  <si>
    <t>rho (mol/L)</t>
  </si>
  <si>
    <t>P (Mpa)</t>
  </si>
  <si>
    <t>rho (g/cm3)</t>
  </si>
  <si>
    <t>T (deg)</t>
  </si>
  <si>
    <t>P (MPa)</t>
  </si>
  <si>
    <t>rho (cm3/g)</t>
  </si>
  <si>
    <t>R_NH3</t>
  </si>
  <si>
    <t>p</t>
  </si>
  <si>
    <t>rho (g/L)</t>
  </si>
  <si>
    <t>-</t>
  </si>
  <si>
    <t>P (bar)</t>
  </si>
  <si>
    <t>P (kPa)</t>
  </si>
  <si>
    <t>rho (cm3/mol)</t>
  </si>
  <si>
    <t>P*v (atm*cc/g)</t>
  </si>
  <si>
    <t>P (lbs/in2)</t>
  </si>
  <si>
    <t>T (F)</t>
  </si>
  <si>
    <t>v (ft3/lb)</t>
  </si>
  <si>
    <t>v (cm3/g)</t>
  </si>
  <si>
    <t>P (kg/cm2)</t>
  </si>
  <si>
    <t>(from EOS.py)</t>
  </si>
  <si>
    <t>PV (atm*cc/g)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</si>
</sst>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'0376 page 464'!$B$303:$B$320</c:f>
              <c:numCache>
                <c:formatCode>General</c:formatCode>
                <c:ptCount val="18"/>
                <c:pt idx="0">
                  <c:v>310</c:v>
                </c:pt>
                <c:pt idx="1">
                  <c:v>320</c:v>
                </c:pt>
                <c:pt idx="2">
                  <c:v>330</c:v>
                </c:pt>
                <c:pt idx="3">
                  <c:v>340</c:v>
                </c:pt>
                <c:pt idx="4">
                  <c:v>350</c:v>
                </c:pt>
                <c:pt idx="5">
                  <c:v>360</c:v>
                </c:pt>
                <c:pt idx="6">
                  <c:v>370</c:v>
                </c:pt>
                <c:pt idx="7">
                  <c:v>380</c:v>
                </c:pt>
                <c:pt idx="8">
                  <c:v>390</c:v>
                </c:pt>
                <c:pt idx="9">
                  <c:v>400</c:v>
                </c:pt>
                <c:pt idx="10">
                  <c:v>420</c:v>
                </c:pt>
                <c:pt idx="11">
                  <c:v>440</c:v>
                </c:pt>
                <c:pt idx="12">
                  <c:v>460</c:v>
                </c:pt>
                <c:pt idx="13">
                  <c:v>480</c:v>
                </c:pt>
                <c:pt idx="14">
                  <c:v>500</c:v>
                </c:pt>
                <c:pt idx="15">
                  <c:v>520</c:v>
                </c:pt>
                <c:pt idx="16">
                  <c:v>540</c:v>
                </c:pt>
                <c:pt idx="17">
                  <c:v>560</c:v>
                </c:pt>
              </c:numCache>
            </c:numRef>
          </c:xVal>
          <c:yVal>
            <c:numRef>
              <c:f>'0376 page 464'!$G$303:$G$320</c:f>
              <c:numCache>
                <c:formatCode>General</c:formatCode>
                <c:ptCount val="18"/>
                <c:pt idx="0">
                  <c:v>602.40963855421694</c:v>
                </c:pt>
                <c:pt idx="1">
                  <c:v>591.71597633136093</c:v>
                </c:pt>
                <c:pt idx="2">
                  <c:v>578.03468208092488</c:v>
                </c:pt>
                <c:pt idx="3">
                  <c:v>561.79775280898878</c:v>
                </c:pt>
                <c:pt idx="4">
                  <c:v>546.44808743169403</c:v>
                </c:pt>
                <c:pt idx="5">
                  <c:v>526.31578947368416</c:v>
                </c:pt>
                <c:pt idx="6">
                  <c:v>510.20408163265313</c:v>
                </c:pt>
                <c:pt idx="7">
                  <c:v>487.80487804878055</c:v>
                </c:pt>
                <c:pt idx="8">
                  <c:v>465.11627906976747</c:v>
                </c:pt>
                <c:pt idx="9">
                  <c:v>440.52863436123346</c:v>
                </c:pt>
                <c:pt idx="10">
                  <c:v>371.74721189591082</c:v>
                </c:pt>
                <c:pt idx="11">
                  <c:v>268.81720430107526</c:v>
                </c:pt>
                <c:pt idx="12">
                  <c:v>183.48623853211009</c:v>
                </c:pt>
                <c:pt idx="13">
                  <c:v>143.67816091954023</c:v>
                </c:pt>
                <c:pt idx="14">
                  <c:v>121.50668286755771</c:v>
                </c:pt>
                <c:pt idx="15">
                  <c:v>108.10810810810813</c:v>
                </c:pt>
                <c:pt idx="16">
                  <c:v>98.135426889106967</c:v>
                </c:pt>
                <c:pt idx="17">
                  <c:v>90.334236675700097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F2-4297-B4CF-969A096A4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665952"/>
        <c:axId val="2008666432"/>
      </c:scatterChart>
      <c:valAx>
        <c:axId val="200866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66432"/>
        <c:crosses val="autoZero"/>
        <c:crossBetween val="midCat"/>
      </c:valAx>
      <c:valAx>
        <c:axId val="200866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6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'0376 page 464'!$B$357:$B$374</c:f>
              <c:numCache>
                <c:formatCode>General</c:formatCode>
                <c:ptCount val="18"/>
                <c:pt idx="0">
                  <c:v>310</c:v>
                </c:pt>
                <c:pt idx="1">
                  <c:v>320</c:v>
                </c:pt>
                <c:pt idx="2">
                  <c:v>330</c:v>
                </c:pt>
                <c:pt idx="3">
                  <c:v>340</c:v>
                </c:pt>
                <c:pt idx="4">
                  <c:v>350</c:v>
                </c:pt>
                <c:pt idx="5">
                  <c:v>360</c:v>
                </c:pt>
                <c:pt idx="6">
                  <c:v>370</c:v>
                </c:pt>
                <c:pt idx="7">
                  <c:v>380</c:v>
                </c:pt>
                <c:pt idx="8">
                  <c:v>390</c:v>
                </c:pt>
                <c:pt idx="9">
                  <c:v>400</c:v>
                </c:pt>
                <c:pt idx="10">
                  <c:v>420</c:v>
                </c:pt>
                <c:pt idx="11">
                  <c:v>440</c:v>
                </c:pt>
                <c:pt idx="12">
                  <c:v>460</c:v>
                </c:pt>
                <c:pt idx="13">
                  <c:v>480</c:v>
                </c:pt>
                <c:pt idx="14">
                  <c:v>500</c:v>
                </c:pt>
                <c:pt idx="15">
                  <c:v>520</c:v>
                </c:pt>
                <c:pt idx="16">
                  <c:v>540</c:v>
                </c:pt>
                <c:pt idx="17">
                  <c:v>560</c:v>
                </c:pt>
              </c:numCache>
            </c:numRef>
          </c:xVal>
          <c:yVal>
            <c:numRef>
              <c:f>'0376 page 464'!$C$357:$C$374</c:f>
              <c:numCache>
                <c:formatCode>General</c:formatCode>
                <c:ptCount val="18"/>
                <c:pt idx="0">
                  <c:v>1.64</c:v>
                </c:pt>
                <c:pt idx="1">
                  <c:v>1.67</c:v>
                </c:pt>
                <c:pt idx="2">
                  <c:v>1.71</c:v>
                </c:pt>
                <c:pt idx="3">
                  <c:v>1.76</c:v>
                </c:pt>
                <c:pt idx="4">
                  <c:v>1.81</c:v>
                </c:pt>
                <c:pt idx="5">
                  <c:v>1.86</c:v>
                </c:pt>
                <c:pt idx="6">
                  <c:v>1.92</c:v>
                </c:pt>
                <c:pt idx="7">
                  <c:v>1.99</c:v>
                </c:pt>
                <c:pt idx="8">
                  <c:v>2.08</c:v>
                </c:pt>
                <c:pt idx="9">
                  <c:v>2.17</c:v>
                </c:pt>
                <c:pt idx="10">
                  <c:v>2.4300000000000002</c:v>
                </c:pt>
                <c:pt idx="11">
                  <c:v>2.85</c:v>
                </c:pt>
                <c:pt idx="12">
                  <c:v>2.99</c:v>
                </c:pt>
                <c:pt idx="13">
                  <c:v>4.55</c:v>
                </c:pt>
                <c:pt idx="14">
                  <c:v>5.55</c:v>
                </c:pt>
                <c:pt idx="15">
                  <c:v>6.44</c:v>
                </c:pt>
                <c:pt idx="16">
                  <c:v>7.27</c:v>
                </c:pt>
                <c:pt idx="17">
                  <c:v>8.01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90-4164-B5EA-5C243F973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4806816"/>
        <c:axId val="2004807296"/>
      </c:scatterChart>
      <c:valAx>
        <c:axId val="200480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807296"/>
        <c:crosses val="autoZero"/>
        <c:crossBetween val="midCat"/>
      </c:valAx>
      <c:valAx>
        <c:axId val="200480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806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297</xdr:row>
      <xdr:rowOff>166687</xdr:rowOff>
    </xdr:from>
    <xdr:to>
      <xdr:col>15</xdr:col>
      <xdr:colOff>19050</xdr:colOff>
      <xdr:row>312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6D0D16-7FC8-F0F1-32EC-EDAAF8612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238125</xdr:colOff>
      <xdr:row>358</xdr:row>
      <xdr:rowOff>79375</xdr:rowOff>
    </xdr:from>
    <xdr:to>
      <xdr:col>10</xdr:col>
      <xdr:colOff>333375</xdr:colOff>
      <xdr:row>372</xdr:row>
      <xdr:rowOff>155575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685988-F013-05C4-F42F-81DBAD7BA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80"/>
  <sheetViews>
    <sheetView tabSelected="1" topLeftCell="A602" workbookViewId="0">
      <selection activeCell="E602" activeCellId="3" sqref="A1:A1048576 C1:C1048576 D1:D1048576 E1:E1048576"/>
    </sheetView>
  </sheetViews>
  <sheetFormatPr defaultRowHeight="14.5" x14ac:dyDescent="0.35"/>
  <sheetData>
    <row r="1" spans="1:7" x14ac:dyDescent="0.35">
      <c r="A1" t="s">
        <v>12</v>
      </c>
      <c r="B1" t="s">
        <v>13</v>
      </c>
      <c r="C1" t="s">
        <v>0</v>
      </c>
      <c r="D1" t="s">
        <v>1</v>
      </c>
      <c r="E1" t="s">
        <v>2</v>
      </c>
      <c r="G1" t="s">
        <v>0</v>
      </c>
    </row>
    <row r="2" spans="1:7" x14ac:dyDescent="0.35">
      <c r="A2">
        <v>357</v>
      </c>
      <c r="B2">
        <v>2</v>
      </c>
      <c r="C2">
        <f>'0357 table 2'!E2</f>
        <v>2998206.75</v>
      </c>
      <c r="D2">
        <f>'0357 table 2'!F2</f>
        <v>598.15</v>
      </c>
      <c r="E2">
        <f>'0357 table 2'!G2</f>
        <v>10.526315789473685</v>
      </c>
      <c r="G2">
        <v>2998206.75</v>
      </c>
    </row>
    <row r="3" spans="1:7" x14ac:dyDescent="0.35">
      <c r="A3">
        <v>357</v>
      </c>
      <c r="B3">
        <v>2</v>
      </c>
      <c r="C3">
        <f>'0357 table 2'!E3</f>
        <v>3163366.5</v>
      </c>
      <c r="D3">
        <f>'0357 table 2'!F3</f>
        <v>598.15</v>
      </c>
      <c r="E3">
        <f>'0357 table 2'!G3</f>
        <v>11.111111111111112</v>
      </c>
      <c r="G3">
        <v>3163366.5</v>
      </c>
    </row>
    <row r="4" spans="1:7" x14ac:dyDescent="0.35">
      <c r="A4">
        <v>357</v>
      </c>
      <c r="B4">
        <v>2</v>
      </c>
      <c r="C4">
        <f>'0357 table 2'!E4</f>
        <v>3550428</v>
      </c>
      <c r="D4">
        <f>'0357 table 2'!F4</f>
        <v>598.15</v>
      </c>
      <c r="E4">
        <f>'0357 table 2'!G4</f>
        <v>12.5</v>
      </c>
      <c r="G4">
        <v>3550428</v>
      </c>
    </row>
    <row r="5" spans="1:7" x14ac:dyDescent="0.35">
      <c r="A5">
        <v>357</v>
      </c>
      <c r="B5">
        <v>2</v>
      </c>
      <c r="C5">
        <f>'0357 table 2'!E5</f>
        <v>4042867.5</v>
      </c>
      <c r="D5">
        <f>'0357 table 2'!F5</f>
        <v>598.15</v>
      </c>
      <c r="E5">
        <f>'0357 table 2'!G5</f>
        <v>14.285714285714285</v>
      </c>
      <c r="G5">
        <v>4042867.5</v>
      </c>
    </row>
    <row r="6" spans="1:7" x14ac:dyDescent="0.35">
      <c r="A6">
        <v>357</v>
      </c>
      <c r="B6">
        <v>2</v>
      </c>
      <c r="C6">
        <f>'0357 table 2'!E6</f>
        <v>4695400.5</v>
      </c>
      <c r="D6">
        <f>'0357 table 2'!F6</f>
        <v>598.15</v>
      </c>
      <c r="E6">
        <f>'0357 table 2'!G6</f>
        <v>16.666666666666668</v>
      </c>
      <c r="G6">
        <v>4695400.5</v>
      </c>
    </row>
    <row r="7" spans="1:7" x14ac:dyDescent="0.35">
      <c r="A7">
        <v>357</v>
      </c>
      <c r="B7">
        <v>2</v>
      </c>
      <c r="C7">
        <f>'0357 table 2'!E7</f>
        <v>5597193</v>
      </c>
      <c r="D7">
        <f>'0357 table 2'!F7</f>
        <v>598.15</v>
      </c>
      <c r="E7">
        <f>'0357 table 2'!G7</f>
        <v>20</v>
      </c>
      <c r="G7">
        <v>5597193</v>
      </c>
    </row>
    <row r="8" spans="1:7" x14ac:dyDescent="0.35">
      <c r="A8">
        <v>357</v>
      </c>
      <c r="B8">
        <v>2</v>
      </c>
      <c r="C8">
        <f>'0357 table 2'!E8</f>
        <v>6191970.75</v>
      </c>
      <c r="D8">
        <f>'0357 table 2'!F8</f>
        <v>598.15</v>
      </c>
      <c r="E8">
        <f>'0357 table 2'!G8</f>
        <v>22.222222222222225</v>
      </c>
      <c r="G8">
        <v>6191970.75</v>
      </c>
    </row>
    <row r="9" spans="1:7" x14ac:dyDescent="0.35">
      <c r="A9">
        <v>357</v>
      </c>
      <c r="B9">
        <v>2</v>
      </c>
      <c r="C9">
        <f>'0357 table 2'!E9</f>
        <v>6926577</v>
      </c>
      <c r="D9">
        <f>'0357 table 2'!F9</f>
        <v>598.15</v>
      </c>
      <c r="E9">
        <f>'0357 table 2'!G9</f>
        <v>25</v>
      </c>
      <c r="G9">
        <v>6926577</v>
      </c>
    </row>
    <row r="10" spans="1:7" x14ac:dyDescent="0.35">
      <c r="A10">
        <v>357</v>
      </c>
      <c r="B10">
        <v>2</v>
      </c>
      <c r="C10">
        <f>'0357 table 2'!E10</f>
        <v>7861806.75</v>
      </c>
      <c r="D10">
        <f>'0357 table 2'!F10</f>
        <v>598.15</v>
      </c>
      <c r="E10">
        <f>'0357 table 2'!G10</f>
        <v>28.571428571428569</v>
      </c>
      <c r="G10">
        <v>7861806.75</v>
      </c>
    </row>
    <row r="11" spans="1:7" x14ac:dyDescent="0.35">
      <c r="A11">
        <v>357</v>
      </c>
      <c r="B11">
        <v>2</v>
      </c>
      <c r="C11">
        <f>'0357 table 2'!E11</f>
        <v>9087839.25</v>
      </c>
      <c r="D11">
        <f>'0357 table 2'!F11</f>
        <v>598.15</v>
      </c>
      <c r="E11">
        <f>'0357 table 2'!G11</f>
        <v>33.333333333333336</v>
      </c>
      <c r="G11">
        <v>9087839.25</v>
      </c>
    </row>
    <row r="12" spans="1:7" x14ac:dyDescent="0.35">
      <c r="A12">
        <v>357</v>
      </c>
      <c r="B12">
        <v>2</v>
      </c>
      <c r="C12">
        <f>'0357 table 2'!E12</f>
        <v>10765781.25</v>
      </c>
      <c r="D12">
        <f>'0357 table 2'!F12</f>
        <v>598.15</v>
      </c>
      <c r="E12">
        <f>'0357 table 2'!G12</f>
        <v>40</v>
      </c>
      <c r="G12">
        <v>10765781.25</v>
      </c>
    </row>
    <row r="13" spans="1:7" x14ac:dyDescent="0.35">
      <c r="A13">
        <v>357</v>
      </c>
      <c r="B13">
        <v>2</v>
      </c>
      <c r="C13">
        <f>'0357 table 2'!E13</f>
        <v>13212780</v>
      </c>
      <c r="D13">
        <f>'0357 table 2'!F13</f>
        <v>598.15</v>
      </c>
      <c r="E13">
        <f>'0357 table 2'!G13</f>
        <v>50</v>
      </c>
      <c r="G13">
        <v>13212780</v>
      </c>
    </row>
    <row r="14" spans="1:7" x14ac:dyDescent="0.35">
      <c r="A14">
        <v>357</v>
      </c>
      <c r="B14">
        <v>2</v>
      </c>
      <c r="C14">
        <f>'0357 table 2'!E14</f>
        <v>2866484.25</v>
      </c>
      <c r="D14">
        <f>'0357 table 2'!F14</f>
        <v>573.15</v>
      </c>
      <c r="E14">
        <f>'0357 table 2'!G14</f>
        <v>10.526315789473685</v>
      </c>
      <c r="G14">
        <v>2866484.25</v>
      </c>
    </row>
    <row r="15" spans="1:7" x14ac:dyDescent="0.35">
      <c r="A15">
        <v>357</v>
      </c>
      <c r="B15">
        <v>2</v>
      </c>
      <c r="C15">
        <f>'0357 table 2'!E15</f>
        <v>3023538</v>
      </c>
      <c r="D15">
        <f>'0357 table 2'!F15</f>
        <v>573.15</v>
      </c>
      <c r="E15">
        <f>'0357 table 2'!G15</f>
        <v>11.111111111111112</v>
      </c>
      <c r="G15">
        <v>3023538</v>
      </c>
    </row>
    <row r="16" spans="1:7" x14ac:dyDescent="0.35">
      <c r="A16">
        <v>357</v>
      </c>
      <c r="B16">
        <v>2</v>
      </c>
      <c r="C16">
        <f>'0357 table 2'!E16</f>
        <v>3389321.2500000005</v>
      </c>
      <c r="D16">
        <f>'0357 table 2'!F16</f>
        <v>573.15</v>
      </c>
      <c r="E16">
        <f>'0357 table 2'!G16</f>
        <v>12.5</v>
      </c>
      <c r="G16">
        <v>3389321.2500000005</v>
      </c>
    </row>
    <row r="17" spans="1:7" x14ac:dyDescent="0.35">
      <c r="A17">
        <v>357</v>
      </c>
      <c r="B17">
        <v>2</v>
      </c>
      <c r="C17">
        <f>'0357 table 2'!E17</f>
        <v>3858456</v>
      </c>
      <c r="D17">
        <f>'0357 table 2'!F17</f>
        <v>573.15</v>
      </c>
      <c r="E17">
        <f>'0357 table 2'!G17</f>
        <v>14.285714285714285</v>
      </c>
      <c r="G17">
        <v>3858456</v>
      </c>
    </row>
    <row r="18" spans="1:7" x14ac:dyDescent="0.35">
      <c r="A18">
        <v>357</v>
      </c>
      <c r="B18">
        <v>2</v>
      </c>
      <c r="C18">
        <f>'0357 table 2'!E18</f>
        <v>4476538.5</v>
      </c>
      <c r="D18">
        <f>'0357 table 2'!F18</f>
        <v>573.15</v>
      </c>
      <c r="E18">
        <f>'0357 table 2'!G18</f>
        <v>16.666666666666668</v>
      </c>
      <c r="G18">
        <v>4476538.5</v>
      </c>
    </row>
    <row r="19" spans="1:7" x14ac:dyDescent="0.35">
      <c r="A19">
        <v>357</v>
      </c>
      <c r="B19">
        <v>2</v>
      </c>
      <c r="C19">
        <f>'0357 table 2'!E19</f>
        <v>5331721.5</v>
      </c>
      <c r="D19">
        <f>'0357 table 2'!F19</f>
        <v>573.15</v>
      </c>
      <c r="E19">
        <f>'0357 table 2'!G19</f>
        <v>20</v>
      </c>
      <c r="G19">
        <v>5331721.5</v>
      </c>
    </row>
    <row r="20" spans="1:7" x14ac:dyDescent="0.35">
      <c r="A20">
        <v>357</v>
      </c>
      <c r="B20">
        <v>2</v>
      </c>
      <c r="C20">
        <f>'0357 table 2'!E20</f>
        <v>5893062</v>
      </c>
      <c r="D20">
        <f>'0357 table 2'!F20</f>
        <v>573.15</v>
      </c>
      <c r="E20">
        <f>'0357 table 2'!G20</f>
        <v>22.222222222222225</v>
      </c>
      <c r="G20">
        <v>5893062</v>
      </c>
    </row>
    <row r="21" spans="1:7" x14ac:dyDescent="0.35">
      <c r="A21">
        <v>357</v>
      </c>
      <c r="B21">
        <v>2</v>
      </c>
      <c r="C21">
        <f>'0357 table 2'!E21</f>
        <v>6589164.75</v>
      </c>
      <c r="D21">
        <f>'0357 table 2'!F21</f>
        <v>573.15</v>
      </c>
      <c r="E21">
        <f>'0357 table 2'!G21</f>
        <v>25</v>
      </c>
      <c r="G21">
        <v>6589164.75</v>
      </c>
    </row>
    <row r="22" spans="1:7" x14ac:dyDescent="0.35">
      <c r="A22">
        <v>357</v>
      </c>
      <c r="B22">
        <v>2</v>
      </c>
      <c r="C22">
        <f>'0357 table 2'!E22</f>
        <v>7465626.0000000009</v>
      </c>
      <c r="D22">
        <f>'0357 table 2'!F22</f>
        <v>573.15</v>
      </c>
      <c r="E22">
        <f>'0357 table 2'!G22</f>
        <v>28.571428571428569</v>
      </c>
      <c r="G22">
        <v>7465626.0000000009</v>
      </c>
    </row>
    <row r="23" spans="1:7" x14ac:dyDescent="0.35">
      <c r="A23">
        <v>357</v>
      </c>
      <c r="B23">
        <v>2</v>
      </c>
      <c r="C23">
        <f>'0357 table 2'!E23</f>
        <v>8621744.25</v>
      </c>
      <c r="D23">
        <f>'0357 table 2'!F23</f>
        <v>573.15</v>
      </c>
      <c r="E23">
        <f>'0357 table 2'!G23</f>
        <v>33.333333333333336</v>
      </c>
      <c r="G23">
        <v>8621744.25</v>
      </c>
    </row>
    <row r="24" spans="1:7" x14ac:dyDescent="0.35">
      <c r="A24">
        <v>357</v>
      </c>
      <c r="B24">
        <v>2</v>
      </c>
      <c r="C24">
        <f>'0357 table 2'!E24</f>
        <v>10194308.25</v>
      </c>
      <c r="D24">
        <f>'0357 table 2'!F24</f>
        <v>573.15</v>
      </c>
      <c r="E24">
        <f>'0357 table 2'!G24</f>
        <v>40</v>
      </c>
      <c r="G24">
        <v>10194308.25</v>
      </c>
    </row>
    <row r="25" spans="1:7" x14ac:dyDescent="0.35">
      <c r="A25">
        <v>357</v>
      </c>
      <c r="B25">
        <v>2</v>
      </c>
      <c r="C25">
        <f>'0357 table 2'!E25</f>
        <v>12473107.5</v>
      </c>
      <c r="D25">
        <f>'0357 table 2'!F25</f>
        <v>573.15</v>
      </c>
      <c r="E25">
        <f>'0357 table 2'!G25</f>
        <v>50</v>
      </c>
      <c r="G25">
        <v>12473107.5</v>
      </c>
    </row>
    <row r="26" spans="1:7" x14ac:dyDescent="0.35">
      <c r="A26">
        <v>357</v>
      </c>
      <c r="B26">
        <v>2</v>
      </c>
      <c r="C26">
        <f>'0357 table 2'!E26</f>
        <v>2733748.5</v>
      </c>
      <c r="D26">
        <f>'0357 table 2'!F26</f>
        <v>548.15</v>
      </c>
      <c r="E26">
        <f>'0357 table 2'!G26</f>
        <v>10.526315789473685</v>
      </c>
      <c r="G26">
        <v>2733748.5</v>
      </c>
    </row>
    <row r="27" spans="1:7" x14ac:dyDescent="0.35">
      <c r="A27">
        <v>357</v>
      </c>
      <c r="B27">
        <v>2</v>
      </c>
      <c r="C27">
        <f>'0357 table 2'!E27</f>
        <v>2881683</v>
      </c>
      <c r="D27">
        <f>'0357 table 2'!F27</f>
        <v>548.15</v>
      </c>
      <c r="E27">
        <f>'0357 table 2'!G27</f>
        <v>11.111111111111112</v>
      </c>
      <c r="G27">
        <v>2881683</v>
      </c>
    </row>
    <row r="28" spans="1:7" x14ac:dyDescent="0.35">
      <c r="A28">
        <v>357</v>
      </c>
      <c r="B28">
        <v>2</v>
      </c>
      <c r="C28">
        <f>'0357 table 2'!E28</f>
        <v>3229227.75</v>
      </c>
      <c r="D28">
        <f>'0357 table 2'!F28</f>
        <v>548.15</v>
      </c>
      <c r="E28">
        <f>'0357 table 2'!G28</f>
        <v>12.5</v>
      </c>
      <c r="G28">
        <v>3229227.75</v>
      </c>
    </row>
    <row r="29" spans="1:7" x14ac:dyDescent="0.35">
      <c r="A29">
        <v>357</v>
      </c>
      <c r="B29">
        <v>2</v>
      </c>
      <c r="C29">
        <f>'0357 table 2'!E29</f>
        <v>3673031.25</v>
      </c>
      <c r="D29">
        <f>'0357 table 2'!F29</f>
        <v>548.15</v>
      </c>
      <c r="E29">
        <f>'0357 table 2'!G29</f>
        <v>14.285714285714285</v>
      </c>
      <c r="G29">
        <v>3673031.25</v>
      </c>
    </row>
    <row r="30" spans="1:7" x14ac:dyDescent="0.35">
      <c r="A30">
        <v>357</v>
      </c>
      <c r="B30">
        <v>2</v>
      </c>
      <c r="C30">
        <f>'0357 table 2'!E30</f>
        <v>4255650</v>
      </c>
      <c r="D30">
        <f>'0357 table 2'!F30</f>
        <v>548.15</v>
      </c>
      <c r="E30">
        <f>'0357 table 2'!G30</f>
        <v>16.666666666666668</v>
      </c>
      <c r="G30">
        <v>4255650</v>
      </c>
    </row>
    <row r="31" spans="1:7" x14ac:dyDescent="0.35">
      <c r="A31">
        <v>357</v>
      </c>
      <c r="B31">
        <v>2</v>
      </c>
      <c r="C31">
        <f>'0357 table 2'!E31</f>
        <v>5062197</v>
      </c>
      <c r="D31">
        <f>'0357 table 2'!F31</f>
        <v>548.15</v>
      </c>
      <c r="E31">
        <f>'0357 table 2'!G31</f>
        <v>20</v>
      </c>
      <c r="G31">
        <v>5062197</v>
      </c>
    </row>
    <row r="32" spans="1:7" x14ac:dyDescent="0.35">
      <c r="A32">
        <v>357</v>
      </c>
      <c r="B32">
        <v>2</v>
      </c>
      <c r="C32">
        <f>'0357 table 2'!E32</f>
        <v>5591113.5</v>
      </c>
      <c r="D32">
        <f>'0357 table 2'!F32</f>
        <v>548.15</v>
      </c>
      <c r="E32">
        <f>'0357 table 2'!G32</f>
        <v>22.222222222222225</v>
      </c>
      <c r="G32">
        <v>5591113.5</v>
      </c>
    </row>
    <row r="33" spans="1:7" x14ac:dyDescent="0.35">
      <c r="A33">
        <v>357</v>
      </c>
      <c r="B33">
        <v>2</v>
      </c>
      <c r="C33">
        <f>'0357 table 2'!E33</f>
        <v>6243646.5</v>
      </c>
      <c r="D33">
        <f>'0357 table 2'!F33</f>
        <v>548.15</v>
      </c>
      <c r="E33">
        <f>'0357 table 2'!G33</f>
        <v>25</v>
      </c>
      <c r="G33">
        <v>6243646.5</v>
      </c>
    </row>
    <row r="34" spans="1:7" x14ac:dyDescent="0.35">
      <c r="A34">
        <v>357</v>
      </c>
      <c r="B34">
        <v>2</v>
      </c>
      <c r="C34">
        <f>'0357 table 2'!E34</f>
        <v>7069445.25</v>
      </c>
      <c r="D34">
        <f>'0357 table 2'!F34</f>
        <v>548.15</v>
      </c>
      <c r="E34">
        <f>'0357 table 2'!G34</f>
        <v>28.571428571428569</v>
      </c>
      <c r="G34">
        <v>7069445.25</v>
      </c>
    </row>
    <row r="35" spans="1:7" x14ac:dyDescent="0.35">
      <c r="A35">
        <v>357</v>
      </c>
      <c r="B35">
        <v>2</v>
      </c>
      <c r="C35">
        <f>'0357 table 2'!E35</f>
        <v>8151596.25</v>
      </c>
      <c r="D35">
        <f>'0357 table 2'!F35</f>
        <v>548.15</v>
      </c>
      <c r="E35">
        <f>'0357 table 2'!G35</f>
        <v>33.333333333333336</v>
      </c>
      <c r="G35">
        <v>8151596.25</v>
      </c>
    </row>
    <row r="36" spans="1:7" x14ac:dyDescent="0.35">
      <c r="A36">
        <v>357</v>
      </c>
      <c r="B36">
        <v>2</v>
      </c>
      <c r="C36">
        <f>'0357 table 2'!E36</f>
        <v>9613716</v>
      </c>
      <c r="D36">
        <f>'0357 table 2'!F36</f>
        <v>548.15</v>
      </c>
      <c r="E36">
        <f>'0357 table 2'!G36</f>
        <v>40</v>
      </c>
      <c r="G36">
        <v>9613716</v>
      </c>
    </row>
    <row r="37" spans="1:7" x14ac:dyDescent="0.35">
      <c r="A37">
        <v>357</v>
      </c>
      <c r="B37">
        <v>2</v>
      </c>
      <c r="C37">
        <f>'0357 table 2'!E37</f>
        <v>11720262.75</v>
      </c>
      <c r="D37">
        <f>'0357 table 2'!F37</f>
        <v>548.15</v>
      </c>
      <c r="E37">
        <f>'0357 table 2'!G37</f>
        <v>50</v>
      </c>
      <c r="G37">
        <v>11720262.75</v>
      </c>
    </row>
    <row r="38" spans="1:7" x14ac:dyDescent="0.35">
      <c r="A38">
        <v>357</v>
      </c>
      <c r="B38">
        <v>2</v>
      </c>
      <c r="C38">
        <f>'0357 table 2'!E38</f>
        <v>2597973</v>
      </c>
      <c r="D38">
        <f>'0357 table 2'!F38</f>
        <v>523.15</v>
      </c>
      <c r="E38">
        <f>'0357 table 2'!G38</f>
        <v>10.526315789473685</v>
      </c>
      <c r="G38">
        <v>2597973</v>
      </c>
    </row>
    <row r="39" spans="1:7" x14ac:dyDescent="0.35">
      <c r="A39">
        <v>357</v>
      </c>
      <c r="B39">
        <v>2</v>
      </c>
      <c r="C39">
        <f>'0357 table 2'!E39</f>
        <v>2736788.25</v>
      </c>
      <c r="D39">
        <f>'0357 table 2'!F39</f>
        <v>523.15</v>
      </c>
      <c r="E39">
        <f>'0357 table 2'!G39</f>
        <v>11.111111111111112</v>
      </c>
      <c r="G39">
        <v>2736788.25</v>
      </c>
    </row>
    <row r="40" spans="1:7" x14ac:dyDescent="0.35">
      <c r="A40">
        <v>357</v>
      </c>
      <c r="B40">
        <v>2</v>
      </c>
      <c r="C40">
        <f>'0357 table 2'!E40</f>
        <v>3067107.75</v>
      </c>
      <c r="D40">
        <f>'0357 table 2'!F40</f>
        <v>523.15</v>
      </c>
      <c r="E40">
        <f>'0357 table 2'!G40</f>
        <v>12.5</v>
      </c>
      <c r="G40">
        <v>3067107.75</v>
      </c>
    </row>
    <row r="41" spans="1:7" x14ac:dyDescent="0.35">
      <c r="A41">
        <v>357</v>
      </c>
      <c r="B41">
        <v>2</v>
      </c>
      <c r="C41">
        <f>'0357 table 2'!E41</f>
        <v>3484566.75</v>
      </c>
      <c r="D41">
        <f>'0357 table 2'!F41</f>
        <v>523.15</v>
      </c>
      <c r="E41">
        <f>'0357 table 2'!G41</f>
        <v>14.285714285714285</v>
      </c>
      <c r="G41">
        <v>3484566.75</v>
      </c>
    </row>
    <row r="42" spans="1:7" x14ac:dyDescent="0.35">
      <c r="A42">
        <v>357</v>
      </c>
      <c r="B42">
        <v>2</v>
      </c>
      <c r="C42">
        <f>'0357 table 2'!E42</f>
        <v>4035774.75</v>
      </c>
      <c r="D42">
        <f>'0357 table 2'!F42</f>
        <v>523.15</v>
      </c>
      <c r="E42">
        <f>'0357 table 2'!G42</f>
        <v>16.666666666666668</v>
      </c>
      <c r="G42">
        <v>4035774.75</v>
      </c>
    </row>
    <row r="43" spans="1:7" x14ac:dyDescent="0.35">
      <c r="A43">
        <v>357</v>
      </c>
      <c r="B43">
        <v>2</v>
      </c>
      <c r="C43">
        <f>'0357 table 2'!E43</f>
        <v>4795712.25</v>
      </c>
      <c r="D43">
        <f>'0357 table 2'!F43</f>
        <v>523.15</v>
      </c>
      <c r="E43">
        <f>'0357 table 2'!G43</f>
        <v>20</v>
      </c>
      <c r="G43">
        <v>4795712.25</v>
      </c>
    </row>
    <row r="44" spans="1:7" x14ac:dyDescent="0.35">
      <c r="A44">
        <v>357</v>
      </c>
      <c r="B44">
        <v>2</v>
      </c>
      <c r="C44">
        <f>'0357 table 2'!E44</f>
        <v>5291191.5</v>
      </c>
      <c r="D44">
        <f>'0357 table 2'!F44</f>
        <v>523.15</v>
      </c>
      <c r="E44">
        <f>'0357 table 2'!G44</f>
        <v>22.222222222222225</v>
      </c>
      <c r="G44">
        <v>5291191.5</v>
      </c>
    </row>
    <row r="45" spans="1:7" x14ac:dyDescent="0.35">
      <c r="A45">
        <v>357</v>
      </c>
      <c r="B45">
        <v>2</v>
      </c>
      <c r="C45">
        <f>'0357 table 2'!E45</f>
        <v>5903194.5</v>
      </c>
      <c r="D45">
        <f>'0357 table 2'!F45</f>
        <v>523.15</v>
      </c>
      <c r="E45">
        <f>'0357 table 2'!G45</f>
        <v>25</v>
      </c>
      <c r="G45">
        <v>5903194.5</v>
      </c>
    </row>
    <row r="46" spans="1:7" x14ac:dyDescent="0.35">
      <c r="A46">
        <v>357</v>
      </c>
      <c r="B46">
        <v>2</v>
      </c>
      <c r="C46">
        <f>'0357 table 2'!E46</f>
        <v>6673264.5</v>
      </c>
      <c r="D46">
        <f>'0357 table 2'!F46</f>
        <v>523.15</v>
      </c>
      <c r="E46">
        <f>'0357 table 2'!G46</f>
        <v>28.571428571428569</v>
      </c>
      <c r="G46">
        <v>6673264.5</v>
      </c>
    </row>
    <row r="47" spans="1:7" x14ac:dyDescent="0.35">
      <c r="A47">
        <v>357</v>
      </c>
      <c r="B47">
        <v>2</v>
      </c>
      <c r="C47">
        <f>'0357 table 2'!E47</f>
        <v>7674355.4999999991</v>
      </c>
      <c r="D47">
        <f>'0357 table 2'!F47</f>
        <v>523.15</v>
      </c>
      <c r="E47">
        <f>'0357 table 2'!G47</f>
        <v>33.333333333333336</v>
      </c>
      <c r="G47">
        <v>7674355.4999999991</v>
      </c>
    </row>
    <row r="48" spans="1:7" x14ac:dyDescent="0.35">
      <c r="A48">
        <v>357</v>
      </c>
      <c r="B48">
        <v>2</v>
      </c>
      <c r="C48">
        <f>'0357 table 2'!E48</f>
        <v>9029070.75</v>
      </c>
      <c r="D48">
        <f>'0357 table 2'!F48</f>
        <v>523.15</v>
      </c>
      <c r="E48">
        <f>'0357 table 2'!G48</f>
        <v>40</v>
      </c>
      <c r="G48">
        <v>9029070.75</v>
      </c>
    </row>
    <row r="49" spans="1:7" x14ac:dyDescent="0.35">
      <c r="A49">
        <v>357</v>
      </c>
      <c r="B49">
        <v>2</v>
      </c>
      <c r="C49">
        <f>'0357 table 2'!E49</f>
        <v>10961338.5</v>
      </c>
      <c r="D49">
        <f>'0357 table 2'!F49</f>
        <v>523.15</v>
      </c>
      <c r="E49">
        <f>'0357 table 2'!G49</f>
        <v>50</v>
      </c>
      <c r="G49">
        <v>10961338.5</v>
      </c>
    </row>
    <row r="50" spans="1:7" x14ac:dyDescent="0.35">
      <c r="A50">
        <v>357</v>
      </c>
      <c r="B50">
        <v>2</v>
      </c>
      <c r="C50">
        <f>'0357 table 2'!E50</f>
        <v>2462197.5</v>
      </c>
      <c r="D50">
        <f>'0357 table 2'!F50</f>
        <v>498.15</v>
      </c>
      <c r="E50">
        <f>'0357 table 2'!G50</f>
        <v>10.526315789473685</v>
      </c>
      <c r="G50">
        <v>2462197.5</v>
      </c>
    </row>
    <row r="51" spans="1:7" x14ac:dyDescent="0.35">
      <c r="A51">
        <v>357</v>
      </c>
      <c r="B51">
        <v>2</v>
      </c>
      <c r="C51">
        <f>'0357 table 2'!E51</f>
        <v>2592906.75</v>
      </c>
      <c r="D51">
        <f>'0357 table 2'!F51</f>
        <v>498.15</v>
      </c>
      <c r="E51">
        <f>'0357 table 2'!G51</f>
        <v>11.111111111111112</v>
      </c>
      <c r="G51">
        <v>2592906.75</v>
      </c>
    </row>
    <row r="52" spans="1:7" x14ac:dyDescent="0.35">
      <c r="A52">
        <v>357</v>
      </c>
      <c r="B52">
        <v>2</v>
      </c>
      <c r="C52">
        <f>'0357 table 2'!E52</f>
        <v>2901948</v>
      </c>
      <c r="D52">
        <f>'0357 table 2'!F52</f>
        <v>498.15</v>
      </c>
      <c r="E52">
        <f>'0357 table 2'!G52</f>
        <v>12.5</v>
      </c>
      <c r="G52">
        <v>2901948</v>
      </c>
    </row>
    <row r="53" spans="1:7" x14ac:dyDescent="0.35">
      <c r="A53">
        <v>357</v>
      </c>
      <c r="B53">
        <v>2</v>
      </c>
      <c r="C53">
        <f>'0357 table 2'!E53</f>
        <v>3297115.5</v>
      </c>
      <c r="D53">
        <f>'0357 table 2'!F53</f>
        <v>498.15</v>
      </c>
      <c r="E53">
        <f>'0357 table 2'!G53</f>
        <v>14.285714285714285</v>
      </c>
      <c r="G53">
        <v>3297115.5</v>
      </c>
    </row>
    <row r="54" spans="1:7" x14ac:dyDescent="0.35">
      <c r="A54">
        <v>357</v>
      </c>
      <c r="B54">
        <v>2</v>
      </c>
      <c r="C54">
        <f>'0357 table 2'!E54</f>
        <v>3813873</v>
      </c>
      <c r="D54">
        <f>'0357 table 2'!F54</f>
        <v>498.15</v>
      </c>
      <c r="E54">
        <f>'0357 table 2'!G54</f>
        <v>16.666666666666668</v>
      </c>
      <c r="G54">
        <v>3813873</v>
      </c>
    </row>
    <row r="55" spans="1:7" x14ac:dyDescent="0.35">
      <c r="A55">
        <v>357</v>
      </c>
      <c r="B55">
        <v>2</v>
      </c>
      <c r="C55">
        <f>'0357 table 2'!E55</f>
        <v>4522134.75</v>
      </c>
      <c r="D55">
        <f>'0357 table 2'!F55</f>
        <v>498.15</v>
      </c>
      <c r="E55">
        <f>'0357 table 2'!G55</f>
        <v>20</v>
      </c>
      <c r="G55">
        <v>4522134.75</v>
      </c>
    </row>
    <row r="56" spans="1:7" x14ac:dyDescent="0.35">
      <c r="A56">
        <v>357</v>
      </c>
      <c r="B56">
        <v>2</v>
      </c>
      <c r="C56">
        <f>'0357 table 2'!E56</f>
        <v>4985190</v>
      </c>
      <c r="D56">
        <f>'0357 table 2'!F56</f>
        <v>498.15</v>
      </c>
      <c r="E56">
        <f>'0357 table 2'!G56</f>
        <v>22.222222222222225</v>
      </c>
      <c r="G56">
        <v>4985190</v>
      </c>
    </row>
    <row r="57" spans="1:7" x14ac:dyDescent="0.35">
      <c r="A57">
        <v>357</v>
      </c>
      <c r="B57">
        <v>2</v>
      </c>
      <c r="C57">
        <f>'0357 table 2'!E57</f>
        <v>5553623.25</v>
      </c>
      <c r="D57">
        <f>'0357 table 2'!F57</f>
        <v>498.15</v>
      </c>
      <c r="E57">
        <f>'0357 table 2'!G57</f>
        <v>25</v>
      </c>
      <c r="G57">
        <v>5553623.25</v>
      </c>
    </row>
    <row r="58" spans="1:7" x14ac:dyDescent="0.35">
      <c r="A58">
        <v>357</v>
      </c>
      <c r="B58">
        <v>2</v>
      </c>
      <c r="C58">
        <f>'0357 table 2'!E58</f>
        <v>6266951.25</v>
      </c>
      <c r="D58">
        <f>'0357 table 2'!F58</f>
        <v>498.15</v>
      </c>
      <c r="E58">
        <f>'0357 table 2'!G58</f>
        <v>28.571428571428569</v>
      </c>
      <c r="G58">
        <v>6266951.25</v>
      </c>
    </row>
    <row r="59" spans="1:7" x14ac:dyDescent="0.35">
      <c r="A59">
        <v>357</v>
      </c>
      <c r="B59">
        <v>2</v>
      </c>
      <c r="C59">
        <f>'0357 table 2'!E59</f>
        <v>7191035.25</v>
      </c>
      <c r="D59">
        <f>'0357 table 2'!F59</f>
        <v>498.15</v>
      </c>
      <c r="E59">
        <f>'0357 table 2'!G59</f>
        <v>33.333333333333336</v>
      </c>
      <c r="G59">
        <v>7191035.25</v>
      </c>
    </row>
    <row r="60" spans="1:7" x14ac:dyDescent="0.35">
      <c r="A60">
        <v>357</v>
      </c>
      <c r="B60">
        <v>2</v>
      </c>
      <c r="C60">
        <f>'0357 table 2'!E60</f>
        <v>8431253.25</v>
      </c>
      <c r="D60">
        <f>'0357 table 2'!F60</f>
        <v>498.15</v>
      </c>
      <c r="E60">
        <f>'0357 table 2'!G60</f>
        <v>40</v>
      </c>
      <c r="G60">
        <v>8431253.25</v>
      </c>
    </row>
    <row r="61" spans="1:7" x14ac:dyDescent="0.35">
      <c r="A61">
        <v>357</v>
      </c>
      <c r="B61">
        <v>2</v>
      </c>
      <c r="C61">
        <f>'0357 table 2'!E61</f>
        <v>10184175.75</v>
      </c>
      <c r="D61">
        <f>'0357 table 2'!F61</f>
        <v>498.15</v>
      </c>
      <c r="E61">
        <f>'0357 table 2'!G61</f>
        <v>50</v>
      </c>
      <c r="G61">
        <v>10184175.75</v>
      </c>
    </row>
    <row r="62" spans="1:7" x14ac:dyDescent="0.35">
      <c r="A62">
        <v>357</v>
      </c>
      <c r="B62">
        <v>2</v>
      </c>
      <c r="C62">
        <f>'0357 table 2'!E62</f>
        <v>2323382.25</v>
      </c>
      <c r="D62">
        <f>'0357 table 2'!F62</f>
        <v>473.15</v>
      </c>
      <c r="E62">
        <f>'0357 table 2'!G62</f>
        <v>10.526315789473685</v>
      </c>
      <c r="G62">
        <v>2323382.25</v>
      </c>
    </row>
    <row r="63" spans="1:7" x14ac:dyDescent="0.35">
      <c r="A63">
        <v>357</v>
      </c>
      <c r="B63">
        <v>2</v>
      </c>
      <c r="C63">
        <f>'0357 table 2'!E63</f>
        <v>2446998.75</v>
      </c>
      <c r="D63">
        <f>'0357 table 2'!F63</f>
        <v>473.15</v>
      </c>
      <c r="E63">
        <f>'0357 table 2'!G63</f>
        <v>11.111111111111112</v>
      </c>
      <c r="G63">
        <v>2446998.75</v>
      </c>
    </row>
    <row r="64" spans="1:7" x14ac:dyDescent="0.35">
      <c r="A64">
        <v>357</v>
      </c>
      <c r="B64">
        <v>2</v>
      </c>
      <c r="C64">
        <f>'0357 table 2'!E64</f>
        <v>2736788.25</v>
      </c>
      <c r="D64">
        <f>'0357 table 2'!F64</f>
        <v>473.15</v>
      </c>
      <c r="E64">
        <f>'0357 table 2'!G64</f>
        <v>12.5</v>
      </c>
      <c r="G64">
        <v>2736788.25</v>
      </c>
    </row>
    <row r="65" spans="1:7" x14ac:dyDescent="0.35">
      <c r="A65">
        <v>357</v>
      </c>
      <c r="B65">
        <v>2</v>
      </c>
      <c r="C65">
        <f>'0357 table 2'!E65</f>
        <v>3104598</v>
      </c>
      <c r="D65">
        <f>'0357 table 2'!F65</f>
        <v>473.15</v>
      </c>
      <c r="E65">
        <f>'0357 table 2'!G65</f>
        <v>14.285714285714285</v>
      </c>
      <c r="G65">
        <v>3104598</v>
      </c>
    </row>
    <row r="66" spans="1:7" x14ac:dyDescent="0.35">
      <c r="A66">
        <v>357</v>
      </c>
      <c r="B66">
        <v>2</v>
      </c>
      <c r="C66">
        <f>'0357 table 2'!E66</f>
        <v>3586905</v>
      </c>
      <c r="D66">
        <f>'0357 table 2'!F66</f>
        <v>473.15</v>
      </c>
      <c r="E66">
        <f>'0357 table 2'!G66</f>
        <v>16.666666666666668</v>
      </c>
      <c r="G66">
        <v>3586905</v>
      </c>
    </row>
    <row r="67" spans="1:7" x14ac:dyDescent="0.35">
      <c r="A67">
        <v>357</v>
      </c>
      <c r="B67">
        <v>2</v>
      </c>
      <c r="C67">
        <f>'0357 table 2'!E67</f>
        <v>4244504.25</v>
      </c>
      <c r="D67">
        <f>'0357 table 2'!F67</f>
        <v>473.15</v>
      </c>
      <c r="E67">
        <f>'0357 table 2'!G67</f>
        <v>20</v>
      </c>
      <c r="G67">
        <v>4244504.25</v>
      </c>
    </row>
    <row r="68" spans="1:7" x14ac:dyDescent="0.35">
      <c r="A68">
        <v>357</v>
      </c>
      <c r="B68">
        <v>2</v>
      </c>
      <c r="C68">
        <f>'0357 table 2'!E68</f>
        <v>4673109</v>
      </c>
      <c r="D68">
        <f>'0357 table 2'!F68</f>
        <v>473.15</v>
      </c>
      <c r="E68">
        <f>'0357 table 2'!G68</f>
        <v>22.222222222222225</v>
      </c>
      <c r="G68">
        <v>4673109</v>
      </c>
    </row>
    <row r="69" spans="1:7" x14ac:dyDescent="0.35">
      <c r="A69">
        <v>357</v>
      </c>
      <c r="B69">
        <v>2</v>
      </c>
      <c r="C69">
        <f>'0357 table 2'!E69</f>
        <v>5196959.25</v>
      </c>
      <c r="D69">
        <f>'0357 table 2'!F69</f>
        <v>473.15</v>
      </c>
      <c r="E69">
        <f>'0357 table 2'!G69</f>
        <v>25</v>
      </c>
      <c r="G69">
        <v>5196959.25</v>
      </c>
    </row>
    <row r="70" spans="1:7" x14ac:dyDescent="0.35">
      <c r="A70">
        <v>357</v>
      </c>
      <c r="B70">
        <v>2</v>
      </c>
      <c r="C70">
        <f>'0357 table 2'!E70</f>
        <v>5850505.5</v>
      </c>
      <c r="D70">
        <f>'0357 table 2'!F70</f>
        <v>473.15</v>
      </c>
      <c r="E70">
        <f>'0357 table 2'!G70</f>
        <v>28.571428571428569</v>
      </c>
      <c r="G70">
        <v>5850505.5</v>
      </c>
    </row>
    <row r="71" spans="1:7" x14ac:dyDescent="0.35">
      <c r="A71">
        <v>357</v>
      </c>
      <c r="B71">
        <v>2</v>
      </c>
      <c r="C71">
        <f>'0357 table 2'!E71</f>
        <v>6692516.25</v>
      </c>
      <c r="D71">
        <f>'0357 table 2'!F71</f>
        <v>473.15</v>
      </c>
      <c r="E71">
        <f>'0357 table 2'!G71</f>
        <v>33.333333333333336</v>
      </c>
      <c r="G71">
        <v>6692516.25</v>
      </c>
    </row>
    <row r="72" spans="1:7" x14ac:dyDescent="0.35">
      <c r="A72">
        <v>357</v>
      </c>
      <c r="B72">
        <v>2</v>
      </c>
      <c r="C72">
        <f>'0357 table 2'!E72</f>
        <v>7815197.25</v>
      </c>
      <c r="D72">
        <f>'0357 table 2'!F72</f>
        <v>473.15</v>
      </c>
      <c r="E72">
        <f>'0357 table 2'!G72</f>
        <v>40</v>
      </c>
      <c r="G72">
        <v>7815197.25</v>
      </c>
    </row>
    <row r="73" spans="1:7" x14ac:dyDescent="0.35">
      <c r="A73">
        <v>357</v>
      </c>
      <c r="B73">
        <v>2</v>
      </c>
      <c r="C73">
        <f>'0357 table 2'!E73</f>
        <v>9379655.25</v>
      </c>
      <c r="D73">
        <f>'0357 table 2'!F73</f>
        <v>473.15</v>
      </c>
      <c r="E73">
        <f>'0357 table 2'!G73</f>
        <v>50</v>
      </c>
      <c r="G73">
        <v>9379655.25</v>
      </c>
    </row>
    <row r="74" spans="1:7" x14ac:dyDescent="0.35">
      <c r="A74">
        <v>357</v>
      </c>
      <c r="B74">
        <v>2</v>
      </c>
      <c r="C74">
        <f>'0357 table 2'!E74</f>
        <v>2184567</v>
      </c>
      <c r="D74">
        <f>'0357 table 2'!F74</f>
        <v>448.15</v>
      </c>
      <c r="E74">
        <f>'0357 table 2'!G74</f>
        <v>10.526315789473685</v>
      </c>
      <c r="G74">
        <v>2184567</v>
      </c>
    </row>
    <row r="75" spans="1:7" x14ac:dyDescent="0.35">
      <c r="A75">
        <v>357</v>
      </c>
      <c r="B75">
        <v>2</v>
      </c>
      <c r="C75">
        <f>'0357 table 2'!E75</f>
        <v>2300077.5</v>
      </c>
      <c r="D75">
        <f>'0357 table 2'!F75</f>
        <v>448.15</v>
      </c>
      <c r="E75">
        <f>'0357 table 2'!G75</f>
        <v>11.111111111111112</v>
      </c>
      <c r="G75">
        <v>2300077.5</v>
      </c>
    </row>
    <row r="76" spans="1:7" x14ac:dyDescent="0.35">
      <c r="A76">
        <v>357</v>
      </c>
      <c r="B76">
        <v>2</v>
      </c>
      <c r="C76">
        <f>'0357 table 2'!E76</f>
        <v>2569602</v>
      </c>
      <c r="D76">
        <f>'0357 table 2'!F76</f>
        <v>448.15</v>
      </c>
      <c r="E76">
        <f>'0357 table 2'!G76</f>
        <v>12.5</v>
      </c>
      <c r="G76">
        <v>2569602</v>
      </c>
    </row>
    <row r="77" spans="1:7" x14ac:dyDescent="0.35">
      <c r="A77">
        <v>357</v>
      </c>
      <c r="B77">
        <v>2</v>
      </c>
      <c r="C77">
        <f>'0357 table 2'!E77</f>
        <v>2912080.5</v>
      </c>
      <c r="D77">
        <f>'0357 table 2'!F77</f>
        <v>448.15</v>
      </c>
      <c r="E77">
        <f>'0357 table 2'!G77</f>
        <v>14.285714285714285</v>
      </c>
      <c r="G77">
        <v>2912080.5</v>
      </c>
    </row>
    <row r="78" spans="1:7" x14ac:dyDescent="0.35">
      <c r="A78">
        <v>357</v>
      </c>
      <c r="B78">
        <v>2</v>
      </c>
      <c r="C78">
        <f>'0357 table 2'!E78</f>
        <v>3357910.5</v>
      </c>
      <c r="D78">
        <f>'0357 table 2'!F78</f>
        <v>448.15</v>
      </c>
      <c r="E78">
        <f>'0357 table 2'!G78</f>
        <v>16.666666666666668</v>
      </c>
      <c r="G78">
        <v>3357910.5</v>
      </c>
    </row>
    <row r="79" spans="1:7" x14ac:dyDescent="0.35">
      <c r="A79">
        <v>357</v>
      </c>
      <c r="B79">
        <v>2</v>
      </c>
      <c r="C79">
        <f>'0357 table 2'!E79</f>
        <v>3964847.2500000005</v>
      </c>
      <c r="D79">
        <f>'0357 table 2'!F79</f>
        <v>448.15</v>
      </c>
      <c r="E79">
        <f>'0357 table 2'!G79</f>
        <v>20</v>
      </c>
      <c r="G79">
        <v>3964847.2500000005</v>
      </c>
    </row>
    <row r="80" spans="1:7" x14ac:dyDescent="0.35">
      <c r="A80">
        <v>357</v>
      </c>
      <c r="B80">
        <v>2</v>
      </c>
      <c r="C80">
        <f>'0357 table 2'!E80</f>
        <v>4357988.25</v>
      </c>
      <c r="D80">
        <f>'0357 table 2'!F80</f>
        <v>448.15</v>
      </c>
      <c r="E80">
        <f>'0357 table 2'!G80</f>
        <v>22.222222222222225</v>
      </c>
      <c r="G80">
        <v>4357988.25</v>
      </c>
    </row>
    <row r="81" spans="1:7" x14ac:dyDescent="0.35">
      <c r="A81">
        <v>357</v>
      </c>
      <c r="B81">
        <v>2</v>
      </c>
      <c r="C81">
        <f>'0357 table 2'!E81</f>
        <v>4836242.25</v>
      </c>
      <c r="D81">
        <f>'0357 table 2'!F81</f>
        <v>448.15</v>
      </c>
      <c r="E81">
        <f>'0357 table 2'!G81</f>
        <v>25</v>
      </c>
      <c r="G81">
        <v>4836242.25</v>
      </c>
    </row>
    <row r="82" spans="1:7" x14ac:dyDescent="0.35">
      <c r="A82">
        <v>357</v>
      </c>
      <c r="B82">
        <v>2</v>
      </c>
      <c r="C82">
        <f>'0357 table 2'!E82</f>
        <v>5432033.25</v>
      </c>
      <c r="D82">
        <f>'0357 table 2'!F82</f>
        <v>448.15</v>
      </c>
      <c r="E82">
        <f>'0357 table 2'!G82</f>
        <v>28.571428571428569</v>
      </c>
      <c r="G82">
        <v>5432033.25</v>
      </c>
    </row>
    <row r="83" spans="1:7" x14ac:dyDescent="0.35">
      <c r="A83">
        <v>357</v>
      </c>
      <c r="B83">
        <v>2</v>
      </c>
      <c r="C83">
        <f>'0357 table 2'!E83</f>
        <v>6191970.75</v>
      </c>
      <c r="D83">
        <f>'0357 table 2'!F83</f>
        <v>448.15</v>
      </c>
      <c r="E83">
        <f>'0357 table 2'!G83</f>
        <v>33.333333333333336</v>
      </c>
      <c r="G83">
        <v>6191970.75</v>
      </c>
    </row>
    <row r="84" spans="1:7" x14ac:dyDescent="0.35">
      <c r="A84">
        <v>357</v>
      </c>
      <c r="B84">
        <v>2</v>
      </c>
      <c r="C84">
        <f>'0357 table 2'!E84</f>
        <v>7192048.5</v>
      </c>
      <c r="D84">
        <f>'0357 table 2'!F84</f>
        <v>448.15</v>
      </c>
      <c r="E84">
        <f>'0357 table 2'!G84</f>
        <v>40</v>
      </c>
      <c r="G84">
        <v>7192048.5</v>
      </c>
    </row>
    <row r="85" spans="1:7" x14ac:dyDescent="0.35">
      <c r="A85">
        <v>357</v>
      </c>
      <c r="B85">
        <v>2</v>
      </c>
      <c r="C85">
        <f>'0357 table 2'!E85</f>
        <v>8566015.5</v>
      </c>
      <c r="D85">
        <f>'0357 table 2'!F85</f>
        <v>448.15</v>
      </c>
      <c r="E85">
        <f>'0357 table 2'!G85</f>
        <v>50</v>
      </c>
      <c r="G85">
        <v>8566015.5</v>
      </c>
    </row>
    <row r="86" spans="1:7" x14ac:dyDescent="0.35">
      <c r="A86">
        <v>357</v>
      </c>
      <c r="B86">
        <v>2</v>
      </c>
      <c r="C86">
        <f>'0357 table 2'!E86</f>
        <v>2044738.5</v>
      </c>
      <c r="D86">
        <f>'0357 table 2'!F86</f>
        <v>423.15</v>
      </c>
      <c r="E86">
        <f>'0357 table 2'!G86</f>
        <v>10.526315789473685</v>
      </c>
      <c r="G86">
        <v>2044738.5</v>
      </c>
    </row>
    <row r="87" spans="1:7" x14ac:dyDescent="0.35">
      <c r="A87">
        <v>357</v>
      </c>
      <c r="B87">
        <v>2</v>
      </c>
      <c r="C87">
        <f>'0357 table 2'!E87</f>
        <v>2151129.75</v>
      </c>
      <c r="D87">
        <f>'0357 table 2'!F87</f>
        <v>423.15</v>
      </c>
      <c r="E87">
        <f>'0357 table 2'!G87</f>
        <v>11.111111111111112</v>
      </c>
      <c r="G87">
        <v>2151129.75</v>
      </c>
    </row>
    <row r="88" spans="1:7" x14ac:dyDescent="0.35">
      <c r="A88">
        <v>357</v>
      </c>
      <c r="B88">
        <v>2</v>
      </c>
      <c r="C88">
        <f>'0357 table 2'!E88</f>
        <v>2401402.5</v>
      </c>
      <c r="D88">
        <f>'0357 table 2'!F88</f>
        <v>423.15</v>
      </c>
      <c r="E88">
        <f>'0357 table 2'!G88</f>
        <v>12.5</v>
      </c>
      <c r="G88">
        <v>2401402.5</v>
      </c>
    </row>
    <row r="89" spans="1:7" x14ac:dyDescent="0.35">
      <c r="A89">
        <v>357</v>
      </c>
      <c r="B89">
        <v>2</v>
      </c>
      <c r="C89">
        <f>'0357 table 2'!E89</f>
        <v>2716523.25</v>
      </c>
      <c r="D89">
        <f>'0357 table 2'!F89</f>
        <v>423.15</v>
      </c>
      <c r="E89">
        <f>'0357 table 2'!G89</f>
        <v>14.285714285714285</v>
      </c>
      <c r="G89">
        <v>2716523.25</v>
      </c>
    </row>
    <row r="90" spans="1:7" x14ac:dyDescent="0.35">
      <c r="A90">
        <v>357</v>
      </c>
      <c r="B90">
        <v>2</v>
      </c>
      <c r="C90">
        <f>'0357 table 2'!E90</f>
        <v>3126889.5</v>
      </c>
      <c r="D90">
        <f>'0357 table 2'!F90</f>
        <v>423.15</v>
      </c>
      <c r="E90">
        <f>'0357 table 2'!G90</f>
        <v>16.666666666666668</v>
      </c>
      <c r="G90">
        <v>3126889.5</v>
      </c>
    </row>
    <row r="91" spans="1:7" x14ac:dyDescent="0.35">
      <c r="A91">
        <v>357</v>
      </c>
      <c r="B91">
        <v>2</v>
      </c>
      <c r="C91">
        <f>'0357 table 2'!E91</f>
        <v>3681137.25</v>
      </c>
      <c r="D91">
        <f>'0357 table 2'!F91</f>
        <v>423.15</v>
      </c>
      <c r="E91">
        <f>'0357 table 2'!G91</f>
        <v>20</v>
      </c>
      <c r="G91">
        <v>3681137.25</v>
      </c>
    </row>
    <row r="92" spans="1:7" x14ac:dyDescent="0.35">
      <c r="A92">
        <v>357</v>
      </c>
      <c r="B92">
        <v>2</v>
      </c>
      <c r="C92">
        <f>'0357 table 2'!E92</f>
        <v>4037801.25</v>
      </c>
      <c r="D92">
        <f>'0357 table 2'!F92</f>
        <v>423.15</v>
      </c>
      <c r="E92">
        <f>'0357 table 2'!G92</f>
        <v>22.222222222222225</v>
      </c>
      <c r="G92">
        <v>4037801.25</v>
      </c>
    </row>
    <row r="93" spans="1:7" x14ac:dyDescent="0.35">
      <c r="A93">
        <v>357</v>
      </c>
      <c r="B93">
        <v>2</v>
      </c>
      <c r="C93">
        <f>'0357 table 2'!E93</f>
        <v>4469445.75</v>
      </c>
      <c r="D93">
        <f>'0357 table 2'!F93</f>
        <v>423.15</v>
      </c>
      <c r="E93">
        <f>'0357 table 2'!G93</f>
        <v>25</v>
      </c>
      <c r="G93">
        <v>4469445.75</v>
      </c>
    </row>
    <row r="94" spans="1:7" x14ac:dyDescent="0.35">
      <c r="A94">
        <v>357</v>
      </c>
      <c r="B94">
        <v>2</v>
      </c>
      <c r="C94">
        <f>'0357 table 2'!E94</f>
        <v>5001402</v>
      </c>
      <c r="D94">
        <f>'0357 table 2'!F94</f>
        <v>423.15</v>
      </c>
      <c r="E94">
        <f>'0357 table 2'!G94</f>
        <v>28.571428571428569</v>
      </c>
      <c r="G94">
        <v>5001402</v>
      </c>
    </row>
    <row r="95" spans="1:7" x14ac:dyDescent="0.35">
      <c r="A95">
        <v>357</v>
      </c>
      <c r="B95">
        <v>2</v>
      </c>
      <c r="C95">
        <f>'0357 table 2'!E95</f>
        <v>5675213.25</v>
      </c>
      <c r="D95">
        <f>'0357 table 2'!F95</f>
        <v>423.15</v>
      </c>
      <c r="E95">
        <f>'0357 table 2'!G95</f>
        <v>33.333333333333336</v>
      </c>
      <c r="G95">
        <v>5675213.25</v>
      </c>
    </row>
    <row r="96" spans="1:7" x14ac:dyDescent="0.35">
      <c r="A96">
        <v>357</v>
      </c>
      <c r="B96">
        <v>2</v>
      </c>
      <c r="C96">
        <f>'0357 table 2'!E96</f>
        <v>6550661.2500000009</v>
      </c>
      <c r="D96">
        <f>'0357 table 2'!F96</f>
        <v>423.15</v>
      </c>
      <c r="E96">
        <f>'0357 table 2'!G96</f>
        <v>40</v>
      </c>
      <c r="G96">
        <v>6550661.2500000009</v>
      </c>
    </row>
    <row r="97" spans="1:7" x14ac:dyDescent="0.35">
      <c r="A97">
        <v>357</v>
      </c>
      <c r="B97">
        <v>2</v>
      </c>
      <c r="C97">
        <f>'0357 table 2'!E97</f>
        <v>7725017.9999999991</v>
      </c>
      <c r="D97">
        <f>'0357 table 2'!F97</f>
        <v>423.15</v>
      </c>
      <c r="E97">
        <f>'0357 table 2'!G97</f>
        <v>50</v>
      </c>
      <c r="G97">
        <v>7725017.9999999991</v>
      </c>
    </row>
    <row r="98" spans="1:7" x14ac:dyDescent="0.35">
      <c r="A98">
        <v>357</v>
      </c>
      <c r="B98">
        <v>2</v>
      </c>
      <c r="C98">
        <f>'0357 table 2'!E98</f>
        <v>1902883.5</v>
      </c>
      <c r="D98">
        <f>'0357 table 2'!F98</f>
        <v>398.15</v>
      </c>
      <c r="E98">
        <f>'0357 table 2'!G98</f>
        <v>10.526315789473685</v>
      </c>
      <c r="G98">
        <v>1902883.5</v>
      </c>
    </row>
    <row r="99" spans="1:7" x14ac:dyDescent="0.35">
      <c r="A99">
        <v>357</v>
      </c>
      <c r="B99">
        <v>2</v>
      </c>
      <c r="C99">
        <f>'0357 table 2'!E99</f>
        <v>2001168.75</v>
      </c>
      <c r="D99">
        <f>'0357 table 2'!F99</f>
        <v>398.15</v>
      </c>
      <c r="E99">
        <f>'0357 table 2'!G99</f>
        <v>11.111111111111112</v>
      </c>
      <c r="G99">
        <v>2001168.75</v>
      </c>
    </row>
    <row r="100" spans="1:7" x14ac:dyDescent="0.35">
      <c r="A100">
        <v>357</v>
      </c>
      <c r="B100">
        <v>2</v>
      </c>
      <c r="C100">
        <f>'0357 table 2'!E100</f>
        <v>2229150</v>
      </c>
      <c r="D100">
        <f>'0357 table 2'!F100</f>
        <v>398.15</v>
      </c>
      <c r="E100">
        <f>'0357 table 2'!G100</f>
        <v>12.5</v>
      </c>
      <c r="G100">
        <v>2229150</v>
      </c>
    </row>
    <row r="101" spans="1:7" x14ac:dyDescent="0.35">
      <c r="A101">
        <v>357</v>
      </c>
      <c r="B101">
        <v>2</v>
      </c>
      <c r="C101">
        <f>'0357 table 2'!E101</f>
        <v>2517926.25</v>
      </c>
      <c r="D101">
        <f>'0357 table 2'!F101</f>
        <v>398.15</v>
      </c>
      <c r="E101">
        <f>'0357 table 2'!G101</f>
        <v>14.285714285714285</v>
      </c>
      <c r="G101">
        <v>2517926.25</v>
      </c>
    </row>
    <row r="102" spans="1:7" x14ac:dyDescent="0.35">
      <c r="A102">
        <v>357</v>
      </c>
      <c r="B102">
        <v>2</v>
      </c>
      <c r="C102">
        <f>'0357 table 2'!E102</f>
        <v>2888775.75</v>
      </c>
      <c r="D102">
        <f>'0357 table 2'!F102</f>
        <v>398.15</v>
      </c>
      <c r="E102">
        <f>'0357 table 2'!G102</f>
        <v>16.666666666666668</v>
      </c>
      <c r="G102">
        <v>2888775.75</v>
      </c>
    </row>
    <row r="103" spans="1:7" x14ac:dyDescent="0.35">
      <c r="A103">
        <v>357</v>
      </c>
      <c r="B103">
        <v>2</v>
      </c>
      <c r="C103">
        <f>'0357 table 2'!E103</f>
        <v>3388308</v>
      </c>
      <c r="D103">
        <f>'0357 table 2'!F103</f>
        <v>398.15</v>
      </c>
      <c r="E103">
        <f>'0357 table 2'!G103</f>
        <v>20</v>
      </c>
      <c r="G103">
        <v>3388308</v>
      </c>
    </row>
    <row r="104" spans="1:7" x14ac:dyDescent="0.35">
      <c r="A104">
        <v>357</v>
      </c>
      <c r="B104">
        <v>2</v>
      </c>
      <c r="C104">
        <f>'0357 table 2'!E104</f>
        <v>3707481.7500000005</v>
      </c>
      <c r="D104">
        <f>'0357 table 2'!F104</f>
        <v>398.15</v>
      </c>
      <c r="E104">
        <f>'0357 table 2'!G104</f>
        <v>22.222222222222225</v>
      </c>
      <c r="G104">
        <v>3707481.7500000005</v>
      </c>
    </row>
    <row r="105" spans="1:7" x14ac:dyDescent="0.35">
      <c r="A105">
        <v>357</v>
      </c>
      <c r="B105">
        <v>2</v>
      </c>
      <c r="C105">
        <f>'0357 table 2'!E105</f>
        <v>4089477</v>
      </c>
      <c r="D105">
        <f>'0357 table 2'!F105</f>
        <v>398.15</v>
      </c>
      <c r="E105">
        <f>'0357 table 2'!G105</f>
        <v>25</v>
      </c>
      <c r="G105">
        <v>4089477</v>
      </c>
    </row>
    <row r="106" spans="1:7" x14ac:dyDescent="0.35">
      <c r="A106">
        <v>357</v>
      </c>
      <c r="B106">
        <v>2</v>
      </c>
      <c r="C106">
        <f>'0357 table 2'!E106</f>
        <v>4558611.75</v>
      </c>
      <c r="D106">
        <f>'0357 table 2'!F106</f>
        <v>398.15</v>
      </c>
      <c r="E106">
        <f>'0357 table 2'!G106</f>
        <v>28.571428571428569</v>
      </c>
      <c r="G106">
        <v>4558611.75</v>
      </c>
    </row>
    <row r="107" spans="1:7" x14ac:dyDescent="0.35">
      <c r="A107">
        <v>357</v>
      </c>
      <c r="B107">
        <v>2</v>
      </c>
      <c r="C107">
        <f>'0357 table 2'!E107</f>
        <v>5141230.5</v>
      </c>
      <c r="D107">
        <f>'0357 table 2'!F107</f>
        <v>398.15</v>
      </c>
      <c r="E107">
        <f>'0357 table 2'!G107</f>
        <v>33.333333333333336</v>
      </c>
      <c r="G107">
        <v>5141230.5</v>
      </c>
    </row>
    <row r="108" spans="1:7" x14ac:dyDescent="0.35">
      <c r="A108">
        <v>357</v>
      </c>
      <c r="B108">
        <v>2</v>
      </c>
      <c r="C108">
        <f>'0357 table 2'!E108</f>
        <v>5882929.5</v>
      </c>
      <c r="D108">
        <f>'0357 table 2'!F108</f>
        <v>398.15</v>
      </c>
      <c r="E108">
        <f>'0357 table 2'!G108</f>
        <v>40</v>
      </c>
      <c r="G108">
        <v>5882929.5</v>
      </c>
    </row>
    <row r="109" spans="1:7" x14ac:dyDescent="0.35">
      <c r="A109">
        <v>357</v>
      </c>
      <c r="B109">
        <v>2</v>
      </c>
      <c r="C109">
        <f>'0357 table 2'!E109</f>
        <v>6845517</v>
      </c>
      <c r="D109">
        <f>'0357 table 2'!F109</f>
        <v>398.15</v>
      </c>
      <c r="E109">
        <f>'0357 table 2'!G109</f>
        <v>50</v>
      </c>
      <c r="G109">
        <v>6845517</v>
      </c>
    </row>
    <row r="110" spans="1:7" x14ac:dyDescent="0.35">
      <c r="A110">
        <v>357</v>
      </c>
      <c r="B110">
        <v>2</v>
      </c>
      <c r="C110">
        <f>'0357 table 2'!E110</f>
        <v>1759002</v>
      </c>
      <c r="D110">
        <f>'0357 table 2'!F110</f>
        <v>373.15</v>
      </c>
      <c r="E110">
        <f>'0357 table 2'!G110</f>
        <v>10.526315789473685</v>
      </c>
      <c r="G110">
        <v>1759002</v>
      </c>
    </row>
    <row r="111" spans="1:7" x14ac:dyDescent="0.35">
      <c r="A111">
        <v>357</v>
      </c>
      <c r="B111">
        <v>2</v>
      </c>
      <c r="C111">
        <f>'0357 table 2'!E111</f>
        <v>1848167.9999999998</v>
      </c>
      <c r="D111">
        <f>'0357 table 2'!F111</f>
        <v>373.15</v>
      </c>
      <c r="E111">
        <f>'0357 table 2'!G111</f>
        <v>11.111111111111112</v>
      </c>
      <c r="G111">
        <v>1848167.9999999998</v>
      </c>
    </row>
    <row r="112" spans="1:7" x14ac:dyDescent="0.35">
      <c r="A112">
        <v>357</v>
      </c>
      <c r="B112">
        <v>2</v>
      </c>
      <c r="C112">
        <f>'0357 table 2'!E112</f>
        <v>2054871</v>
      </c>
      <c r="D112">
        <f>'0357 table 2'!F112</f>
        <v>373.15</v>
      </c>
      <c r="E112">
        <f>'0357 table 2'!G112</f>
        <v>12.5</v>
      </c>
      <c r="G112">
        <v>2054871</v>
      </c>
    </row>
    <row r="113" spans="1:7" x14ac:dyDescent="0.35">
      <c r="A113">
        <v>357</v>
      </c>
      <c r="B113">
        <v>2</v>
      </c>
      <c r="C113">
        <f>'0357 table 2'!E113</f>
        <v>2314263</v>
      </c>
      <c r="D113">
        <f>'0357 table 2'!F113</f>
        <v>373.15</v>
      </c>
      <c r="E113">
        <f>'0357 table 2'!G113</f>
        <v>14.285714285714285</v>
      </c>
      <c r="G113">
        <v>2314263</v>
      </c>
    </row>
    <row r="114" spans="1:7" x14ac:dyDescent="0.35">
      <c r="A114">
        <v>357</v>
      </c>
      <c r="B114">
        <v>2</v>
      </c>
      <c r="C114">
        <f>'0357 table 2'!E114</f>
        <v>2646609</v>
      </c>
      <c r="D114">
        <f>'0357 table 2'!F114</f>
        <v>373.15</v>
      </c>
      <c r="E114">
        <f>'0357 table 2'!G114</f>
        <v>16.666666666666668</v>
      </c>
      <c r="G114">
        <v>2646609</v>
      </c>
    </row>
    <row r="115" spans="1:7" x14ac:dyDescent="0.35">
      <c r="A115">
        <v>357</v>
      </c>
      <c r="B115">
        <v>2</v>
      </c>
      <c r="C115">
        <f>'0357 table 2'!E115</f>
        <v>3087372.75</v>
      </c>
      <c r="D115">
        <f>'0357 table 2'!F115</f>
        <v>373.15</v>
      </c>
      <c r="E115">
        <f>'0357 table 2'!G115</f>
        <v>20</v>
      </c>
      <c r="G115">
        <v>3087372.75</v>
      </c>
    </row>
    <row r="116" spans="1:7" x14ac:dyDescent="0.35">
      <c r="A116">
        <v>357</v>
      </c>
      <c r="B116">
        <v>2</v>
      </c>
      <c r="C116">
        <f>'0357 table 2'!E116</f>
        <v>3365003.25</v>
      </c>
      <c r="D116">
        <f>'0357 table 2'!F116</f>
        <v>373.15</v>
      </c>
      <c r="E116">
        <f>'0357 table 2'!G116</f>
        <v>22.222222222222225</v>
      </c>
      <c r="G116">
        <v>3365003.25</v>
      </c>
    </row>
    <row r="117" spans="1:7" x14ac:dyDescent="0.35">
      <c r="A117">
        <v>357</v>
      </c>
      <c r="B117">
        <v>2</v>
      </c>
      <c r="C117">
        <f>'0357 table 2'!E117</f>
        <v>3695322.75</v>
      </c>
      <c r="D117">
        <f>'0357 table 2'!F117</f>
        <v>373.15</v>
      </c>
      <c r="E117">
        <f>'0357 table 2'!G117</f>
        <v>25</v>
      </c>
      <c r="G117">
        <v>3695322.75</v>
      </c>
    </row>
    <row r="118" spans="1:7" x14ac:dyDescent="0.35">
      <c r="A118">
        <v>357</v>
      </c>
      <c r="B118">
        <v>2</v>
      </c>
      <c r="C118">
        <f>'0357 table 2'!E118</f>
        <v>4094543.2499999995</v>
      </c>
      <c r="D118">
        <f>'0357 table 2'!F118</f>
        <v>373.15</v>
      </c>
      <c r="E118">
        <f>'0357 table 2'!G118</f>
        <v>28.571428571428569</v>
      </c>
      <c r="G118">
        <v>4094543.2499999995</v>
      </c>
    </row>
    <row r="119" spans="1:7" x14ac:dyDescent="0.35">
      <c r="A119">
        <v>357</v>
      </c>
      <c r="B119">
        <v>2</v>
      </c>
      <c r="C119">
        <f>'0357 table 2'!E119</f>
        <v>4578876.75</v>
      </c>
      <c r="D119">
        <f>'0357 table 2'!F119</f>
        <v>373.15</v>
      </c>
      <c r="E119">
        <f>'0357 table 2'!G119</f>
        <v>33.333333333333336</v>
      </c>
      <c r="G119">
        <v>4578876.75</v>
      </c>
    </row>
    <row r="120" spans="1:7" x14ac:dyDescent="0.35">
      <c r="A120">
        <v>357</v>
      </c>
      <c r="B120">
        <v>2</v>
      </c>
      <c r="C120">
        <f>'0357 table 2'!E120</f>
        <v>5176694.25</v>
      </c>
      <c r="D120">
        <f>'0357 table 2'!F120</f>
        <v>373.15</v>
      </c>
      <c r="E120">
        <f>'0357 table 2'!G120</f>
        <v>40</v>
      </c>
      <c r="G120">
        <v>5176694.25</v>
      </c>
    </row>
    <row r="121" spans="1:7" x14ac:dyDescent="0.35">
      <c r="A121">
        <v>357</v>
      </c>
      <c r="B121">
        <v>2</v>
      </c>
      <c r="C121">
        <f>'0357 table 2'!E121</f>
        <v>5905221</v>
      </c>
      <c r="D121">
        <f>'0357 table 2'!F121</f>
        <v>373.15</v>
      </c>
      <c r="E121">
        <f>'0357 table 2'!G121</f>
        <v>50</v>
      </c>
      <c r="G121">
        <v>5905221</v>
      </c>
    </row>
    <row r="122" spans="1:7" x14ac:dyDescent="0.35">
      <c r="A122">
        <v>357</v>
      </c>
      <c r="B122">
        <v>2</v>
      </c>
      <c r="C122">
        <f>'0357 table 2'!E122</f>
        <v>1611067.5</v>
      </c>
      <c r="D122">
        <f>'0357 table 2'!F122</f>
        <v>348.15</v>
      </c>
      <c r="E122">
        <f>'0357 table 2'!G122</f>
        <v>10.526315789473685</v>
      </c>
      <c r="G122">
        <v>1611067.5</v>
      </c>
    </row>
    <row r="123" spans="1:7" x14ac:dyDescent="0.35">
      <c r="A123">
        <v>357</v>
      </c>
      <c r="B123">
        <v>2</v>
      </c>
      <c r="C123">
        <f>'0357 table 2'!E123</f>
        <v>1690101</v>
      </c>
      <c r="D123">
        <f>'0357 table 2'!F123</f>
        <v>348.15</v>
      </c>
      <c r="E123">
        <f>'0357 table 2'!G123</f>
        <v>11.111111111111112</v>
      </c>
      <c r="G123">
        <v>1690101</v>
      </c>
    </row>
    <row r="124" spans="1:7" x14ac:dyDescent="0.35">
      <c r="A124">
        <v>357</v>
      </c>
      <c r="B124">
        <v>2</v>
      </c>
      <c r="C124">
        <f>'0357 table 2'!E124</f>
        <v>1874512.5</v>
      </c>
      <c r="D124">
        <f>'0357 table 2'!F124</f>
        <v>348.15</v>
      </c>
      <c r="E124">
        <f>'0357 table 2'!G124</f>
        <v>12.5</v>
      </c>
      <c r="G124">
        <v>1874512.5</v>
      </c>
    </row>
    <row r="125" spans="1:7" x14ac:dyDescent="0.35">
      <c r="A125">
        <v>357</v>
      </c>
      <c r="B125">
        <v>2</v>
      </c>
      <c r="C125">
        <f>'0357 table 2'!E125</f>
        <v>2103507</v>
      </c>
      <c r="D125">
        <f>'0357 table 2'!F125</f>
        <v>348.15</v>
      </c>
      <c r="E125">
        <f>'0357 table 2'!G125</f>
        <v>14.285714285714285</v>
      </c>
      <c r="G125">
        <v>2103507</v>
      </c>
    </row>
    <row r="126" spans="1:7" x14ac:dyDescent="0.35">
      <c r="A126">
        <v>357</v>
      </c>
      <c r="B126">
        <v>2</v>
      </c>
      <c r="C126">
        <f>'0357 table 2'!E126</f>
        <v>2392283.25</v>
      </c>
      <c r="D126">
        <f>'0357 table 2'!F126</f>
        <v>348.15</v>
      </c>
      <c r="E126">
        <f>'0357 table 2'!G126</f>
        <v>16.666666666666668</v>
      </c>
      <c r="G126">
        <v>2392283.25</v>
      </c>
    </row>
    <row r="127" spans="1:7" x14ac:dyDescent="0.35">
      <c r="A127">
        <v>357</v>
      </c>
      <c r="B127">
        <v>2</v>
      </c>
      <c r="C127">
        <f>'0357 table 2'!E127</f>
        <v>2770225.5</v>
      </c>
      <c r="D127">
        <f>'0357 table 2'!F127</f>
        <v>348.15</v>
      </c>
      <c r="E127">
        <f>'0357 table 2'!G127</f>
        <v>20</v>
      </c>
      <c r="G127">
        <v>2770225.5</v>
      </c>
    </row>
    <row r="128" spans="1:7" x14ac:dyDescent="0.35">
      <c r="A128">
        <v>357</v>
      </c>
      <c r="B128">
        <v>2</v>
      </c>
      <c r="C128">
        <f>'0357 table 2'!E128</f>
        <v>3004286.25</v>
      </c>
      <c r="D128">
        <f>'0357 table 2'!F128</f>
        <v>348.15</v>
      </c>
      <c r="E128">
        <f>'0357 table 2'!G128</f>
        <v>22.222222222222225</v>
      </c>
      <c r="G128">
        <v>3004286.25</v>
      </c>
    </row>
    <row r="129" spans="1:7" x14ac:dyDescent="0.35">
      <c r="A129">
        <v>357</v>
      </c>
      <c r="B129">
        <v>2</v>
      </c>
      <c r="C129">
        <f>'0357 table 2'!E129</f>
        <v>3277863.75</v>
      </c>
      <c r="D129">
        <f>'0357 table 2'!F129</f>
        <v>348.15</v>
      </c>
      <c r="E129">
        <f>'0357 table 2'!G129</f>
        <v>25</v>
      </c>
      <c r="G129">
        <v>3277863.75</v>
      </c>
    </row>
    <row r="130" spans="1:7" x14ac:dyDescent="0.35">
      <c r="A130">
        <v>357</v>
      </c>
      <c r="B130">
        <v>2</v>
      </c>
      <c r="C130">
        <f>'0357 table 2'!E130</f>
        <v>3599064.0000000005</v>
      </c>
      <c r="D130">
        <f>'0357 table 2'!F130</f>
        <v>348.15</v>
      </c>
      <c r="E130">
        <f>'0357 table 2'!G130</f>
        <v>28.571428571428569</v>
      </c>
      <c r="G130">
        <v>3599064.0000000005</v>
      </c>
    </row>
    <row r="131" spans="1:7" x14ac:dyDescent="0.35">
      <c r="A131">
        <v>357</v>
      </c>
      <c r="B131">
        <v>2</v>
      </c>
      <c r="C131">
        <f>'0357 table 2'!E131</f>
        <v>1456040.25</v>
      </c>
      <c r="D131">
        <f>'0357 table 2'!F131</f>
        <v>323.14999999999998</v>
      </c>
      <c r="E131">
        <f>'0357 table 2'!G131</f>
        <v>10.526315789473685</v>
      </c>
      <c r="G131">
        <v>1456040.25</v>
      </c>
    </row>
    <row r="132" spans="1:7" x14ac:dyDescent="0.35">
      <c r="A132">
        <v>357</v>
      </c>
      <c r="B132">
        <v>2</v>
      </c>
      <c r="C132">
        <f>'0357 table 2'!E132</f>
        <v>1524941.25</v>
      </c>
      <c r="D132">
        <f>'0357 table 2'!F132</f>
        <v>323.14999999999998</v>
      </c>
      <c r="E132">
        <f>'0357 table 2'!G132</f>
        <v>11.111111111111112</v>
      </c>
      <c r="G132">
        <v>1524941.25</v>
      </c>
    </row>
    <row r="133" spans="1:7" x14ac:dyDescent="0.35">
      <c r="A133">
        <v>357</v>
      </c>
      <c r="B133">
        <v>2</v>
      </c>
      <c r="C133">
        <f>'0357 table 2'!E133</f>
        <v>1684021.5</v>
      </c>
      <c r="D133">
        <f>'0357 table 2'!F133</f>
        <v>323.14999999999998</v>
      </c>
      <c r="E133">
        <f>'0357 table 2'!G133</f>
        <v>12.5</v>
      </c>
      <c r="G133">
        <v>1684021.5</v>
      </c>
    </row>
    <row r="134" spans="1:7" x14ac:dyDescent="0.35">
      <c r="A134">
        <v>357</v>
      </c>
      <c r="B134">
        <v>2</v>
      </c>
      <c r="C134">
        <f>'0357 table 2'!E134</f>
        <v>1878565.5</v>
      </c>
      <c r="D134">
        <f>'0357 table 2'!F134</f>
        <v>323.14999999999998</v>
      </c>
      <c r="E134">
        <f>'0357 table 2'!G134</f>
        <v>14.285714285714285</v>
      </c>
      <c r="G134">
        <v>1878565.5</v>
      </c>
    </row>
    <row r="135" spans="1:7" x14ac:dyDescent="0.35">
      <c r="A135">
        <v>357</v>
      </c>
      <c r="B135">
        <v>2</v>
      </c>
      <c r="C135">
        <f>'0357 table 2'!E135</f>
        <v>924691.95</v>
      </c>
      <c r="D135">
        <f>'0357 table 2'!F135</f>
        <v>573.15</v>
      </c>
      <c r="E135">
        <f>'0357 table 2'!G135</f>
        <v>3.3333333333333339</v>
      </c>
      <c r="G135">
        <v>924691.95</v>
      </c>
    </row>
    <row r="136" spans="1:7" x14ac:dyDescent="0.35">
      <c r="A136">
        <v>357</v>
      </c>
      <c r="B136">
        <v>2</v>
      </c>
      <c r="C136">
        <f>'0357 table 2'!E136</f>
        <v>1381161.075</v>
      </c>
      <c r="D136">
        <f>'0357 table 2'!F136</f>
        <v>573.15</v>
      </c>
      <c r="E136">
        <f>'0357 table 2'!G136</f>
        <v>5</v>
      </c>
      <c r="G136">
        <v>1381161.075</v>
      </c>
    </row>
    <row r="137" spans="1:7" x14ac:dyDescent="0.35">
      <c r="A137">
        <v>357</v>
      </c>
      <c r="B137">
        <v>2</v>
      </c>
      <c r="C137">
        <f>'0357 table 2'!E137</f>
        <v>1834083.825</v>
      </c>
      <c r="D137">
        <f>'0357 table 2'!F137</f>
        <v>573.15</v>
      </c>
      <c r="E137">
        <f>'0357 table 2'!G137</f>
        <v>6.6666666666666679</v>
      </c>
      <c r="G137">
        <v>1834083.825</v>
      </c>
    </row>
    <row r="138" spans="1:7" x14ac:dyDescent="0.35">
      <c r="A138">
        <v>357</v>
      </c>
      <c r="B138">
        <v>2</v>
      </c>
      <c r="C138">
        <f>'0357 table 2'!E138</f>
        <v>2380833.5249999999</v>
      </c>
      <c r="D138">
        <f>'0357 table 2'!F138</f>
        <v>573.15</v>
      </c>
      <c r="E138">
        <f>'0357 table 2'!G138</f>
        <v>8.6956521739130448</v>
      </c>
      <c r="G138">
        <v>2380833.5249999999</v>
      </c>
    </row>
    <row r="139" spans="1:7" x14ac:dyDescent="0.35">
      <c r="A139">
        <v>357</v>
      </c>
      <c r="B139">
        <v>2</v>
      </c>
      <c r="C139">
        <f>'0357 table 2'!E139</f>
        <v>507334.27499999997</v>
      </c>
      <c r="D139">
        <f>'0357 table 2'!F139</f>
        <v>523.15</v>
      </c>
      <c r="E139">
        <f>'0357 table 2'!G139</f>
        <v>2</v>
      </c>
      <c r="G139">
        <v>507334.27499999997</v>
      </c>
    </row>
    <row r="140" spans="1:7" x14ac:dyDescent="0.35">
      <c r="A140">
        <v>357</v>
      </c>
      <c r="B140">
        <v>2</v>
      </c>
      <c r="C140">
        <f>'0357 table 2'!E140</f>
        <v>841808.1</v>
      </c>
      <c r="D140">
        <f>'0357 table 2'!F140</f>
        <v>523.15</v>
      </c>
      <c r="E140">
        <f>'0357 table 2'!G140</f>
        <v>3.3333333333333339</v>
      </c>
      <c r="G140">
        <v>841808.1</v>
      </c>
    </row>
    <row r="141" spans="1:7" x14ac:dyDescent="0.35">
      <c r="A141">
        <v>357</v>
      </c>
      <c r="B141">
        <v>2</v>
      </c>
      <c r="C141">
        <f>'0357 table 2'!E141</f>
        <v>1255923.375</v>
      </c>
      <c r="D141">
        <f>'0357 table 2'!F141</f>
        <v>523.15</v>
      </c>
      <c r="E141">
        <f>'0357 table 2'!G141</f>
        <v>5</v>
      </c>
      <c r="G141">
        <v>1255923.375</v>
      </c>
    </row>
    <row r="142" spans="1:7" x14ac:dyDescent="0.35">
      <c r="A142">
        <v>357</v>
      </c>
      <c r="B142">
        <v>2</v>
      </c>
      <c r="C142">
        <f>'0357 table 2'!E142</f>
        <v>1665681.675</v>
      </c>
      <c r="D142">
        <f>'0357 table 2'!F142</f>
        <v>523.15</v>
      </c>
      <c r="E142">
        <f>'0357 table 2'!G142</f>
        <v>6.6666666666666679</v>
      </c>
      <c r="G142">
        <v>1665681.675</v>
      </c>
    </row>
    <row r="143" spans="1:7" x14ac:dyDescent="0.35">
      <c r="A143">
        <v>357</v>
      </c>
      <c r="B143">
        <v>2</v>
      </c>
      <c r="C143">
        <f>'0357 table 2'!E143</f>
        <v>2158729.125</v>
      </c>
      <c r="D143">
        <f>'0357 table 2'!F143</f>
        <v>523.15</v>
      </c>
      <c r="E143">
        <f>'0357 table 2'!G143</f>
        <v>8.6956521739130448</v>
      </c>
      <c r="G143">
        <v>2158729.125</v>
      </c>
    </row>
    <row r="144" spans="1:7" x14ac:dyDescent="0.35">
      <c r="A144">
        <v>357</v>
      </c>
      <c r="B144">
        <v>2</v>
      </c>
      <c r="C144">
        <f>'0357 table 2'!E144</f>
        <v>2875400.85</v>
      </c>
      <c r="D144">
        <f>'0357 table 2'!F144</f>
        <v>523.15</v>
      </c>
      <c r="E144">
        <f>'0357 table 2'!G144</f>
        <v>11.695906432748536</v>
      </c>
      <c r="G144">
        <v>2875400.85</v>
      </c>
    </row>
    <row r="145" spans="1:7" x14ac:dyDescent="0.35">
      <c r="A145">
        <v>357</v>
      </c>
      <c r="B145">
        <v>2</v>
      </c>
      <c r="C145">
        <f>'0357 table 2'!E145</f>
        <v>177014.77500000002</v>
      </c>
      <c r="D145">
        <f>'0357 table 2'!F145</f>
        <v>473.15</v>
      </c>
      <c r="E145">
        <f>'0357 table 2'!G145</f>
        <v>0.76923076923076927</v>
      </c>
      <c r="G145">
        <v>177014.77500000002</v>
      </c>
    </row>
    <row r="146" spans="1:7" x14ac:dyDescent="0.35">
      <c r="A146">
        <v>357</v>
      </c>
      <c r="B146">
        <v>2</v>
      </c>
      <c r="C146">
        <f>'0357 table 2'!E146</f>
        <v>457887.67499999999</v>
      </c>
      <c r="D146">
        <f>'0357 table 2'!F146</f>
        <v>473.15</v>
      </c>
      <c r="E146">
        <f>'0357 table 2'!G146</f>
        <v>2</v>
      </c>
      <c r="G146">
        <v>457887.67499999999</v>
      </c>
    </row>
    <row r="147" spans="1:7" x14ac:dyDescent="0.35">
      <c r="A147">
        <v>357</v>
      </c>
      <c r="B147">
        <v>2</v>
      </c>
      <c r="C147">
        <f>'0357 table 2'!E147</f>
        <v>758822.92499999993</v>
      </c>
      <c r="D147">
        <f>'0357 table 2'!F147</f>
        <v>473.15</v>
      </c>
      <c r="E147">
        <f>'0357 table 2'!G147</f>
        <v>3.3333333333333339</v>
      </c>
      <c r="G147">
        <v>758822.92499999993</v>
      </c>
    </row>
    <row r="148" spans="1:7" x14ac:dyDescent="0.35">
      <c r="A148">
        <v>357</v>
      </c>
      <c r="B148">
        <v>2</v>
      </c>
      <c r="C148">
        <f>'0357 table 2'!E148</f>
        <v>1130077.7250000001</v>
      </c>
      <c r="D148">
        <f>'0357 table 2'!F148</f>
        <v>473.15</v>
      </c>
      <c r="E148">
        <f>'0357 table 2'!G148</f>
        <v>5</v>
      </c>
      <c r="G148">
        <v>1130077.7250000001</v>
      </c>
    </row>
    <row r="149" spans="1:7" x14ac:dyDescent="0.35">
      <c r="A149">
        <v>357</v>
      </c>
      <c r="B149">
        <v>2</v>
      </c>
      <c r="C149">
        <f>'0357 table 2'!E149</f>
        <v>1496164.95</v>
      </c>
      <c r="D149">
        <f>'0357 table 2'!F149</f>
        <v>473.15</v>
      </c>
      <c r="E149">
        <f>'0357 table 2'!G149</f>
        <v>6.6666666666666679</v>
      </c>
      <c r="G149">
        <v>1496164.95</v>
      </c>
    </row>
    <row r="150" spans="1:7" x14ac:dyDescent="0.35">
      <c r="A150">
        <v>357</v>
      </c>
      <c r="B150">
        <v>2</v>
      </c>
      <c r="C150">
        <f>'0357 table 2'!E150</f>
        <v>1935104.8499999999</v>
      </c>
      <c r="D150">
        <f>'0357 table 2'!F150</f>
        <v>473.15</v>
      </c>
      <c r="E150">
        <f>'0357 table 2'!G150</f>
        <v>8.6956521739130448</v>
      </c>
      <c r="G150">
        <v>1935104.8499999999</v>
      </c>
    </row>
    <row r="151" spans="1:7" x14ac:dyDescent="0.35">
      <c r="A151">
        <v>357</v>
      </c>
      <c r="B151">
        <v>2</v>
      </c>
      <c r="C151">
        <f>'0357 table 2'!E151</f>
        <v>2569703.3250000002</v>
      </c>
      <c r="D151">
        <f>'0357 table 2'!F151</f>
        <v>473.15</v>
      </c>
      <c r="E151">
        <f>'0357 table 2'!G151</f>
        <v>11.695906432748536</v>
      </c>
      <c r="G151">
        <v>2569703.3250000002</v>
      </c>
    </row>
    <row r="152" spans="1:7" x14ac:dyDescent="0.35">
      <c r="A152">
        <v>357</v>
      </c>
      <c r="B152">
        <v>2</v>
      </c>
      <c r="C152">
        <f>'0357 table 2'!E152</f>
        <v>158168.32499999998</v>
      </c>
      <c r="D152">
        <f>'0357 table 2'!F152</f>
        <v>423.15</v>
      </c>
      <c r="E152">
        <f>'0357 table 2'!G152</f>
        <v>0.76923076923076927</v>
      </c>
      <c r="G152">
        <v>158168.32499999998</v>
      </c>
    </row>
    <row r="153" spans="1:7" x14ac:dyDescent="0.35">
      <c r="A153">
        <v>357</v>
      </c>
      <c r="B153">
        <v>2</v>
      </c>
      <c r="C153">
        <f>'0357 table 2'!E153</f>
        <v>408339.75</v>
      </c>
      <c r="D153">
        <f>'0357 table 2'!F153</f>
        <v>423.15</v>
      </c>
      <c r="E153">
        <f>'0357 table 2'!G153</f>
        <v>2</v>
      </c>
      <c r="G153">
        <v>408339.75</v>
      </c>
    </row>
    <row r="154" spans="1:7" x14ac:dyDescent="0.35">
      <c r="A154">
        <v>357</v>
      </c>
      <c r="B154">
        <v>2</v>
      </c>
      <c r="C154">
        <f>'0357 table 2'!E154</f>
        <v>675229.79999999993</v>
      </c>
      <c r="D154">
        <f>'0357 table 2'!F154</f>
        <v>423.15</v>
      </c>
      <c r="E154">
        <f>'0357 table 2'!G154</f>
        <v>3.3333333333333339</v>
      </c>
      <c r="G154">
        <v>675229.79999999993</v>
      </c>
    </row>
    <row r="155" spans="1:7" x14ac:dyDescent="0.35">
      <c r="A155">
        <v>357</v>
      </c>
      <c r="B155">
        <v>2</v>
      </c>
      <c r="C155">
        <f>'0357 table 2'!E155</f>
        <v>1003320.1499999999</v>
      </c>
      <c r="D155">
        <f>'0357 table 2'!F155</f>
        <v>423.15</v>
      </c>
      <c r="E155">
        <f>'0357 table 2'!G155</f>
        <v>5</v>
      </c>
      <c r="G155">
        <v>1003320.1499999999</v>
      </c>
    </row>
    <row r="156" spans="1:7" x14ac:dyDescent="0.35">
      <c r="A156">
        <v>357</v>
      </c>
      <c r="B156">
        <v>2</v>
      </c>
      <c r="C156">
        <f>'0357 table 2'!E156</f>
        <v>1324824.375</v>
      </c>
      <c r="D156">
        <f>'0357 table 2'!F156</f>
        <v>423.15</v>
      </c>
      <c r="E156">
        <f>'0357 table 2'!G156</f>
        <v>6.6666666666666679</v>
      </c>
      <c r="G156">
        <v>1324824.375</v>
      </c>
    </row>
    <row r="157" spans="1:7" x14ac:dyDescent="0.35">
      <c r="A157">
        <v>357</v>
      </c>
      <c r="B157">
        <v>2</v>
      </c>
      <c r="C157">
        <f>'0357 table 2'!E157</f>
        <v>1708136.85</v>
      </c>
      <c r="D157">
        <f>'0357 table 2'!F157</f>
        <v>423.15</v>
      </c>
      <c r="E157">
        <f>'0357 table 2'!G157</f>
        <v>8.6956521739130448</v>
      </c>
      <c r="G157">
        <v>1708136.85</v>
      </c>
    </row>
    <row r="158" spans="1:7" x14ac:dyDescent="0.35">
      <c r="A158">
        <v>357</v>
      </c>
      <c r="B158">
        <v>2</v>
      </c>
      <c r="C158">
        <f>'0357 table 2'!E158</f>
        <v>2258027.625</v>
      </c>
      <c r="D158">
        <f>'0357 table 2'!F158</f>
        <v>423.15</v>
      </c>
      <c r="E158">
        <f>'0357 table 2'!G158</f>
        <v>11.695906432748536</v>
      </c>
      <c r="G158">
        <v>2258027.625</v>
      </c>
    </row>
    <row r="159" spans="1:7" x14ac:dyDescent="0.35">
      <c r="A159">
        <v>357</v>
      </c>
      <c r="B159">
        <v>2</v>
      </c>
      <c r="C159">
        <f>'0357 table 2'!E159</f>
        <v>139220.55000000002</v>
      </c>
      <c r="D159">
        <f>'0357 table 2'!F159</f>
        <v>373.15</v>
      </c>
      <c r="E159">
        <f>'0357 table 2'!G159</f>
        <v>0.76923076923076927</v>
      </c>
      <c r="G159">
        <v>139220.55000000002</v>
      </c>
    </row>
    <row r="160" spans="1:7" x14ac:dyDescent="0.35">
      <c r="A160">
        <v>357</v>
      </c>
      <c r="B160">
        <v>2</v>
      </c>
      <c r="C160">
        <f>'0357 table 2'!E160</f>
        <v>358386.52499999997</v>
      </c>
      <c r="D160">
        <f>'0357 table 2'!F160</f>
        <v>373.15</v>
      </c>
      <c r="E160">
        <f>'0357 table 2'!G160</f>
        <v>2</v>
      </c>
      <c r="G160">
        <v>358386.52499999997</v>
      </c>
    </row>
    <row r="161" spans="1:7" x14ac:dyDescent="0.35">
      <c r="A161">
        <v>357</v>
      </c>
      <c r="B161">
        <v>2</v>
      </c>
      <c r="C161">
        <f>'0357 table 2'!E161</f>
        <v>590927.4</v>
      </c>
      <c r="D161">
        <f>'0357 table 2'!F161</f>
        <v>373.15</v>
      </c>
      <c r="E161">
        <f>'0357 table 2'!G161</f>
        <v>3.3333333333333339</v>
      </c>
      <c r="G161">
        <v>590927.4</v>
      </c>
    </row>
    <row r="162" spans="1:7" x14ac:dyDescent="0.35">
      <c r="A162">
        <v>357</v>
      </c>
      <c r="B162">
        <v>2</v>
      </c>
      <c r="C162">
        <f>'0357 table 2'!E162</f>
        <v>874637.4</v>
      </c>
      <c r="D162">
        <f>'0357 table 2'!F162</f>
        <v>373.15</v>
      </c>
      <c r="E162">
        <f>'0357 table 2'!G162</f>
        <v>5</v>
      </c>
      <c r="G162">
        <v>874637.4</v>
      </c>
    </row>
    <row r="163" spans="1:7" x14ac:dyDescent="0.35">
      <c r="A163">
        <v>357</v>
      </c>
      <c r="B163">
        <v>2</v>
      </c>
      <c r="C163">
        <f>'0357 table 2'!E163</f>
        <v>1150241.4000000001</v>
      </c>
      <c r="D163">
        <f>'0357 table 2'!F163</f>
        <v>373.15</v>
      </c>
      <c r="E163">
        <f>'0357 table 2'!G163</f>
        <v>6.6666666666666679</v>
      </c>
      <c r="G163">
        <v>1150241.4000000001</v>
      </c>
    </row>
    <row r="164" spans="1:7" x14ac:dyDescent="0.35">
      <c r="A164">
        <v>357</v>
      </c>
      <c r="B164">
        <v>2</v>
      </c>
      <c r="C164">
        <f>'0357 table 2'!E164</f>
        <v>1476001.2749999999</v>
      </c>
      <c r="D164">
        <f>'0357 table 2'!F164</f>
        <v>373.15</v>
      </c>
      <c r="E164">
        <f>'0357 table 2'!G164</f>
        <v>8.6956521739130448</v>
      </c>
      <c r="G164">
        <v>1476001.2749999999</v>
      </c>
    </row>
    <row r="165" spans="1:7" x14ac:dyDescent="0.35">
      <c r="A165">
        <v>357</v>
      </c>
      <c r="B165">
        <v>2</v>
      </c>
      <c r="C165">
        <f>'0357 table 2'!E165</f>
        <v>1936219.4250000003</v>
      </c>
      <c r="D165">
        <f>'0357 table 2'!F165</f>
        <v>373.15</v>
      </c>
      <c r="E165">
        <f>'0357 table 2'!G165</f>
        <v>11.695906432748536</v>
      </c>
      <c r="G165">
        <v>1936219.4250000003</v>
      </c>
    </row>
    <row r="166" spans="1:7" x14ac:dyDescent="0.35">
      <c r="A166">
        <v>357</v>
      </c>
      <c r="B166">
        <v>2</v>
      </c>
      <c r="C166">
        <f>'0357 table 2'!E166</f>
        <v>120272.77500000001</v>
      </c>
      <c r="D166">
        <f>'0357 table 2'!F166</f>
        <v>323.14999999999998</v>
      </c>
      <c r="E166">
        <f>'0357 table 2'!G166</f>
        <v>0.76923076923076927</v>
      </c>
      <c r="G166">
        <v>120272.77500000001</v>
      </c>
    </row>
    <row r="167" spans="1:7" x14ac:dyDescent="0.35">
      <c r="A167">
        <v>357</v>
      </c>
      <c r="B167">
        <v>2</v>
      </c>
      <c r="C167">
        <f>'0357 table 2'!E167</f>
        <v>307926.67499999999</v>
      </c>
      <c r="D167">
        <f>'0357 table 2'!F167</f>
        <v>323.14999999999998</v>
      </c>
      <c r="E167">
        <f>'0357 table 2'!G167</f>
        <v>2</v>
      </c>
      <c r="G167">
        <v>307926.67499999999</v>
      </c>
    </row>
    <row r="168" spans="1:7" x14ac:dyDescent="0.35">
      <c r="A168">
        <v>357</v>
      </c>
      <c r="B168">
        <v>2</v>
      </c>
      <c r="C168">
        <f>'0357 table 2'!E168</f>
        <v>505105.12500000006</v>
      </c>
      <c r="D168">
        <f>'0357 table 2'!F168</f>
        <v>323.14999999999998</v>
      </c>
      <c r="E168">
        <f>'0357 table 2'!G168</f>
        <v>3.3333333333333339</v>
      </c>
      <c r="G168">
        <v>505105.12500000006</v>
      </c>
    </row>
    <row r="169" spans="1:7" x14ac:dyDescent="0.35">
      <c r="A169">
        <v>357</v>
      </c>
      <c r="B169">
        <v>2</v>
      </c>
      <c r="C169">
        <f>'0357 table 2'!E169</f>
        <v>742408.27500000002</v>
      </c>
      <c r="D169">
        <f>'0357 table 2'!F169</f>
        <v>323.14999999999998</v>
      </c>
      <c r="E169">
        <f>'0357 table 2'!G169</f>
        <v>5</v>
      </c>
      <c r="G169">
        <v>742408.27500000002</v>
      </c>
    </row>
    <row r="170" spans="1:7" x14ac:dyDescent="0.35">
      <c r="A170">
        <v>357</v>
      </c>
      <c r="B170">
        <v>2</v>
      </c>
      <c r="C170">
        <f>'0357 table 2'!E170</f>
        <v>969376.27500000002</v>
      </c>
      <c r="D170">
        <f>'0357 table 2'!F170</f>
        <v>323.14999999999998</v>
      </c>
      <c r="E170">
        <f>'0357 table 2'!G170</f>
        <v>6.6666666666666679</v>
      </c>
      <c r="G170">
        <v>969376.27500000002</v>
      </c>
    </row>
    <row r="171" spans="1:7" x14ac:dyDescent="0.35">
      <c r="A171">
        <v>357</v>
      </c>
      <c r="B171">
        <v>2</v>
      </c>
      <c r="C171">
        <f>'0357 table 2'!E171</f>
        <v>1232314.6500000001</v>
      </c>
      <c r="D171">
        <f>'0357 table 2'!F171</f>
        <v>323.14999999999998</v>
      </c>
      <c r="E171">
        <f>'0357 table 2'!G171</f>
        <v>8.6956521739130448</v>
      </c>
      <c r="G171">
        <v>1232314.6500000001</v>
      </c>
    </row>
    <row r="172" spans="1:7" x14ac:dyDescent="0.35">
      <c r="A172">
        <v>357</v>
      </c>
      <c r="B172">
        <v>2</v>
      </c>
      <c r="C172">
        <f>'0357 table 2'!E172</f>
        <v>1593031.65</v>
      </c>
      <c r="D172">
        <f>'0357 table 2'!F172</f>
        <v>323.14999999999998</v>
      </c>
      <c r="E172">
        <f>'0357 table 2'!G172</f>
        <v>11.695906432748536</v>
      </c>
      <c r="G172">
        <v>1593031.65</v>
      </c>
    </row>
    <row r="173" spans="1:7" x14ac:dyDescent="0.35">
      <c r="A173">
        <v>357</v>
      </c>
      <c r="B173">
        <v>2</v>
      </c>
      <c r="C173">
        <f>'0357 table 2'!E173</f>
        <v>1154193.075</v>
      </c>
      <c r="D173">
        <f>'0357 table 2'!F173</f>
        <v>308.14999999999998</v>
      </c>
      <c r="E173">
        <f>'0357 table 2'!G173</f>
        <v>8.6956521739130448</v>
      </c>
      <c r="G173">
        <v>1154193.075</v>
      </c>
    </row>
    <row r="174" spans="1:7" x14ac:dyDescent="0.35">
      <c r="A174">
        <v>357</v>
      </c>
      <c r="B174">
        <v>2</v>
      </c>
      <c r="C174">
        <f>'0357 table 2'!E174</f>
        <v>892875.89999999991</v>
      </c>
      <c r="D174">
        <f>'0357 table 2'!F174</f>
        <v>303.14999999999998</v>
      </c>
      <c r="E174">
        <f>'0357 table 2'!G174</f>
        <v>6.6666666666666679</v>
      </c>
      <c r="G174">
        <v>892875.89999999991</v>
      </c>
    </row>
    <row r="175" spans="1:7" x14ac:dyDescent="0.35">
      <c r="A175">
        <v>357</v>
      </c>
      <c r="B175">
        <v>2</v>
      </c>
      <c r="C175">
        <f>'0357 table 2'!E175</f>
        <v>1127645.925</v>
      </c>
      <c r="D175">
        <f>'0357 table 2'!F175</f>
        <v>303.14999999999998</v>
      </c>
      <c r="E175">
        <f>'0357 table 2'!G175</f>
        <v>8.6956521739130448</v>
      </c>
      <c r="G175">
        <v>1127645.925</v>
      </c>
    </row>
    <row r="176" spans="1:7" x14ac:dyDescent="0.35">
      <c r="A176">
        <v>357</v>
      </c>
      <c r="B176">
        <v>2</v>
      </c>
      <c r="C176">
        <f>'0357 table 2'!E176</f>
        <v>110646.90000000001</v>
      </c>
      <c r="D176">
        <f>'0357 table 2'!F176</f>
        <v>298.14999999999998</v>
      </c>
      <c r="E176">
        <f>'0357 table 2'!G176</f>
        <v>0.76923076923076927</v>
      </c>
      <c r="G176">
        <v>110646.90000000001</v>
      </c>
    </row>
    <row r="177" spans="1:7" x14ac:dyDescent="0.35">
      <c r="A177">
        <v>357</v>
      </c>
      <c r="B177">
        <v>2</v>
      </c>
      <c r="C177">
        <f>'0357 table 2'!E177</f>
        <v>282291.45</v>
      </c>
      <c r="D177">
        <f>'0357 table 2'!F177</f>
        <v>298.14999999999998</v>
      </c>
      <c r="E177">
        <f>'0357 table 2'!G177</f>
        <v>2</v>
      </c>
      <c r="G177">
        <v>282291.45</v>
      </c>
    </row>
    <row r="178" spans="1:7" x14ac:dyDescent="0.35">
      <c r="A178">
        <v>357</v>
      </c>
      <c r="B178">
        <v>2</v>
      </c>
      <c r="C178">
        <f>'0357 table 2'!E178</f>
        <v>460927.42500000005</v>
      </c>
      <c r="D178">
        <f>'0357 table 2'!F178</f>
        <v>298.14999999999998</v>
      </c>
      <c r="E178">
        <f>'0357 table 2'!G178</f>
        <v>3.3333333333333339</v>
      </c>
      <c r="G178">
        <v>460927.42500000005</v>
      </c>
    </row>
    <row r="179" spans="1:7" x14ac:dyDescent="0.35">
      <c r="A179">
        <v>357</v>
      </c>
      <c r="B179">
        <v>2</v>
      </c>
      <c r="C179">
        <f>'0357 table 2'!E179</f>
        <v>673304.625</v>
      </c>
      <c r="D179">
        <f>'0357 table 2'!F179</f>
        <v>298.14999999999998</v>
      </c>
      <c r="E179">
        <f>'0357 table 2'!G179</f>
        <v>5</v>
      </c>
      <c r="G179">
        <v>673304.625</v>
      </c>
    </row>
    <row r="180" spans="1:7" x14ac:dyDescent="0.35">
      <c r="A180">
        <v>357</v>
      </c>
      <c r="B180">
        <v>2</v>
      </c>
      <c r="C180">
        <f>'0357 table 2'!E180</f>
        <v>873218.85</v>
      </c>
      <c r="D180">
        <f>'0357 table 2'!F180</f>
        <v>298.14999999999998</v>
      </c>
      <c r="E180">
        <f>'0357 table 2'!G180</f>
        <v>6.6666666666666679</v>
      </c>
      <c r="G180">
        <v>873218.85</v>
      </c>
    </row>
    <row r="181" spans="1:7" x14ac:dyDescent="0.35">
      <c r="A181">
        <v>357</v>
      </c>
      <c r="B181">
        <v>2</v>
      </c>
      <c r="C181">
        <f>'0357 table 2'!E181</f>
        <v>644528.32499999995</v>
      </c>
      <c r="D181">
        <f>'0357 table 2'!F181</f>
        <v>288.14999999999998</v>
      </c>
      <c r="E181">
        <f>'0357 table 2'!G181</f>
        <v>5</v>
      </c>
      <c r="G181">
        <v>644528.32499999995</v>
      </c>
    </row>
    <row r="182" spans="1:7" x14ac:dyDescent="0.35">
      <c r="A182">
        <v>357</v>
      </c>
      <c r="B182">
        <v>2</v>
      </c>
      <c r="C182">
        <f>'0357 table 2'!E182</f>
        <v>433569.67499999999</v>
      </c>
      <c r="D182">
        <f>'0357 table 2'!F182</f>
        <v>283.14999999999998</v>
      </c>
      <c r="E182">
        <f>'0357 table 2'!G182</f>
        <v>3.3333333333333339</v>
      </c>
      <c r="G182">
        <v>433569.67499999999</v>
      </c>
    </row>
    <row r="183" spans="1:7" x14ac:dyDescent="0.35">
      <c r="A183">
        <v>357</v>
      </c>
      <c r="B183">
        <v>2</v>
      </c>
      <c r="C183">
        <f>'0357 table 2'!E183</f>
        <v>424349.1</v>
      </c>
      <c r="D183">
        <f>'0357 table 2'!F183</f>
        <v>278.14999999999998</v>
      </c>
      <c r="E183">
        <f>'0357 table 2'!G183</f>
        <v>3.3333333333333339</v>
      </c>
      <c r="G183">
        <v>424349.1</v>
      </c>
    </row>
    <row r="184" spans="1:7" x14ac:dyDescent="0.35">
      <c r="A184">
        <v>357</v>
      </c>
      <c r="B184">
        <v>2</v>
      </c>
      <c r="C184">
        <f>'0357 table 2'!E184</f>
        <v>101021.02499999999</v>
      </c>
      <c r="D184">
        <f>'0357 table 2'!F184</f>
        <v>273.14999999999998</v>
      </c>
      <c r="E184">
        <f>'0357 table 2'!G184</f>
        <v>0.76923076923076927</v>
      </c>
      <c r="G184">
        <v>101021.02499999999</v>
      </c>
    </row>
    <row r="185" spans="1:7" x14ac:dyDescent="0.35">
      <c r="A185">
        <v>357</v>
      </c>
      <c r="B185">
        <v>2</v>
      </c>
      <c r="C185">
        <f>'0357 table 2'!E185</f>
        <v>256149.6</v>
      </c>
      <c r="D185">
        <f>'0357 table 2'!F185</f>
        <v>273.14999999999998</v>
      </c>
      <c r="E185">
        <f>'0357 table 2'!G185</f>
        <v>2</v>
      </c>
      <c r="G185">
        <v>256149.6</v>
      </c>
    </row>
    <row r="186" spans="1:7" x14ac:dyDescent="0.35">
      <c r="A186">
        <v>357</v>
      </c>
      <c r="B186">
        <v>2</v>
      </c>
      <c r="C186">
        <f>'0357 table 2'!E186</f>
        <v>245307.82499999998</v>
      </c>
      <c r="D186">
        <f>'0357 table 2'!F186</f>
        <v>263.14999999999998</v>
      </c>
      <c r="E186">
        <f>'0357 table 2'!G186</f>
        <v>2</v>
      </c>
      <c r="G186">
        <v>245307.82499999998</v>
      </c>
    </row>
    <row r="187" spans="1:7" x14ac:dyDescent="0.35">
      <c r="A187">
        <v>357</v>
      </c>
      <c r="B187">
        <v>2</v>
      </c>
      <c r="C187">
        <f>'0357 table 2'!E187</f>
        <v>93320.324999999997</v>
      </c>
      <c r="D187">
        <f>'0357 table 2'!F187</f>
        <v>253.14999999999998</v>
      </c>
      <c r="E187">
        <f>'0357 table 2'!G187</f>
        <v>0.76923076923076927</v>
      </c>
      <c r="G187">
        <v>93320.324999999997</v>
      </c>
    </row>
    <row r="188" spans="1:7" x14ac:dyDescent="0.35">
      <c r="A188">
        <v>357</v>
      </c>
      <c r="B188">
        <v>2</v>
      </c>
      <c r="C188">
        <f>'0357 table 2'!E188</f>
        <v>89368.65</v>
      </c>
      <c r="D188">
        <f>'0357 table 2'!F188</f>
        <v>243.14999999999998</v>
      </c>
      <c r="E188">
        <f>'0357 table 2'!G188</f>
        <v>0.76923076923076927</v>
      </c>
      <c r="G188">
        <v>89368.65</v>
      </c>
    </row>
    <row r="189" spans="1:7" x14ac:dyDescent="0.35">
      <c r="A189">
        <v>357</v>
      </c>
      <c r="B189">
        <v>2</v>
      </c>
      <c r="C189">
        <f>'0357 table 2'!E189</f>
        <v>87646.125</v>
      </c>
      <c r="D189">
        <f>'0357 table 2'!F189</f>
        <v>238.14999999999998</v>
      </c>
      <c r="E189">
        <f>'0357 table 2'!G189</f>
        <v>0.76923076923076927</v>
      </c>
      <c r="G189">
        <v>87646.125</v>
      </c>
    </row>
    <row r="190" spans="1:7" x14ac:dyDescent="0.35">
      <c r="A190">
        <v>358</v>
      </c>
      <c r="B190">
        <v>1</v>
      </c>
      <c r="C190">
        <f>'0358 table 1'!E2</f>
        <v>202650</v>
      </c>
      <c r="D190">
        <f>'0358 table 1'!F2</f>
        <v>298.14999999999998</v>
      </c>
      <c r="E190">
        <f>'0358 table 1'!G2</f>
        <v>1.4235301283019499</v>
      </c>
      <c r="G190">
        <v>303975</v>
      </c>
    </row>
    <row r="191" spans="1:7" x14ac:dyDescent="0.35">
      <c r="A191">
        <v>358</v>
      </c>
      <c r="B191">
        <v>1</v>
      </c>
      <c r="C191">
        <f>'0358 table 1'!E3</f>
        <v>405300</v>
      </c>
      <c r="D191">
        <f>'0358 table 1'!F3</f>
        <v>298.14999999999998</v>
      </c>
      <c r="E191">
        <f>'0358 table 1'!G3</f>
        <v>2.9168499171994702</v>
      </c>
      <c r="G191">
        <v>506625</v>
      </c>
    </row>
    <row r="192" spans="1:7" x14ac:dyDescent="0.35">
      <c r="A192">
        <v>358</v>
      </c>
      <c r="B192">
        <v>1</v>
      </c>
      <c r="C192">
        <f>'0358 table 1'!E4</f>
        <v>607950</v>
      </c>
      <c r="D192">
        <f>'0358 table 1'!F4</f>
        <v>298.14999999999998</v>
      </c>
      <c r="E192">
        <f>'0358 table 1'!G4</f>
        <v>4.4871480408658373</v>
      </c>
      <c r="G192">
        <v>709275</v>
      </c>
    </row>
    <row r="193" spans="1:7" x14ac:dyDescent="0.35">
      <c r="A193">
        <v>358</v>
      </c>
      <c r="B193">
        <v>1</v>
      </c>
      <c r="C193">
        <f>'0358 table 1'!E5</f>
        <v>709275</v>
      </c>
      <c r="D193">
        <f>'0358 table 1'!F5</f>
        <v>298.14999999999998</v>
      </c>
      <c r="E193">
        <f>'0358 table 1'!G5</f>
        <v>5.3132086241168626</v>
      </c>
      <c r="G193">
        <v>810600</v>
      </c>
    </row>
    <row r="194" spans="1:7" x14ac:dyDescent="0.35">
      <c r="A194">
        <v>358</v>
      </c>
      <c r="B194">
        <v>1</v>
      </c>
      <c r="C194">
        <f>'0358 table 1'!E6</f>
        <v>810600</v>
      </c>
      <c r="D194">
        <f>'0358 table 1'!F6</f>
        <v>298.14999999999998</v>
      </c>
      <c r="E194">
        <f>'0358 table 1'!G6</f>
        <v>6.1691036467455724</v>
      </c>
      <c r="G194">
        <v>911925</v>
      </c>
    </row>
    <row r="195" spans="1:7" x14ac:dyDescent="0.35">
      <c r="A195">
        <v>358</v>
      </c>
      <c r="B195">
        <v>1</v>
      </c>
      <c r="C195">
        <f>'0358 table 1'!E7</f>
        <v>911925</v>
      </c>
      <c r="D195">
        <f>'0358 table 1'!F7</f>
        <v>298.14999999999998</v>
      </c>
      <c r="E195">
        <f>'0358 table 1'!G7</f>
        <v>7.0694607251826707</v>
      </c>
      <c r="G195">
        <v>1013250</v>
      </c>
    </row>
    <row r="196" spans="1:7" x14ac:dyDescent="0.35">
      <c r="A196">
        <v>358</v>
      </c>
      <c r="B196">
        <v>1</v>
      </c>
      <c r="C196">
        <f>'0358 table 1'!E8</f>
        <v>942322.50000000012</v>
      </c>
      <c r="D196">
        <f>'0358 table 1'!F8</f>
        <v>298.14999999999998</v>
      </c>
      <c r="E196">
        <f>'0358 table 1'!G8</f>
        <v>7.3565772323622491</v>
      </c>
      <c r="G196">
        <v>1043647.5000000001</v>
      </c>
    </row>
    <row r="197" spans="1:7" x14ac:dyDescent="0.35">
      <c r="A197">
        <v>358</v>
      </c>
      <c r="B197">
        <v>1</v>
      </c>
      <c r="C197">
        <f>'0358 table 1'!E9</f>
        <v>962587.5</v>
      </c>
      <c r="D197">
        <f>'0358 table 1'!F9</f>
        <v>298.14999999999998</v>
      </c>
      <c r="E197">
        <f>'0358 table 1'!G9</f>
        <v>7.5637758332685685</v>
      </c>
      <c r="G197">
        <v>1063912.5</v>
      </c>
    </row>
    <row r="198" spans="1:7" x14ac:dyDescent="0.35">
      <c r="A198">
        <v>358</v>
      </c>
      <c r="B198">
        <v>1</v>
      </c>
      <c r="C198">
        <f>'0358 table 1'!E10</f>
        <v>982852.49999999988</v>
      </c>
      <c r="D198">
        <f>'0358 table 1'!F10</f>
        <v>298.14999999999998</v>
      </c>
      <c r="E198">
        <f>'0358 table 1'!G10</f>
        <v>7.8006359260335474</v>
      </c>
      <c r="G198">
        <v>1084177.5</v>
      </c>
    </row>
    <row r="199" spans="1:7" x14ac:dyDescent="0.35">
      <c r="A199">
        <v>358</v>
      </c>
      <c r="B199">
        <v>1</v>
      </c>
      <c r="C199">
        <f>'0358 table 1'!E11</f>
        <v>202650</v>
      </c>
      <c r="D199">
        <f>'0358 table 1'!F11</f>
        <v>323.14999999999998</v>
      </c>
      <c r="E199">
        <f>'0358 table 1'!G11</f>
        <v>1.3032732357322685</v>
      </c>
      <c r="G199">
        <v>303975</v>
      </c>
    </row>
    <row r="200" spans="1:7" x14ac:dyDescent="0.35">
      <c r="A200">
        <v>358</v>
      </c>
      <c r="B200">
        <v>1</v>
      </c>
      <c r="C200">
        <f>'0358 table 1'!E12</f>
        <v>405300</v>
      </c>
      <c r="D200">
        <f>'0358 table 1'!F12</f>
        <v>323.14999999999998</v>
      </c>
      <c r="E200">
        <f>'0358 table 1'!G12</f>
        <v>2.6473744870934119</v>
      </c>
      <c r="G200">
        <v>506625</v>
      </c>
    </row>
    <row r="201" spans="1:7" x14ac:dyDescent="0.35">
      <c r="A201">
        <v>358</v>
      </c>
      <c r="B201">
        <v>1</v>
      </c>
      <c r="C201">
        <f>'0358 table 1'!E13</f>
        <v>607950</v>
      </c>
      <c r="D201">
        <f>'0358 table 1'!F13</f>
        <v>323.14999999999998</v>
      </c>
      <c r="E201">
        <f>'0358 table 1'!G13</f>
        <v>4.037634433584631</v>
      </c>
      <c r="G201">
        <v>709275</v>
      </c>
    </row>
    <row r="202" spans="1:7" x14ac:dyDescent="0.35">
      <c r="A202">
        <v>358</v>
      </c>
      <c r="B202">
        <v>1</v>
      </c>
      <c r="C202">
        <f>'0358 table 1'!E14</f>
        <v>810600</v>
      </c>
      <c r="D202">
        <f>'0358 table 1'!F14</f>
        <v>323.14999999999998</v>
      </c>
      <c r="E202">
        <f>'0358 table 1'!G14</f>
        <v>5.4823137052399638</v>
      </c>
      <c r="G202">
        <v>911925</v>
      </c>
    </row>
    <row r="203" spans="1:7" x14ac:dyDescent="0.35">
      <c r="A203">
        <v>358</v>
      </c>
      <c r="B203">
        <v>1</v>
      </c>
      <c r="C203">
        <f>'0358 table 1'!E15</f>
        <v>1013250</v>
      </c>
      <c r="D203">
        <f>'0358 table 1'!F15</f>
        <v>323.14999999999998</v>
      </c>
      <c r="E203">
        <f>'0358 table 1'!G15</f>
        <v>6.990128978764278</v>
      </c>
      <c r="G203">
        <v>1114575</v>
      </c>
    </row>
    <row r="204" spans="1:7" x14ac:dyDescent="0.35">
      <c r="A204">
        <v>358</v>
      </c>
      <c r="B204">
        <v>1</v>
      </c>
      <c r="C204">
        <f>'0358 table 1'!E16</f>
        <v>1215900</v>
      </c>
      <c r="D204">
        <f>'0358 table 1'!F16</f>
        <v>323.14999999999998</v>
      </c>
      <c r="E204">
        <f>'0358 table 1'!G16</f>
        <v>8.5700395939356646</v>
      </c>
      <c r="G204">
        <v>1317225</v>
      </c>
    </row>
    <row r="205" spans="1:7" x14ac:dyDescent="0.35">
      <c r="A205">
        <v>358</v>
      </c>
      <c r="B205">
        <v>1</v>
      </c>
      <c r="C205">
        <f>'0358 table 1'!E17</f>
        <v>1418550</v>
      </c>
      <c r="D205">
        <f>'0358 table 1'!F17</f>
        <v>323.14999999999998</v>
      </c>
      <c r="E205">
        <f>'0358 table 1'!G17</f>
        <v>10.225796324308048</v>
      </c>
      <c r="G205">
        <v>1519875</v>
      </c>
    </row>
    <row r="206" spans="1:7" x14ac:dyDescent="0.35">
      <c r="A206">
        <v>358</v>
      </c>
      <c r="B206">
        <v>1</v>
      </c>
      <c r="C206">
        <f>'0358 table 1'!E18</f>
        <v>1621200</v>
      </c>
      <c r="D206">
        <f>'0358 table 1'!F18</f>
        <v>323.14999999999998</v>
      </c>
      <c r="E206">
        <f>'0358 table 1'!G18</f>
        <v>11.960019563665957</v>
      </c>
      <c r="G206">
        <v>1722525</v>
      </c>
    </row>
    <row r="207" spans="1:7" x14ac:dyDescent="0.35">
      <c r="A207">
        <v>358</v>
      </c>
      <c r="B207">
        <v>1</v>
      </c>
      <c r="C207">
        <f>'0358 table 1'!E19</f>
        <v>1823850</v>
      </c>
      <c r="D207">
        <f>'0358 table 1'!F19</f>
        <v>323.14999999999998</v>
      </c>
      <c r="E207">
        <f>'0358 table 1'!G19</f>
        <v>13.787185343159825</v>
      </c>
      <c r="G207">
        <v>1925175</v>
      </c>
    </row>
    <row r="208" spans="1:7" x14ac:dyDescent="0.35">
      <c r="A208">
        <v>358</v>
      </c>
      <c r="B208">
        <v>1</v>
      </c>
      <c r="C208">
        <f>'0358 table 1'!E20</f>
        <v>1925175</v>
      </c>
      <c r="D208">
        <f>'0358 table 1'!F20</f>
        <v>323.14999999999998</v>
      </c>
      <c r="E208">
        <f>'0358 table 1'!G20</f>
        <v>14.782323392862962</v>
      </c>
      <c r="G208">
        <v>2026500</v>
      </c>
    </row>
    <row r="209" spans="1:7" x14ac:dyDescent="0.35">
      <c r="A209">
        <v>358</v>
      </c>
      <c r="B209">
        <v>1</v>
      </c>
      <c r="C209">
        <f>'0358 table 1'!E21</f>
        <v>1975837.5</v>
      </c>
      <c r="D209">
        <f>'0358 table 1'!F21</f>
        <v>323.14999999999998</v>
      </c>
      <c r="E209">
        <f>'0358 table 1'!G21</f>
        <v>15.366790780481971</v>
      </c>
      <c r="G209">
        <v>2077162.5</v>
      </c>
    </row>
    <row r="210" spans="1:7" x14ac:dyDescent="0.35">
      <c r="A210">
        <v>358</v>
      </c>
      <c r="B210">
        <v>1</v>
      </c>
      <c r="C210">
        <f>'0358 table 1'!E22</f>
        <v>2006235</v>
      </c>
      <c r="D210">
        <f>'0358 table 1'!F22</f>
        <v>323.14999999999998</v>
      </c>
      <c r="E210">
        <f>'0358 table 1'!G22</f>
        <v>15.842295255093392</v>
      </c>
      <c r="G210">
        <v>2107560</v>
      </c>
    </row>
    <row r="211" spans="1:7" x14ac:dyDescent="0.35">
      <c r="A211">
        <v>358</v>
      </c>
      <c r="B211">
        <v>1</v>
      </c>
      <c r="C211">
        <f>'0358 table 1'!E23</f>
        <v>506625</v>
      </c>
      <c r="D211">
        <f>'0358 table 1'!F23</f>
        <v>348.15</v>
      </c>
      <c r="E211">
        <f>'0358 table 1'!G23</f>
        <v>3.0652718061928401</v>
      </c>
      <c r="G211">
        <v>607950</v>
      </c>
    </row>
    <row r="212" spans="1:7" x14ac:dyDescent="0.35">
      <c r="A212">
        <v>358</v>
      </c>
      <c r="B212">
        <v>1</v>
      </c>
      <c r="C212">
        <f>'0358 table 1'!E24</f>
        <v>1013250</v>
      </c>
      <c r="D212">
        <f>'0358 table 1'!F24</f>
        <v>348.15</v>
      </c>
      <c r="E212">
        <f>'0358 table 1'!G24</f>
        <v>6.3283870580507804</v>
      </c>
      <c r="G212">
        <v>1114575</v>
      </c>
    </row>
    <row r="213" spans="1:7" x14ac:dyDescent="0.35">
      <c r="A213">
        <v>358</v>
      </c>
      <c r="B213">
        <v>1</v>
      </c>
      <c r="C213">
        <f>'0358 table 1'!E25</f>
        <v>1519875</v>
      </c>
      <c r="D213">
        <f>'0358 table 1'!F25</f>
        <v>348.15</v>
      </c>
      <c r="E213">
        <f>'0358 table 1'!G25</f>
        <v>9.8382780427172971</v>
      </c>
      <c r="G213">
        <v>1621200</v>
      </c>
    </row>
    <row r="214" spans="1:7" x14ac:dyDescent="0.35">
      <c r="A214">
        <v>358</v>
      </c>
      <c r="B214">
        <v>1</v>
      </c>
      <c r="C214">
        <f>'0358 table 1'!E26</f>
        <v>2026500</v>
      </c>
      <c r="D214">
        <f>'0358 table 1'!F26</f>
        <v>348.15</v>
      </c>
      <c r="E214">
        <f>'0358 table 1'!G26</f>
        <v>13.658702276741515</v>
      </c>
      <c r="G214">
        <v>2127825</v>
      </c>
    </row>
    <row r="215" spans="1:7" x14ac:dyDescent="0.35">
      <c r="A215">
        <v>358</v>
      </c>
      <c r="B215">
        <v>1</v>
      </c>
      <c r="C215">
        <f>'0358 table 1'!E27</f>
        <v>2533125</v>
      </c>
      <c r="D215">
        <f>'0358 table 1'!F27</f>
        <v>348.15</v>
      </c>
      <c r="E215">
        <f>'0358 table 1'!G27</f>
        <v>17.869726045215334</v>
      </c>
      <c r="G215">
        <v>2634450</v>
      </c>
    </row>
    <row r="216" spans="1:7" x14ac:dyDescent="0.35">
      <c r="A216">
        <v>358</v>
      </c>
      <c r="B216">
        <v>1</v>
      </c>
      <c r="C216">
        <f>'0358 table 1'!E28</f>
        <v>3039750</v>
      </c>
      <c r="D216">
        <f>'0358 table 1'!F28</f>
        <v>348.15</v>
      </c>
      <c r="E216">
        <f>'0358 table 1'!G28</f>
        <v>22.56658905495458</v>
      </c>
      <c r="G216">
        <v>3141075</v>
      </c>
    </row>
    <row r="217" spans="1:7" x14ac:dyDescent="0.35">
      <c r="A217">
        <v>358</v>
      </c>
      <c r="B217">
        <v>1</v>
      </c>
      <c r="C217">
        <f>'0358 table 1'!E29</f>
        <v>3546375</v>
      </c>
      <c r="D217">
        <f>'0358 table 1'!F29</f>
        <v>348.15</v>
      </c>
      <c r="E217">
        <f>'0358 table 1'!G29</f>
        <v>28.062800444375817</v>
      </c>
      <c r="G217">
        <v>3647700</v>
      </c>
    </row>
    <row r="218" spans="1:7" x14ac:dyDescent="0.35">
      <c r="A218">
        <v>358</v>
      </c>
      <c r="B218">
        <v>1</v>
      </c>
      <c r="C218">
        <f>'0358 table 1'!E30</f>
        <v>506625</v>
      </c>
      <c r="D218">
        <f>'0358 table 1'!F30</f>
        <v>373.15</v>
      </c>
      <c r="E218">
        <f>'0358 table 1'!G30</f>
        <v>2.841497681827915</v>
      </c>
      <c r="G218">
        <v>607950</v>
      </c>
    </row>
    <row r="219" spans="1:7" x14ac:dyDescent="0.35">
      <c r="A219">
        <v>358</v>
      </c>
      <c r="B219">
        <v>1</v>
      </c>
      <c r="C219">
        <f>'0358 table 1'!E31</f>
        <v>1013250</v>
      </c>
      <c r="D219">
        <f>'0358 table 1'!F31</f>
        <v>373.15</v>
      </c>
      <c r="E219">
        <f>'0358 table 1'!G31</f>
        <v>5.8179367807635582</v>
      </c>
      <c r="G219">
        <v>1114575</v>
      </c>
    </row>
    <row r="220" spans="1:7" x14ac:dyDescent="0.35">
      <c r="A220">
        <v>358</v>
      </c>
      <c r="B220">
        <v>1</v>
      </c>
      <c r="C220">
        <f>'0358 table 1'!E32</f>
        <v>1519875</v>
      </c>
      <c r="D220">
        <f>'0358 table 1'!F32</f>
        <v>373.15</v>
      </c>
      <c r="E220">
        <f>'0358 table 1'!G32</f>
        <v>8.9535537063907942</v>
      </c>
      <c r="G220">
        <v>1621200</v>
      </c>
    </row>
    <row r="221" spans="1:7" x14ac:dyDescent="0.35">
      <c r="A221">
        <v>358</v>
      </c>
      <c r="B221">
        <v>1</v>
      </c>
      <c r="C221">
        <f>'0358 table 1'!E33</f>
        <v>2026500</v>
      </c>
      <c r="D221">
        <f>'0358 table 1'!F33</f>
        <v>373.15</v>
      </c>
      <c r="E221">
        <f>'0358 table 1'!G33</f>
        <v>12.276674897715397</v>
      </c>
      <c r="G221">
        <v>2127825</v>
      </c>
    </row>
    <row r="222" spans="1:7" x14ac:dyDescent="0.35">
      <c r="A222">
        <v>358</v>
      </c>
      <c r="B222">
        <v>1</v>
      </c>
      <c r="C222">
        <f>'0358 table 1'!E34</f>
        <v>2533125</v>
      </c>
      <c r="D222">
        <f>'0358 table 1'!F34</f>
        <v>373.15</v>
      </c>
      <c r="E222">
        <f>'0358 table 1'!G34</f>
        <v>15.822563616323286</v>
      </c>
      <c r="G222">
        <v>2634450</v>
      </c>
    </row>
    <row r="223" spans="1:7" x14ac:dyDescent="0.35">
      <c r="A223">
        <v>358</v>
      </c>
      <c r="B223">
        <v>1</v>
      </c>
      <c r="C223">
        <f>'0358 table 1'!E35</f>
        <v>3039750</v>
      </c>
      <c r="D223">
        <f>'0358 table 1'!F35</f>
        <v>373.15</v>
      </c>
      <c r="E223">
        <f>'0358 table 1'!G35</f>
        <v>19.625785329604664</v>
      </c>
      <c r="G223">
        <v>3141075</v>
      </c>
    </row>
    <row r="224" spans="1:7" x14ac:dyDescent="0.35">
      <c r="A224">
        <v>358</v>
      </c>
      <c r="B224">
        <v>1</v>
      </c>
      <c r="C224">
        <f>'0358 table 1'!E36</f>
        <v>3546375</v>
      </c>
      <c r="D224">
        <f>'0358 table 1'!F36</f>
        <v>373.15</v>
      </c>
      <c r="E224">
        <f>'0358 table 1'!G36</f>
        <v>23.742915560964587</v>
      </c>
      <c r="G224">
        <v>3647700</v>
      </c>
    </row>
    <row r="225" spans="1:7" x14ac:dyDescent="0.35">
      <c r="A225">
        <v>358</v>
      </c>
      <c r="B225">
        <v>1</v>
      </c>
      <c r="C225">
        <f>'0358 table 1'!E37</f>
        <v>4053000</v>
      </c>
      <c r="D225">
        <f>'0358 table 1'!F37</f>
        <v>373.15</v>
      </c>
      <c r="E225">
        <f>'0358 table 1'!G37</f>
        <v>28.22607237964964</v>
      </c>
      <c r="G225">
        <v>4154325</v>
      </c>
    </row>
    <row r="226" spans="1:7" x14ac:dyDescent="0.35">
      <c r="A226">
        <v>358</v>
      </c>
      <c r="B226">
        <v>1</v>
      </c>
      <c r="C226">
        <f>'0358 table 1'!E38</f>
        <v>4559625</v>
      </c>
      <c r="D226">
        <f>'0358 table 1'!F38</f>
        <v>373.15</v>
      </c>
      <c r="E226">
        <f>'0358 table 1'!G38</f>
        <v>33.194647255762369</v>
      </c>
      <c r="G226">
        <v>4660950</v>
      </c>
    </row>
    <row r="227" spans="1:7" x14ac:dyDescent="0.35">
      <c r="A227">
        <v>358</v>
      </c>
      <c r="B227">
        <v>1</v>
      </c>
      <c r="C227">
        <f>'0358 table 1'!E39</f>
        <v>5066250</v>
      </c>
      <c r="D227">
        <f>'0358 table 1'!F39</f>
        <v>373.15</v>
      </c>
      <c r="E227">
        <f>'0358 table 1'!G39</f>
        <v>38.76461919717007</v>
      </c>
      <c r="G227">
        <v>5167575</v>
      </c>
    </row>
    <row r="228" spans="1:7" x14ac:dyDescent="0.35">
      <c r="A228">
        <v>358</v>
      </c>
      <c r="B228">
        <v>1</v>
      </c>
      <c r="C228">
        <f>'0358 table 1'!E40</f>
        <v>5572875</v>
      </c>
      <c r="D228">
        <f>'0358 table 1'!F40</f>
        <v>373.15</v>
      </c>
      <c r="E228">
        <f>'0358 table 1'!G40</f>
        <v>45.225771131364262</v>
      </c>
      <c r="G228">
        <v>5674200</v>
      </c>
    </row>
    <row r="229" spans="1:7" x14ac:dyDescent="0.35">
      <c r="A229">
        <v>358</v>
      </c>
      <c r="B229">
        <v>1</v>
      </c>
      <c r="C229">
        <f>'0358 table 1'!E41</f>
        <v>6079500</v>
      </c>
      <c r="D229">
        <f>'0358 table 1'!F41</f>
        <v>373.15</v>
      </c>
      <c r="E229">
        <f>'0358 table 1'!G41</f>
        <v>53.055143679586273</v>
      </c>
      <c r="G229">
        <v>6180825</v>
      </c>
    </row>
    <row r="230" spans="1:7" x14ac:dyDescent="0.35">
      <c r="A230">
        <v>358</v>
      </c>
      <c r="B230">
        <v>1</v>
      </c>
      <c r="C230">
        <f>'0358 table 1'!E42</f>
        <v>506625</v>
      </c>
      <c r="D230">
        <f>'0358 table 1'!F42</f>
        <v>398.15</v>
      </c>
      <c r="E230">
        <f>'0358 table 1'!G42</f>
        <v>2.6503511383443077</v>
      </c>
      <c r="G230">
        <v>607950</v>
      </c>
    </row>
    <row r="231" spans="1:7" x14ac:dyDescent="0.35">
      <c r="A231">
        <v>358</v>
      </c>
      <c r="B231">
        <v>1</v>
      </c>
      <c r="C231">
        <f>'0358 table 1'!E43</f>
        <v>1013250</v>
      </c>
      <c r="D231">
        <f>'0358 table 1'!F43</f>
        <v>398.15</v>
      </c>
      <c r="E231">
        <f>'0358 table 1'!G43</f>
        <v>5.3961807649022626</v>
      </c>
      <c r="G231">
        <v>1114575</v>
      </c>
    </row>
    <row r="232" spans="1:7" x14ac:dyDescent="0.35">
      <c r="A232">
        <v>358</v>
      </c>
      <c r="B232">
        <v>1</v>
      </c>
      <c r="C232">
        <f>'0358 table 1'!E44</f>
        <v>1519875</v>
      </c>
      <c r="D232">
        <f>'0358 table 1'!F44</f>
        <v>398.15</v>
      </c>
      <c r="E232">
        <f>'0358 table 1'!G44</f>
        <v>8.2505707801449581</v>
      </c>
      <c r="G232">
        <v>1621200</v>
      </c>
    </row>
    <row r="233" spans="1:7" x14ac:dyDescent="0.35">
      <c r="A233">
        <v>358</v>
      </c>
      <c r="B233">
        <v>1</v>
      </c>
      <c r="C233">
        <f>'0358 table 1'!E45</f>
        <v>2026500</v>
      </c>
      <c r="D233">
        <f>'0358 table 1'!F45</f>
        <v>398.15</v>
      </c>
      <c r="E233">
        <f>'0358 table 1'!G45</f>
        <v>11.227031270505243</v>
      </c>
      <c r="G233">
        <v>2127825</v>
      </c>
    </row>
    <row r="234" spans="1:7" x14ac:dyDescent="0.35">
      <c r="A234">
        <v>358</v>
      </c>
      <c r="B234">
        <v>1</v>
      </c>
      <c r="C234">
        <f>'0358 table 1'!E46</f>
        <v>2533125</v>
      </c>
      <c r="D234">
        <f>'0358 table 1'!F46</f>
        <v>398.15</v>
      </c>
      <c r="E234">
        <f>'0358 table 1'!G46</f>
        <v>14.342699259563023</v>
      </c>
      <c r="G234">
        <v>2634450</v>
      </c>
    </row>
    <row r="235" spans="1:7" x14ac:dyDescent="0.35">
      <c r="A235">
        <v>358</v>
      </c>
      <c r="B235">
        <v>1</v>
      </c>
      <c r="C235">
        <f>'0358 table 1'!E47</f>
        <v>3039750</v>
      </c>
      <c r="D235">
        <f>'0358 table 1'!F47</f>
        <v>398.15</v>
      </c>
      <c r="E235">
        <f>'0358 table 1'!G47</f>
        <v>17.614476071960748</v>
      </c>
      <c r="G235">
        <v>3141075</v>
      </c>
    </row>
    <row r="236" spans="1:7" x14ac:dyDescent="0.35">
      <c r="A236">
        <v>358</v>
      </c>
      <c r="B236">
        <v>1</v>
      </c>
      <c r="C236">
        <f>'0358 table 1'!E48</f>
        <v>3546375</v>
      </c>
      <c r="D236">
        <f>'0358 table 1'!F48</f>
        <v>398.15</v>
      </c>
      <c r="E236">
        <f>'0358 table 1'!G48</f>
        <v>21.062672784731639</v>
      </c>
      <c r="G236">
        <v>3647700</v>
      </c>
    </row>
    <row r="237" spans="1:7" x14ac:dyDescent="0.35">
      <c r="A237">
        <v>358</v>
      </c>
      <c r="B237">
        <v>1</v>
      </c>
      <c r="C237">
        <f>'0358 table 1'!E49</f>
        <v>4053000</v>
      </c>
      <c r="D237">
        <f>'0358 table 1'!F49</f>
        <v>398.15</v>
      </c>
      <c r="E237">
        <f>'0358 table 1'!G49</f>
        <v>24.713574108785515</v>
      </c>
      <c r="G237">
        <v>4154325</v>
      </c>
    </row>
    <row r="238" spans="1:7" x14ac:dyDescent="0.35">
      <c r="A238">
        <v>358</v>
      </c>
      <c r="B238">
        <v>1</v>
      </c>
      <c r="C238">
        <f>'0358 table 1'!E50</f>
        <v>4559625</v>
      </c>
      <c r="D238">
        <f>'0358 table 1'!F50</f>
        <v>398.15</v>
      </c>
      <c r="E238">
        <f>'0358 table 1'!G50</f>
        <v>28.592391254302942</v>
      </c>
      <c r="G238">
        <v>4660950</v>
      </c>
    </row>
    <row r="239" spans="1:7" x14ac:dyDescent="0.35">
      <c r="A239">
        <v>358</v>
      </c>
      <c r="B239">
        <v>1</v>
      </c>
      <c r="C239">
        <f>'0358 table 1'!E51</f>
        <v>5066250</v>
      </c>
      <c r="D239">
        <f>'0358 table 1'!F51</f>
        <v>398.15</v>
      </c>
      <c r="E239">
        <f>'0358 table 1'!G51</f>
        <v>32.734932296505804</v>
      </c>
      <c r="G239">
        <v>5167575</v>
      </c>
    </row>
    <row r="240" spans="1:7" x14ac:dyDescent="0.35">
      <c r="A240">
        <v>358</v>
      </c>
      <c r="B240">
        <v>1</v>
      </c>
      <c r="C240">
        <f>'0358 table 1'!E52</f>
        <v>5572875</v>
      </c>
      <c r="D240">
        <f>'0358 table 1'!F52</f>
        <v>398.15</v>
      </c>
      <c r="E240">
        <f>'0358 table 1'!G52</f>
        <v>37.175711104675464</v>
      </c>
      <c r="G240">
        <v>5674200</v>
      </c>
    </row>
    <row r="241" spans="1:7" x14ac:dyDescent="0.35">
      <c r="A241">
        <v>358</v>
      </c>
      <c r="B241">
        <v>1</v>
      </c>
      <c r="C241">
        <f>'0358 table 1'!E53</f>
        <v>6079500</v>
      </c>
      <c r="D241">
        <f>'0358 table 1'!F53</f>
        <v>398.15</v>
      </c>
      <c r="E241">
        <f>'0358 table 1'!G53</f>
        <v>42.004114576112684</v>
      </c>
      <c r="G241">
        <v>6180825</v>
      </c>
    </row>
    <row r="242" spans="1:7" x14ac:dyDescent="0.35">
      <c r="A242">
        <v>358</v>
      </c>
      <c r="B242">
        <v>1</v>
      </c>
      <c r="C242">
        <f>'0358 table 1'!E54</f>
        <v>6586125</v>
      </c>
      <c r="D242">
        <f>'0358 table 1'!F54</f>
        <v>398.15</v>
      </c>
      <c r="E242">
        <f>'0358 table 1'!G54</f>
        <v>47.256093476738222</v>
      </c>
      <c r="G242">
        <v>6687450</v>
      </c>
    </row>
    <row r="243" spans="1:7" x14ac:dyDescent="0.35">
      <c r="A243">
        <v>358</v>
      </c>
      <c r="B243">
        <v>1</v>
      </c>
      <c r="C243">
        <f>'0358 table 1'!E55</f>
        <v>7092750</v>
      </c>
      <c r="D243">
        <f>'0358 table 1'!F55</f>
        <v>398.15</v>
      </c>
      <c r="E243">
        <f>'0358 table 1'!G55</f>
        <v>53.090316211652983</v>
      </c>
      <c r="G243">
        <v>7194075</v>
      </c>
    </row>
    <row r="244" spans="1:7" x14ac:dyDescent="0.35">
      <c r="A244">
        <v>358</v>
      </c>
      <c r="B244">
        <v>1</v>
      </c>
      <c r="C244">
        <f>'0358 table 1'!E56</f>
        <v>7599375</v>
      </c>
      <c r="D244">
        <f>'0358 table 1'!F56</f>
        <v>398.15</v>
      </c>
      <c r="E244">
        <f>'0358 table 1'!G56</f>
        <v>59.632900612746937</v>
      </c>
      <c r="G244">
        <v>7700700</v>
      </c>
    </row>
    <row r="245" spans="1:7" x14ac:dyDescent="0.35">
      <c r="A245">
        <v>358</v>
      </c>
      <c r="B245">
        <v>1</v>
      </c>
      <c r="C245">
        <f>'0358 table 1'!E57</f>
        <v>8106000</v>
      </c>
      <c r="D245">
        <f>'0358 table 1'!F57</f>
        <v>398.15</v>
      </c>
      <c r="E245">
        <f>'0358 table 1'!G57</f>
        <v>67.2065833217803</v>
      </c>
      <c r="G245">
        <v>8207325</v>
      </c>
    </row>
    <row r="246" spans="1:7" x14ac:dyDescent="0.35">
      <c r="A246">
        <v>358</v>
      </c>
      <c r="B246">
        <v>1</v>
      </c>
      <c r="C246">
        <f>'0358 table 1'!E58</f>
        <v>8612625</v>
      </c>
      <c r="D246">
        <f>'0358 table 1'!F58</f>
        <v>398.15</v>
      </c>
      <c r="E246">
        <f>'0358 table 1'!G58</f>
        <v>76.222329710325951</v>
      </c>
      <c r="G246">
        <v>8713950</v>
      </c>
    </row>
    <row r="247" spans="1:7" x14ac:dyDescent="0.35">
      <c r="A247">
        <v>358</v>
      </c>
      <c r="B247">
        <v>1</v>
      </c>
      <c r="C247">
        <f>'0358 table 1'!E59</f>
        <v>9119250</v>
      </c>
      <c r="D247">
        <f>'0358 table 1'!F59</f>
        <v>398.15</v>
      </c>
      <c r="E247">
        <f>'0358 table 1'!G59</f>
        <v>87.690459009458436</v>
      </c>
      <c r="G247">
        <v>9220575</v>
      </c>
    </row>
    <row r="248" spans="1:7" x14ac:dyDescent="0.35">
      <c r="A248">
        <v>358</v>
      </c>
      <c r="B248">
        <v>1</v>
      </c>
      <c r="C248">
        <f>'0358 table 1'!E60</f>
        <v>9625875</v>
      </c>
      <c r="D248">
        <f>'0358 table 1'!F60</f>
        <v>398.15</v>
      </c>
      <c r="E248">
        <f>'0358 table 1'!G60</f>
        <v>104.91684508370352</v>
      </c>
      <c r="G248">
        <v>9727200</v>
      </c>
    </row>
    <row r="249" spans="1:7" x14ac:dyDescent="0.35">
      <c r="A249">
        <v>358</v>
      </c>
      <c r="B249">
        <v>2</v>
      </c>
      <c r="C249">
        <f>'0358 table 2'!E2</f>
        <v>469861.51539083658</v>
      </c>
      <c r="D249">
        <f>'0358 table 2'!F2</f>
        <v>298.14999999999998</v>
      </c>
      <c r="E249">
        <f>'0358 table 2'!G2</f>
        <v>3.406104</v>
      </c>
      <c r="G249">
        <v>106916.74580563469</v>
      </c>
    </row>
    <row r="250" spans="1:7" x14ac:dyDescent="0.35">
      <c r="A250">
        <v>358</v>
      </c>
      <c r="B250">
        <v>2</v>
      </c>
      <c r="C250">
        <f>'0358 table 2'!E3</f>
        <v>885086.81784923642</v>
      </c>
      <c r="D250">
        <f>'0358 table 2'!F3</f>
        <v>298.14999999999998</v>
      </c>
      <c r="E250">
        <f>'0358 table 2'!G3</f>
        <v>6.812208</v>
      </c>
      <c r="G250">
        <v>113516.69280752858</v>
      </c>
    </row>
    <row r="251" spans="1:7" x14ac:dyDescent="0.35">
      <c r="A251">
        <v>358</v>
      </c>
      <c r="B251">
        <v>2</v>
      </c>
      <c r="C251">
        <f>'0358 table 2'!E4</f>
        <v>972184.97308431647</v>
      </c>
      <c r="D251">
        <f>'0358 table 2'!F4</f>
        <v>298.14999999999998</v>
      </c>
      <c r="E251">
        <f>'0358 table 2'!G4</f>
        <v>7.6637339999999998</v>
      </c>
      <c r="G251">
        <v>116265.06024096384</v>
      </c>
    </row>
    <row r="252" spans="1:7" x14ac:dyDescent="0.35">
      <c r="A252">
        <v>358</v>
      </c>
      <c r="B252">
        <v>2</v>
      </c>
      <c r="C252">
        <f>'0358 table 2'!E5</f>
        <v>1007696.0325333704</v>
      </c>
      <c r="D252">
        <f>'0358 table 2'!F5</f>
        <v>298.14999999999998</v>
      </c>
      <c r="E252">
        <f>'0358 table 2'!G5</f>
        <v>8.5152599999999996</v>
      </c>
      <c r="G252">
        <v>124630.9963099631</v>
      </c>
    </row>
    <row r="253" spans="1:7" x14ac:dyDescent="0.35">
      <c r="A253">
        <v>358</v>
      </c>
      <c r="B253">
        <v>2</v>
      </c>
      <c r="C253">
        <f>'0358 table 2'!E6</f>
        <v>515600.48839128838</v>
      </c>
      <c r="D253">
        <f>'0358 table 2'!F6</f>
        <v>323.14999999999998</v>
      </c>
      <c r="E253">
        <f>'0358 table 2'!G6</f>
        <v>3.406104</v>
      </c>
      <c r="G253">
        <v>105601.8759770714</v>
      </c>
    </row>
    <row r="254" spans="1:7" x14ac:dyDescent="0.35">
      <c r="A254">
        <v>358</v>
      </c>
      <c r="B254">
        <v>2</v>
      </c>
      <c r="C254">
        <f>'0358 table 2'!E7</f>
        <v>988211.87926167715</v>
      </c>
      <c r="D254">
        <f>'0358 table 2'!F7</f>
        <v>323.14999999999998</v>
      </c>
      <c r="E254">
        <f>'0358 table 2'!G7</f>
        <v>6.812208</v>
      </c>
      <c r="G254">
        <v>110195.7585644372</v>
      </c>
    </row>
    <row r="255" spans="1:7" x14ac:dyDescent="0.35">
      <c r="A255">
        <v>358</v>
      </c>
      <c r="B255">
        <v>2</v>
      </c>
      <c r="C255">
        <f>'0358 table 2'!E8</f>
        <v>1207993.6403372758</v>
      </c>
      <c r="D255">
        <f>'0358 table 2'!F8</f>
        <v>323.14999999999998</v>
      </c>
      <c r="E255">
        <f>'0358 table 2'!G8</f>
        <v>8.5152599999999996</v>
      </c>
      <c r="G255">
        <v>112683.49644128114</v>
      </c>
    </row>
    <row r="256" spans="1:7" x14ac:dyDescent="0.35">
      <c r="A256">
        <v>358</v>
      </c>
      <c r="B256">
        <v>2</v>
      </c>
      <c r="C256">
        <f>'0358 table 2'!E9</f>
        <v>1418317.7999582768</v>
      </c>
      <c r="D256">
        <f>'0358 table 2'!F9</f>
        <v>323.14999999999998</v>
      </c>
      <c r="E256">
        <f>'0358 table 2'!G9</f>
        <v>10.218312000000001</v>
      </c>
      <c r="G256">
        <v>115168.22005001135</v>
      </c>
    </row>
    <row r="257" spans="1:7" x14ac:dyDescent="0.35">
      <c r="A257">
        <v>358</v>
      </c>
      <c r="B257">
        <v>2</v>
      </c>
      <c r="C257">
        <f>'0358 table 2'!E10</f>
        <v>1618029.0261288052</v>
      </c>
      <c r="D257">
        <f>'0358 table 2'!F10</f>
        <v>323.14999999999998</v>
      </c>
      <c r="E257">
        <f>'0358 table 2'!G10</f>
        <v>11.921364000000001</v>
      </c>
      <c r="G257">
        <v>117778.68185516681</v>
      </c>
    </row>
    <row r="258" spans="1:7" x14ac:dyDescent="0.35">
      <c r="A258">
        <v>358</v>
      </c>
      <c r="B258">
        <v>2</v>
      </c>
      <c r="C258">
        <f>'0358 table 2'!E11</f>
        <v>1804037.4774645474</v>
      </c>
      <c r="D258">
        <f>'0358 table 2'!F11</f>
        <v>323.14999999999998</v>
      </c>
      <c r="E258">
        <f>'0358 table 2'!G11</f>
        <v>13.624416</v>
      </c>
      <c r="G258">
        <v>120725.60467055878</v>
      </c>
    </row>
    <row r="259" spans="1:7" x14ac:dyDescent="0.35">
      <c r="A259">
        <v>358</v>
      </c>
      <c r="B259">
        <v>2</v>
      </c>
      <c r="C259">
        <f>'0358 table 2'!E12</f>
        <v>1889841.0292976678</v>
      </c>
      <c r="D259">
        <f>'0358 table 2'!F12</f>
        <v>323.14999999999998</v>
      </c>
      <c r="E259">
        <f>'0358 table 2'!G12</f>
        <v>14.475942</v>
      </c>
      <c r="G259">
        <v>122447.12990936555</v>
      </c>
    </row>
    <row r="260" spans="1:7" x14ac:dyDescent="0.35">
      <c r="A260">
        <v>358</v>
      </c>
      <c r="B260">
        <v>2</v>
      </c>
      <c r="C260">
        <f>'0358 table 2'!E13</f>
        <v>1968363.3027381857</v>
      </c>
      <c r="D260">
        <f>'0358 table 2'!F13</f>
        <v>323.14999999999998</v>
      </c>
      <c r="E260">
        <f>'0358 table 2'!G13</f>
        <v>15.327468</v>
      </c>
      <c r="G260">
        <v>124477.886977887</v>
      </c>
    </row>
    <row r="261" spans="1:7" x14ac:dyDescent="0.35">
      <c r="A261">
        <v>358</v>
      </c>
      <c r="B261">
        <v>2</v>
      </c>
      <c r="C261">
        <f>'0358 table 2'!E14</f>
        <v>2028198.7528500878</v>
      </c>
      <c r="D261">
        <f>'0358 table 2'!F14</f>
        <v>323.14999999999998</v>
      </c>
      <c r="E261">
        <f>'0358 table 2'!G14</f>
        <v>16.178993999999999</v>
      </c>
      <c r="G261">
        <v>127516.98968034232</v>
      </c>
    </row>
    <row r="262" spans="1:7" x14ac:dyDescent="0.35">
      <c r="A262">
        <v>358</v>
      </c>
      <c r="B262">
        <v>2</v>
      </c>
      <c r="C262">
        <f>'0358 table 2'!E15</f>
        <v>2027204.6299699168</v>
      </c>
      <c r="D262">
        <f>'0358 table 2'!F15</f>
        <v>323.14999999999998</v>
      </c>
      <c r="E262">
        <f>'0358 table 2'!G15</f>
        <v>17.030519999999999</v>
      </c>
      <c r="G262">
        <v>134294.23459244534</v>
      </c>
    </row>
    <row r="263" spans="1:7" x14ac:dyDescent="0.35">
      <c r="A263">
        <v>358</v>
      </c>
      <c r="B263">
        <v>2</v>
      </c>
      <c r="C263">
        <f>'0358 table 2'!E16</f>
        <v>694650.87151839898</v>
      </c>
      <c r="D263">
        <f>'0358 table 2'!F16</f>
        <v>348.15</v>
      </c>
      <c r="E263">
        <f>'0358 table 2'!G16</f>
        <v>4.2576299999999998</v>
      </c>
      <c r="G263">
        <v>105557.87061152204</v>
      </c>
    </row>
    <row r="264" spans="1:7" x14ac:dyDescent="0.35">
      <c r="A264">
        <v>358</v>
      </c>
      <c r="B264">
        <v>2</v>
      </c>
      <c r="C264">
        <f>'0358 table 2'!E17</f>
        <v>1331987.0758586992</v>
      </c>
      <c r="D264">
        <f>'0358 table 2'!F17</f>
        <v>348.15</v>
      </c>
      <c r="E264">
        <f>'0358 table 2'!G17</f>
        <v>8.5152599999999996</v>
      </c>
      <c r="G264">
        <v>110099.96740193415</v>
      </c>
    </row>
    <row r="265" spans="1:7" x14ac:dyDescent="0.35">
      <c r="A265">
        <v>358</v>
      </c>
      <c r="B265">
        <v>2</v>
      </c>
      <c r="C265">
        <f>'0358 table 2'!E18</f>
        <v>1912877.0170690536</v>
      </c>
      <c r="D265">
        <f>'0358 table 2'!F18</f>
        <v>348.15</v>
      </c>
      <c r="E265">
        <f>'0358 table 2'!G18</f>
        <v>12.77289</v>
      </c>
      <c r="G265">
        <v>114998.29758256723</v>
      </c>
    </row>
    <row r="266" spans="1:7" x14ac:dyDescent="0.35">
      <c r="A266">
        <v>358</v>
      </c>
      <c r="B266">
        <v>2</v>
      </c>
      <c r="C266">
        <f>'0358 table 2'!E19</f>
        <v>2438478.5672136662</v>
      </c>
      <c r="D266">
        <f>'0358 table 2'!F19</f>
        <v>348.15</v>
      </c>
      <c r="E266">
        <f>'0358 table 2'!G19</f>
        <v>17.030519999999999</v>
      </c>
      <c r="G266">
        <v>120281.33903133903</v>
      </c>
    </row>
    <row r="267" spans="1:7" x14ac:dyDescent="0.35">
      <c r="A267">
        <v>358</v>
      </c>
      <c r="B267">
        <v>2</v>
      </c>
      <c r="C267">
        <f>'0358 table 2'!E20</f>
        <v>2909877.2313527269</v>
      </c>
      <c r="D267">
        <f>'0358 table 2'!F20</f>
        <v>348.15</v>
      </c>
      <c r="E267">
        <f>'0358 table 2'!G20</f>
        <v>21.288149999999998</v>
      </c>
      <c r="G267">
        <v>125994.77741855259</v>
      </c>
    </row>
    <row r="268" spans="1:7" x14ac:dyDescent="0.35">
      <c r="A268">
        <v>358</v>
      </c>
      <c r="B268">
        <v>2</v>
      </c>
      <c r="C268">
        <f>'0358 table 2'!E21</f>
        <v>3327724.3125223527</v>
      </c>
      <c r="D268">
        <f>'0358 table 2'!F21</f>
        <v>348.15</v>
      </c>
      <c r="E268">
        <f>'0358 table 2'!G21</f>
        <v>25.545780000000001</v>
      </c>
      <c r="G268">
        <v>132209.02922755742</v>
      </c>
    </row>
    <row r="269" spans="1:7" x14ac:dyDescent="0.35">
      <c r="A269">
        <v>358</v>
      </c>
      <c r="B269">
        <v>2</v>
      </c>
      <c r="C269">
        <f>'0358 table 2'!E22</f>
        <v>3648310.1402988411</v>
      </c>
      <c r="D269">
        <f>'0358 table 2'!F22</f>
        <v>348.15</v>
      </c>
      <c r="E269">
        <f>'0358 table 2'!G22</f>
        <v>29.803410000000003</v>
      </c>
      <c r="G269">
        <v>140690.08608719803</v>
      </c>
    </row>
    <row r="270" spans="1:7" x14ac:dyDescent="0.35">
      <c r="A270">
        <v>358</v>
      </c>
      <c r="B270">
        <v>2</v>
      </c>
      <c r="C270">
        <f>'0358 table 2'!E23</f>
        <v>749884.33516546991</v>
      </c>
      <c r="D270">
        <f>'0358 table 2'!F23</f>
        <v>373.15</v>
      </c>
      <c r="E270">
        <f>'0358 table 2'!G23</f>
        <v>4.2576299999999998</v>
      </c>
      <c r="G270">
        <v>104804.50972279685</v>
      </c>
    </row>
    <row r="271" spans="1:7" x14ac:dyDescent="0.35">
      <c r="A271">
        <v>358</v>
      </c>
      <c r="B271">
        <v>2</v>
      </c>
      <c r="C271">
        <f>'0358 table 2'!E24</f>
        <v>1449042.1131114305</v>
      </c>
      <c r="D271">
        <f>'0358 table 2'!F24</f>
        <v>373.15</v>
      </c>
      <c r="E271">
        <f>'0358 table 2'!G24</f>
        <v>8.5152599999999996</v>
      </c>
      <c r="G271">
        <v>108473.39685258537</v>
      </c>
    </row>
    <row r="272" spans="1:7" x14ac:dyDescent="0.35">
      <c r="A272">
        <v>358</v>
      </c>
      <c r="B272">
        <v>2</v>
      </c>
      <c r="C272">
        <f>'0358 table 2'!E25</f>
        <v>2098171.4057262233</v>
      </c>
      <c r="D272">
        <f>'0358 table 2'!F25</f>
        <v>373.15</v>
      </c>
      <c r="E272">
        <f>'0358 table 2'!G25</f>
        <v>12.77289</v>
      </c>
      <c r="G272">
        <v>112371.07685482976</v>
      </c>
    </row>
    <row r="273" spans="1:7" x14ac:dyDescent="0.35">
      <c r="A273">
        <v>358</v>
      </c>
      <c r="B273">
        <v>2</v>
      </c>
      <c r="C273">
        <f>'0358 table 2'!E26</f>
        <v>2698590.7932433831</v>
      </c>
      <c r="D273">
        <f>'0358 table 2'!F26</f>
        <v>373.15</v>
      </c>
      <c r="E273">
        <f>'0358 table 2'!G26</f>
        <v>17.030519999999999</v>
      </c>
      <c r="G273">
        <v>116492.29707978845</v>
      </c>
    </row>
    <row r="274" spans="1:7" x14ac:dyDescent="0.35">
      <c r="A274">
        <v>358</v>
      </c>
      <c r="B274">
        <v>2</v>
      </c>
      <c r="C274">
        <f>'0358 table 2'!E27</f>
        <v>3251463.7288101465</v>
      </c>
      <c r="D274">
        <f>'0358 table 2'!F27</f>
        <v>373.15</v>
      </c>
      <c r="E274">
        <f>'0358 table 2'!G27</f>
        <v>21.288149999999998</v>
      </c>
      <c r="G274">
        <v>120855.20038167937</v>
      </c>
    </row>
    <row r="275" spans="1:7" x14ac:dyDescent="0.35">
      <c r="A275">
        <v>358</v>
      </c>
      <c r="B275">
        <v>2</v>
      </c>
      <c r="C275">
        <f>'0358 table 2'!E28</f>
        <v>3757022.9030559608</v>
      </c>
      <c r="D275">
        <f>'0358 table 2'!F28</f>
        <v>373.15</v>
      </c>
      <c r="E275">
        <f>'0358 table 2'!G28</f>
        <v>25.545780000000001</v>
      </c>
      <c r="G275">
        <v>125510.96246748419</v>
      </c>
    </row>
    <row r="276" spans="1:7" x14ac:dyDescent="0.35">
      <c r="A276">
        <v>358</v>
      </c>
      <c r="B276">
        <v>2</v>
      </c>
      <c r="C276">
        <f>'0358 table 2'!E29</f>
        <v>4217052.277473256</v>
      </c>
      <c r="D276">
        <f>'0358 table 2'!F29</f>
        <v>373.15</v>
      </c>
      <c r="E276">
        <f>'0358 table 2'!G29</f>
        <v>29.803410000000003</v>
      </c>
      <c r="G276">
        <v>130455.77443028198</v>
      </c>
    </row>
    <row r="277" spans="1:7" x14ac:dyDescent="0.35">
      <c r="A277">
        <v>358</v>
      </c>
      <c r="B277">
        <v>2</v>
      </c>
      <c r="C277">
        <f>'0358 table 2'!E30</f>
        <v>4638920.3886611946</v>
      </c>
      <c r="D277">
        <f>'0358 table 2'!F30</f>
        <v>373.15</v>
      </c>
      <c r="E277">
        <f>'0358 table 2'!G30</f>
        <v>34.061039999999998</v>
      </c>
      <c r="G277">
        <v>135533.70786516854</v>
      </c>
    </row>
    <row r="278" spans="1:7" x14ac:dyDescent="0.35">
      <c r="A278">
        <v>358</v>
      </c>
      <c r="B278">
        <v>2</v>
      </c>
      <c r="C278">
        <f>'0358 table 2'!E31</f>
        <v>5020533.0209547505</v>
      </c>
      <c r="D278">
        <f>'0358 table 2'!F31</f>
        <v>373.15</v>
      </c>
      <c r="E278">
        <f>'0358 table 2'!G31</f>
        <v>38.318669999999997</v>
      </c>
      <c r="G278">
        <v>140885.70634037821</v>
      </c>
    </row>
    <row r="279" spans="1:7" x14ac:dyDescent="0.35">
      <c r="A279">
        <v>358</v>
      </c>
      <c r="B279">
        <v>2</v>
      </c>
      <c r="C279">
        <f>'0358 table 2'!E32</f>
        <v>5365070.2796230391</v>
      </c>
      <c r="D279">
        <f>'0358 table 2'!F32</f>
        <v>373.15</v>
      </c>
      <c r="E279">
        <f>'0358 table 2'!G32</f>
        <v>42.576299999999996</v>
      </c>
      <c r="G279">
        <v>146486.9162931907</v>
      </c>
    </row>
    <row r="280" spans="1:7" x14ac:dyDescent="0.35">
      <c r="A280">
        <v>358</v>
      </c>
      <c r="B280">
        <v>2</v>
      </c>
      <c r="C280">
        <f>'0358 table 2'!E33</f>
        <v>5678039.1762296464</v>
      </c>
      <c r="D280">
        <f>'0358 table 2'!F33</f>
        <v>373.15</v>
      </c>
      <c r="E280">
        <f>'0358 table 2'!G33</f>
        <v>46.833930000000002</v>
      </c>
      <c r="G280">
        <v>152253.94440270474</v>
      </c>
    </row>
    <row r="281" spans="1:7" x14ac:dyDescent="0.35">
      <c r="A281">
        <v>358</v>
      </c>
      <c r="B281">
        <v>2</v>
      </c>
      <c r="C281">
        <f>'0358 table 2'!E34</f>
        <v>5961533.9264395963</v>
      </c>
      <c r="D281">
        <f>'0358 table 2'!F34</f>
        <v>373.15</v>
      </c>
      <c r="E281">
        <f>'0358 table 2'!G34</f>
        <v>51.091560000000001</v>
      </c>
      <c r="G281">
        <v>158196.72131147544</v>
      </c>
    </row>
    <row r="282" spans="1:7" x14ac:dyDescent="0.35">
      <c r="A282">
        <v>358</v>
      </c>
      <c r="B282">
        <v>2</v>
      </c>
      <c r="C282">
        <f>'0358 table 2'!E35</f>
        <v>804841.8002259311</v>
      </c>
      <c r="D282">
        <f>'0358 table 2'!F35</f>
        <v>398.15</v>
      </c>
      <c r="E282">
        <f>'0358 table 2'!G35</f>
        <v>4.2576299999999998</v>
      </c>
      <c r="G282">
        <v>104190.23136246786</v>
      </c>
    </row>
    <row r="283" spans="1:7" x14ac:dyDescent="0.35">
      <c r="A283">
        <v>358</v>
      </c>
      <c r="B283">
        <v>2</v>
      </c>
      <c r="C283">
        <f>'0358 table 2'!E36</f>
        <v>1564662.1156885813</v>
      </c>
      <c r="D283">
        <f>'0358 table 2'!F36</f>
        <v>398.15</v>
      </c>
      <c r="E283">
        <f>'0358 table 2'!G36</f>
        <v>8.5152599999999996</v>
      </c>
      <c r="G283">
        <v>107188.19422405584</v>
      </c>
    </row>
    <row r="284" spans="1:7" x14ac:dyDescent="0.35">
      <c r="A284">
        <v>358</v>
      </c>
      <c r="B284">
        <v>2</v>
      </c>
      <c r="C284">
        <f>'0358 table 2'!E37</f>
        <v>2279957.5068816631</v>
      </c>
      <c r="D284">
        <f>'0358 table 2'!F37</f>
        <v>398.15</v>
      </c>
      <c r="E284">
        <f>'0358 table 2'!G37</f>
        <v>12.77289</v>
      </c>
      <c r="G284">
        <v>110339.75824893825</v>
      </c>
    </row>
    <row r="285" spans="1:7" x14ac:dyDescent="0.35">
      <c r="A285">
        <v>358</v>
      </c>
      <c r="B285">
        <v>2</v>
      </c>
      <c r="C285">
        <f>'0358 table 2'!E38</f>
        <v>2951555.5746280313</v>
      </c>
      <c r="D285">
        <f>'0358 table 2'!F38</f>
        <v>398.15</v>
      </c>
      <c r="E285">
        <f>'0358 table 2'!G38</f>
        <v>17.030519999999999</v>
      </c>
      <c r="G285">
        <v>113644.01076716017</v>
      </c>
    </row>
    <row r="286" spans="1:7" x14ac:dyDescent="0.35">
      <c r="A286">
        <v>358</v>
      </c>
      <c r="B286">
        <v>2</v>
      </c>
      <c r="C286">
        <f>'0358 table 2'!E39</f>
        <v>3579787.3592568277</v>
      </c>
      <c r="D286">
        <f>'0358 table 2'!F39</f>
        <v>398.15</v>
      </c>
      <c r="E286">
        <f>'0358 table 2'!G39</f>
        <v>21.288149999999998</v>
      </c>
      <c r="G286">
        <v>117125.18783955612</v>
      </c>
    </row>
    <row r="287" spans="1:7" x14ac:dyDescent="0.35">
      <c r="A287">
        <v>358</v>
      </c>
      <c r="B287">
        <v>2</v>
      </c>
      <c r="C287">
        <f>'0358 table 2'!E40</f>
        <v>4165149.4212617651</v>
      </c>
      <c r="D287">
        <f>'0358 table 2'!F40</f>
        <v>398.15</v>
      </c>
      <c r="E287">
        <f>'0358 table 2'!G40</f>
        <v>25.545780000000001</v>
      </c>
      <c r="G287">
        <v>120797.56795422031</v>
      </c>
    </row>
    <row r="288" spans="1:7" x14ac:dyDescent="0.35">
      <c r="A288">
        <v>358</v>
      </c>
      <c r="B288">
        <v>2</v>
      </c>
      <c r="C288">
        <f>'0358 table 2'!E41</f>
        <v>4708717.6417125529</v>
      </c>
      <c r="D288">
        <f>'0358 table 2'!F41</f>
        <v>398.15</v>
      </c>
      <c r="E288">
        <f>'0358 table 2'!G41</f>
        <v>29.803410000000003</v>
      </c>
      <c r="G288">
        <v>124661.66338582677</v>
      </c>
    </row>
    <row r="289" spans="1:7" x14ac:dyDescent="0.35">
      <c r="A289">
        <v>358</v>
      </c>
      <c r="B289">
        <v>2</v>
      </c>
      <c r="C289">
        <f>'0358 table 2'!E42</f>
        <v>5217195.587274313</v>
      </c>
      <c r="D289">
        <f>'0358 table 2'!F42</f>
        <v>398.15</v>
      </c>
      <c r="E289">
        <f>'0358 table 2'!G42</f>
        <v>34.061039999999998</v>
      </c>
      <c r="G289">
        <v>128585.02538071066</v>
      </c>
    </row>
    <row r="290" spans="1:7" x14ac:dyDescent="0.35">
      <c r="A290">
        <v>358</v>
      </c>
      <c r="B290">
        <v>2</v>
      </c>
      <c r="C290">
        <f>'0358 table 2'!E43</f>
        <v>5692817.7801687522</v>
      </c>
      <c r="D290">
        <f>'0358 table 2'!F43</f>
        <v>398.15</v>
      </c>
      <c r="E290">
        <f>'0358 table 2'!G43</f>
        <v>38.318669999999997</v>
      </c>
      <c r="G290">
        <v>132572.28836844172</v>
      </c>
    </row>
    <row r="291" spans="1:7" x14ac:dyDescent="0.35">
      <c r="A291">
        <v>358</v>
      </c>
      <c r="B291">
        <v>2</v>
      </c>
      <c r="C291">
        <f>'0358 table 2'!E44</f>
        <v>6134177.2989970185</v>
      </c>
      <c r="D291">
        <f>'0358 table 2'!F44</f>
        <v>398.15</v>
      </c>
      <c r="E291">
        <f>'0358 table 2'!G44</f>
        <v>42.576299999999996</v>
      </c>
      <c r="G291">
        <v>136703.9935240151</v>
      </c>
    </row>
    <row r="292" spans="1:7" x14ac:dyDescent="0.35">
      <c r="A292">
        <v>358</v>
      </c>
      <c r="B292">
        <v>2</v>
      </c>
      <c r="C292">
        <f>'0358 table 2'!E45</f>
        <v>6546405.2688608086</v>
      </c>
      <c r="D292">
        <f>'0358 table 2'!F45</f>
        <v>398.15</v>
      </c>
      <c r="E292">
        <f>'0358 table 2'!G45</f>
        <v>46.833930000000002</v>
      </c>
      <c r="G292">
        <v>140905.29828952858</v>
      </c>
    </row>
    <row r="293" spans="1:7" x14ac:dyDescent="0.35">
      <c r="A293">
        <v>358</v>
      </c>
      <c r="B293">
        <v>2</v>
      </c>
      <c r="C293">
        <f>'0358 table 2'!E46</f>
        <v>6927018.8872915627</v>
      </c>
      <c r="D293">
        <f>'0358 table 2'!F46</f>
        <v>398.15</v>
      </c>
      <c r="E293">
        <f>'0358 table 2'!G46</f>
        <v>51.091560000000001</v>
      </c>
      <c r="G293">
        <v>145268.81720430107</v>
      </c>
    </row>
    <row r="294" spans="1:7" x14ac:dyDescent="0.35">
      <c r="A294">
        <v>358</v>
      </c>
      <c r="B294">
        <v>2</v>
      </c>
      <c r="C294">
        <f>'0358 table 2'!E47</f>
        <v>7600685.9570950652</v>
      </c>
      <c r="D294">
        <f>'0358 table 2'!F47</f>
        <v>398.15</v>
      </c>
      <c r="E294">
        <f>'0358 table 2'!G47</f>
        <v>59.606820000000006</v>
      </c>
      <c r="G294">
        <v>154458.84146341463</v>
      </c>
    </row>
    <row r="295" spans="1:7" x14ac:dyDescent="0.35">
      <c r="A295">
        <v>358</v>
      </c>
      <c r="B295">
        <v>2</v>
      </c>
      <c r="C295">
        <f>'0358 table 2'!E48</f>
        <v>8154185.3874201076</v>
      </c>
      <c r="D295">
        <f>'0358 table 2'!F48</f>
        <v>398.15</v>
      </c>
      <c r="E295">
        <f>'0358 table 2'!G48</f>
        <v>68.122079999999997</v>
      </c>
      <c r="G295">
        <v>164542.05911010067</v>
      </c>
    </row>
    <row r="296" spans="1:7" x14ac:dyDescent="0.35">
      <c r="A296">
        <v>358</v>
      </c>
      <c r="B296">
        <v>2</v>
      </c>
      <c r="C296">
        <f>'0358 table 2'!E49</f>
        <v>8626745.4572699834</v>
      </c>
      <c r="D296">
        <f>'0358 table 2'!F49</f>
        <v>398.15</v>
      </c>
      <c r="E296">
        <f>'0358 table 2'!G49</f>
        <v>76.637339999999995</v>
      </c>
      <c r="G296">
        <v>174969.78069418063</v>
      </c>
    </row>
    <row r="297" spans="1:7" x14ac:dyDescent="0.35">
      <c r="A297">
        <v>358</v>
      </c>
      <c r="B297">
        <v>2</v>
      </c>
      <c r="C297">
        <f>'0358 table 2'!E50</f>
        <v>9014228.1625304278</v>
      </c>
      <c r="D297">
        <f>'0358 table 2'!F50</f>
        <v>398.15</v>
      </c>
      <c r="E297">
        <f>'0358 table 2'!G50</f>
        <v>85.152599999999993</v>
      </c>
      <c r="G297">
        <v>186053.98457583549</v>
      </c>
    </row>
    <row r="298" spans="1:7" x14ac:dyDescent="0.35">
      <c r="A298">
        <v>358</v>
      </c>
      <c r="B298">
        <v>2</v>
      </c>
      <c r="C298">
        <f>'0358 table 2'!E51</f>
        <v>9327557.8340631146</v>
      </c>
      <c r="D298">
        <f>'0358 table 2'!F51</f>
        <v>398.15</v>
      </c>
      <c r="E298">
        <f>'0358 table 2'!G51</f>
        <v>93.667860000000005</v>
      </c>
      <c r="G298">
        <v>197784.50126878783</v>
      </c>
    </row>
    <row r="299" spans="1:7" x14ac:dyDescent="0.35">
      <c r="A299">
        <v>358</v>
      </c>
      <c r="B299">
        <v>2</v>
      </c>
      <c r="C299">
        <f>'0358 table 2'!E52</f>
        <v>9557796.3829812165</v>
      </c>
      <c r="D299">
        <f>'0358 table 2'!F52</f>
        <v>398.15</v>
      </c>
      <c r="E299">
        <f>'0358 table 2'!G52</f>
        <v>102.18312</v>
      </c>
      <c r="G299">
        <v>210567.33167082295</v>
      </c>
    </row>
    <row r="300" spans="1:7" x14ac:dyDescent="0.35">
      <c r="A300">
        <v>358</v>
      </c>
      <c r="B300">
        <v>5</v>
      </c>
      <c r="C300">
        <f>'0358 table 5'!E2</f>
        <v>5066250</v>
      </c>
      <c r="D300">
        <f>'0358 table 5'!F2</f>
        <v>298.14999999999998</v>
      </c>
      <c r="E300">
        <f>'0358 table 5'!G2</f>
        <v>604.78386858353917</v>
      </c>
      <c r="G300">
        <v>1011223.5</v>
      </c>
    </row>
    <row r="301" spans="1:7" x14ac:dyDescent="0.35">
      <c r="A301">
        <v>358</v>
      </c>
      <c r="B301">
        <v>5</v>
      </c>
      <c r="C301">
        <f>'0358 table 5'!E3</f>
        <v>7599375</v>
      </c>
      <c r="D301">
        <f>'0358 table 5'!F3</f>
        <v>298.14999999999998</v>
      </c>
      <c r="E301">
        <f>'0358 table 5'!G3</f>
        <v>607.06938901713977</v>
      </c>
      <c r="G301">
        <v>5066250</v>
      </c>
    </row>
    <row r="302" spans="1:7" x14ac:dyDescent="0.35">
      <c r="A302">
        <v>358</v>
      </c>
      <c r="B302">
        <v>5</v>
      </c>
      <c r="C302">
        <f>'0358 table 5'!E4</f>
        <v>10132500</v>
      </c>
      <c r="D302">
        <f>'0358 table 5'!F4</f>
        <v>298.14999999999998</v>
      </c>
      <c r="E302">
        <f>'0358 table 5'!G4</f>
        <v>609.01682654387889</v>
      </c>
      <c r="G302">
        <v>7599375</v>
      </c>
    </row>
    <row r="303" spans="1:7" x14ac:dyDescent="0.35">
      <c r="A303">
        <v>358</v>
      </c>
      <c r="B303">
        <v>5</v>
      </c>
      <c r="C303">
        <f>'0358 table 5'!E5</f>
        <v>15198750</v>
      </c>
      <c r="D303">
        <f>'0358 table 5'!F5</f>
        <v>298.14999999999998</v>
      </c>
      <c r="E303">
        <f>'0358 table 5'!G5</f>
        <v>613.48962932401912</v>
      </c>
      <c r="G303">
        <v>10132500</v>
      </c>
    </row>
    <row r="304" spans="1:7" x14ac:dyDescent="0.35">
      <c r="A304">
        <v>358</v>
      </c>
      <c r="B304">
        <v>5</v>
      </c>
      <c r="C304">
        <f>'0358 table 5'!E6</f>
        <v>20265000</v>
      </c>
      <c r="D304">
        <f>'0358 table 5'!F6</f>
        <v>298.14999999999998</v>
      </c>
      <c r="E304">
        <f>'0358 table 5'!G6</f>
        <v>617.55343571651304</v>
      </c>
      <c r="G304">
        <v>15198750</v>
      </c>
    </row>
    <row r="305" spans="1:7" x14ac:dyDescent="0.35">
      <c r="A305">
        <v>358</v>
      </c>
      <c r="B305">
        <v>5</v>
      </c>
      <c r="C305">
        <f>'0358 table 5'!E7</f>
        <v>25331250</v>
      </c>
      <c r="D305">
        <f>'0358 table 5'!F7</f>
        <v>298.14999999999998</v>
      </c>
      <c r="E305">
        <f>'0358 table 5'!G7</f>
        <v>621.52342208897642</v>
      </c>
      <c r="G305">
        <v>20265000</v>
      </c>
    </row>
    <row r="306" spans="1:7" x14ac:dyDescent="0.35">
      <c r="A306">
        <v>358</v>
      </c>
      <c r="B306">
        <v>5</v>
      </c>
      <c r="C306">
        <f>'0358 table 5'!E8</f>
        <v>30397500</v>
      </c>
      <c r="D306">
        <f>'0358 table 5'!F8</f>
        <v>298.14999999999998</v>
      </c>
      <c r="E306">
        <f>'0358 table 5'!G8</f>
        <v>625.43237442915881</v>
      </c>
      <c r="G306">
        <v>25331250</v>
      </c>
    </row>
    <row r="307" spans="1:7" x14ac:dyDescent="0.35">
      <c r="A307">
        <v>358</v>
      </c>
      <c r="B307">
        <v>5</v>
      </c>
      <c r="C307">
        <f>'0358 table 5'!E9</f>
        <v>40530000</v>
      </c>
      <c r="D307">
        <f>'0358 table 5'!F9</f>
        <v>298.14999999999998</v>
      </c>
      <c r="E307">
        <f>'0358 table 5'!G9</f>
        <v>633.11162595693816</v>
      </c>
      <c r="G307">
        <v>30397500</v>
      </c>
    </row>
    <row r="308" spans="1:7" x14ac:dyDescent="0.35">
      <c r="A308">
        <v>358</v>
      </c>
      <c r="B308">
        <v>5</v>
      </c>
      <c r="C308">
        <f>'0358 table 5'!E10</f>
        <v>50662500</v>
      </c>
      <c r="D308">
        <f>'0358 table 5'!F10</f>
        <v>298.14999999999998</v>
      </c>
      <c r="E308">
        <f>'0358 table 5'!G10</f>
        <v>640.27431267444217</v>
      </c>
      <c r="G308">
        <v>40530000</v>
      </c>
    </row>
    <row r="309" spans="1:7" x14ac:dyDescent="0.35">
      <c r="A309">
        <v>358</v>
      </c>
      <c r="B309">
        <v>5</v>
      </c>
      <c r="C309">
        <f>'0358 table 5'!E11</f>
        <v>5066250</v>
      </c>
      <c r="D309">
        <f>'0358 table 5'!F11</f>
        <v>323.14999999999998</v>
      </c>
      <c r="E309">
        <f>'0358 table 5'!G11</f>
        <v>566.16101072713491</v>
      </c>
      <c r="G309">
        <v>50662500</v>
      </c>
    </row>
    <row r="310" spans="1:7" x14ac:dyDescent="0.35">
      <c r="A310">
        <v>358</v>
      </c>
      <c r="B310">
        <v>5</v>
      </c>
      <c r="C310">
        <f>'0358 table 5'!E12</f>
        <v>7599375</v>
      </c>
      <c r="D310">
        <f>'0358 table 5'!F12</f>
        <v>323.14999999999998</v>
      </c>
      <c r="E310">
        <f>'0358 table 5'!G12</f>
        <v>569.44058154231755</v>
      </c>
      <c r="G310">
        <v>2031566.25</v>
      </c>
    </row>
    <row r="311" spans="1:7" x14ac:dyDescent="0.35">
      <c r="A311">
        <v>358</v>
      </c>
      <c r="B311">
        <v>5</v>
      </c>
      <c r="C311">
        <f>'0358 table 5'!E13</f>
        <v>10132500</v>
      </c>
      <c r="D311">
        <f>'0358 table 5'!F13</f>
        <v>323.14999999999998</v>
      </c>
      <c r="E311">
        <f>'0358 table 5'!G13</f>
        <v>572.41804863534924</v>
      </c>
      <c r="G311">
        <v>5066250</v>
      </c>
    </row>
    <row r="312" spans="1:7" x14ac:dyDescent="0.35">
      <c r="A312">
        <v>358</v>
      </c>
      <c r="B312">
        <v>5</v>
      </c>
      <c r="C312">
        <f>'0358 table 5'!E14</f>
        <v>15198750</v>
      </c>
      <c r="D312">
        <f>'0358 table 5'!F14</f>
        <v>323.14999999999998</v>
      </c>
      <c r="E312">
        <f>'0358 table 5'!G14</f>
        <v>578.60635186383956</v>
      </c>
      <c r="G312">
        <v>7599375</v>
      </c>
    </row>
    <row r="313" spans="1:7" x14ac:dyDescent="0.35">
      <c r="A313">
        <v>358</v>
      </c>
      <c r="B313">
        <v>5</v>
      </c>
      <c r="C313">
        <f>'0358 table 5'!E15</f>
        <v>20265000</v>
      </c>
      <c r="D313">
        <f>'0358 table 5'!F15</f>
        <v>323.14999999999998</v>
      </c>
      <c r="E313">
        <f>'0358 table 5'!G15</f>
        <v>583.86640960805619</v>
      </c>
      <c r="G313">
        <v>10132500</v>
      </c>
    </row>
    <row r="314" spans="1:7" x14ac:dyDescent="0.35">
      <c r="A314">
        <v>358</v>
      </c>
      <c r="B314">
        <v>5</v>
      </c>
      <c r="C314">
        <f>'0358 table 5'!E16</f>
        <v>25331250</v>
      </c>
      <c r="D314">
        <f>'0358 table 5'!F16</f>
        <v>323.14999999999998</v>
      </c>
      <c r="E314">
        <f>'0358 table 5'!G16</f>
        <v>588.79084210566725</v>
      </c>
      <c r="G314">
        <v>15198750</v>
      </c>
    </row>
    <row r="315" spans="1:7" x14ac:dyDescent="0.35">
      <c r="A315">
        <v>358</v>
      </c>
      <c r="B315">
        <v>5</v>
      </c>
      <c r="C315">
        <f>'0358 table 5'!E17</f>
        <v>30397500</v>
      </c>
      <c r="D315">
        <f>'0358 table 5'!F17</f>
        <v>323.14999999999998</v>
      </c>
      <c r="E315">
        <f>'0358 table 5'!G17</f>
        <v>593.57952917639739</v>
      </c>
      <c r="G315">
        <v>20265000</v>
      </c>
    </row>
    <row r="316" spans="1:7" x14ac:dyDescent="0.35">
      <c r="A316">
        <v>358</v>
      </c>
      <c r="B316">
        <v>5</v>
      </c>
      <c r="C316">
        <f>'0358 table 5'!E18</f>
        <v>40530000</v>
      </c>
      <c r="D316">
        <f>'0358 table 5'!F18</f>
        <v>323.14999999999998</v>
      </c>
      <c r="E316">
        <f>'0358 table 5'!G18</f>
        <v>604.61572188172443</v>
      </c>
      <c r="G316">
        <v>25331250</v>
      </c>
    </row>
    <row r="317" spans="1:7" x14ac:dyDescent="0.35">
      <c r="A317">
        <v>358</v>
      </c>
      <c r="B317">
        <v>5</v>
      </c>
      <c r="C317">
        <f>'0358 table 5'!E19</f>
        <v>50662500</v>
      </c>
      <c r="D317">
        <f>'0358 table 5'!F19</f>
        <v>323.14999999999998</v>
      </c>
      <c r="E317">
        <f>'0358 table 5'!G19</f>
        <v>612.13596127417259</v>
      </c>
      <c r="G317">
        <v>30397500</v>
      </c>
    </row>
    <row r="318" spans="1:7" x14ac:dyDescent="0.35">
      <c r="A318">
        <v>358</v>
      </c>
      <c r="B318">
        <v>5</v>
      </c>
      <c r="C318">
        <f>'0358 table 5'!E20</f>
        <v>5066250</v>
      </c>
      <c r="D318">
        <f>'0358 table 5'!F20</f>
        <v>348.15</v>
      </c>
      <c r="E318">
        <f>'0358 table 5'!G20</f>
        <v>519.37102358283983</v>
      </c>
      <c r="G318">
        <v>40530000</v>
      </c>
    </row>
    <row r="319" spans="1:7" x14ac:dyDescent="0.35">
      <c r="A319">
        <v>358</v>
      </c>
      <c r="B319">
        <v>5</v>
      </c>
      <c r="C319">
        <f>'0358 table 5'!E21</f>
        <v>7599375</v>
      </c>
      <c r="D319">
        <f>'0358 table 5'!F21</f>
        <v>348.15</v>
      </c>
      <c r="E319">
        <f>'0358 table 5'!G21</f>
        <v>524.64274307825349</v>
      </c>
      <c r="G319">
        <v>50662500</v>
      </c>
    </row>
    <row r="320" spans="1:7" x14ac:dyDescent="0.35">
      <c r="A320">
        <v>358</v>
      </c>
      <c r="B320">
        <v>5</v>
      </c>
      <c r="C320">
        <f>'0358 table 5'!E22</f>
        <v>10132500</v>
      </c>
      <c r="D320">
        <f>'0358 table 5'!F22</f>
        <v>348.15</v>
      </c>
      <c r="E320">
        <f>'0358 table 5'!G22</f>
        <v>529.42634180140635</v>
      </c>
      <c r="G320">
        <v>3706468.5</v>
      </c>
    </row>
    <row r="321" spans="1:7" x14ac:dyDescent="0.35">
      <c r="A321">
        <v>358</v>
      </c>
      <c r="B321">
        <v>5</v>
      </c>
      <c r="C321">
        <f>'0358 table 5'!E23</f>
        <v>15198750</v>
      </c>
      <c r="D321">
        <f>'0358 table 5'!F23</f>
        <v>348.15</v>
      </c>
      <c r="E321">
        <f>'0358 table 5'!G23</f>
        <v>538.3510483459213</v>
      </c>
      <c r="G321">
        <v>5066250</v>
      </c>
    </row>
    <row r="322" spans="1:7" x14ac:dyDescent="0.35">
      <c r="A322">
        <v>358</v>
      </c>
      <c r="B322">
        <v>5</v>
      </c>
      <c r="C322">
        <f>'0358 table 5'!E24</f>
        <v>20265000</v>
      </c>
      <c r="D322">
        <f>'0358 table 5'!F24</f>
        <v>348.15</v>
      </c>
      <c r="E322">
        <f>'0358 table 5'!G24</f>
        <v>545.91031215053431</v>
      </c>
      <c r="G322">
        <v>7599375</v>
      </c>
    </row>
    <row r="323" spans="1:7" x14ac:dyDescent="0.35">
      <c r="A323">
        <v>358</v>
      </c>
      <c r="B323">
        <v>5</v>
      </c>
      <c r="C323">
        <f>'0358 table 5'!E25</f>
        <v>25331250</v>
      </c>
      <c r="D323">
        <f>'0358 table 5'!F25</f>
        <v>348.15</v>
      </c>
      <c r="E323">
        <f>'0358 table 5'!G25</f>
        <v>553.00005646417753</v>
      </c>
      <c r="G323">
        <v>10132500</v>
      </c>
    </row>
    <row r="324" spans="1:7" x14ac:dyDescent="0.35">
      <c r="A324">
        <v>358</v>
      </c>
      <c r="B324">
        <v>5</v>
      </c>
      <c r="C324">
        <f>'0358 table 5'!E26</f>
        <v>30397500</v>
      </c>
      <c r="D324">
        <f>'0358 table 5'!F26</f>
        <v>348.15</v>
      </c>
      <c r="E324">
        <f>'0358 table 5'!G26</f>
        <v>559.22519781274252</v>
      </c>
      <c r="G324">
        <v>15198750</v>
      </c>
    </row>
    <row r="325" spans="1:7" x14ac:dyDescent="0.35">
      <c r="A325">
        <v>358</v>
      </c>
      <c r="B325">
        <v>5</v>
      </c>
      <c r="C325">
        <f>'0358 table 5'!E27</f>
        <v>40530000</v>
      </c>
      <c r="D325">
        <f>'0358 table 5'!F27</f>
        <v>348.15</v>
      </c>
      <c r="E325">
        <f>'0358 table 5'!G27</f>
        <v>570.5997232528199</v>
      </c>
      <c r="G325">
        <v>20265000</v>
      </c>
    </row>
    <row r="326" spans="1:7" x14ac:dyDescent="0.35">
      <c r="A326">
        <v>358</v>
      </c>
      <c r="B326">
        <v>5</v>
      </c>
      <c r="C326">
        <f>'0358 table 5'!E28</f>
        <v>50662500</v>
      </c>
      <c r="D326">
        <f>'0358 table 5'!F28</f>
        <v>348.15</v>
      </c>
      <c r="E326">
        <f>'0358 table 5'!G28</f>
        <v>580.68776628519731</v>
      </c>
      <c r="G326">
        <v>25331250</v>
      </c>
    </row>
    <row r="327" spans="1:7" x14ac:dyDescent="0.35">
      <c r="A327">
        <v>358</v>
      </c>
      <c r="B327">
        <v>5</v>
      </c>
      <c r="C327">
        <f>'0358 table 5'!E29</f>
        <v>7599375</v>
      </c>
      <c r="D327">
        <f>'0358 table 5'!F29</f>
        <v>373.15</v>
      </c>
      <c r="E327">
        <f>'0358 table 5'!G29</f>
        <v>463.08399997862693</v>
      </c>
      <c r="G327">
        <v>30397500</v>
      </c>
    </row>
    <row r="328" spans="1:7" x14ac:dyDescent="0.35">
      <c r="A328">
        <v>358</v>
      </c>
      <c r="B328">
        <v>5</v>
      </c>
      <c r="C328">
        <f>'0358 table 5'!E30</f>
        <v>10132500</v>
      </c>
      <c r="D328">
        <f>'0358 table 5'!F30</f>
        <v>373.15</v>
      </c>
      <c r="E328">
        <f>'0358 table 5'!G30</f>
        <v>472.95472469472463</v>
      </c>
      <c r="G328">
        <v>40530000</v>
      </c>
    </row>
    <row r="329" spans="1:7" x14ac:dyDescent="0.35">
      <c r="A329">
        <v>358</v>
      </c>
      <c r="B329">
        <v>5</v>
      </c>
      <c r="C329">
        <f>'0358 table 5'!E31</f>
        <v>15198750</v>
      </c>
      <c r="D329">
        <f>'0358 table 5'!F31</f>
        <v>373.15</v>
      </c>
      <c r="E329">
        <f>'0358 table 5'!G31</f>
        <v>487.6049879377523</v>
      </c>
      <c r="G329">
        <v>50662500</v>
      </c>
    </row>
    <row r="330" spans="1:7" x14ac:dyDescent="0.35">
      <c r="A330">
        <v>358</v>
      </c>
      <c r="B330">
        <v>5</v>
      </c>
      <c r="C330">
        <f>'0358 table 5'!E32</f>
        <v>20265000</v>
      </c>
      <c r="D330">
        <f>'0358 table 5'!F32</f>
        <v>373.15</v>
      </c>
      <c r="E330">
        <f>'0358 table 5'!G32</f>
        <v>500.62534315121167</v>
      </c>
      <c r="G330">
        <v>6246686.25</v>
      </c>
    </row>
    <row r="331" spans="1:7" x14ac:dyDescent="0.35">
      <c r="A331">
        <v>358</v>
      </c>
      <c r="B331">
        <v>5</v>
      </c>
      <c r="C331">
        <f>'0358 table 5'!E33</f>
        <v>25331250</v>
      </c>
      <c r="D331">
        <f>'0358 table 5'!F33</f>
        <v>373.15</v>
      </c>
      <c r="E331">
        <f>'0358 table 5'!G33</f>
        <v>510.45774251192745</v>
      </c>
      <c r="G331">
        <v>7599375</v>
      </c>
    </row>
    <row r="332" spans="1:7" x14ac:dyDescent="0.35">
      <c r="A332">
        <v>358</v>
      </c>
      <c r="B332">
        <v>5</v>
      </c>
      <c r="C332">
        <f>'0358 table 5'!E34</f>
        <v>30397500</v>
      </c>
      <c r="D332">
        <f>'0358 table 5'!F34</f>
        <v>373.15</v>
      </c>
      <c r="E332">
        <f>'0358 table 5'!G34</f>
        <v>519.32283495891329</v>
      </c>
      <c r="G332">
        <v>10132500</v>
      </c>
    </row>
    <row r="333" spans="1:7" x14ac:dyDescent="0.35">
      <c r="A333">
        <v>358</v>
      </c>
      <c r="B333">
        <v>5</v>
      </c>
      <c r="C333">
        <f>'0358 table 5'!E35</f>
        <v>40530000</v>
      </c>
      <c r="D333">
        <f>'0358 table 5'!F35</f>
        <v>373.15</v>
      </c>
      <c r="E333">
        <f>'0358 table 5'!G35</f>
        <v>534.67412279836208</v>
      </c>
      <c r="G333">
        <v>15198750</v>
      </c>
    </row>
    <row r="334" spans="1:7" x14ac:dyDescent="0.35">
      <c r="A334">
        <v>358</v>
      </c>
      <c r="B334">
        <v>5</v>
      </c>
      <c r="C334">
        <f>'0358 table 5'!E36</f>
        <v>50662500</v>
      </c>
      <c r="D334">
        <f>'0358 table 5'!F36</f>
        <v>373.15</v>
      </c>
      <c r="E334">
        <f>'0358 table 5'!G36</f>
        <v>547.22034262199543</v>
      </c>
      <c r="G334">
        <v>20265000</v>
      </c>
    </row>
    <row r="335" spans="1:7" x14ac:dyDescent="0.35">
      <c r="A335">
        <v>358</v>
      </c>
      <c r="B335">
        <v>5</v>
      </c>
      <c r="C335">
        <f>'0358 table 5'!E37</f>
        <v>10132500</v>
      </c>
      <c r="D335">
        <f>'0358 table 5'!F37</f>
        <v>398.15</v>
      </c>
      <c r="E335">
        <f>'0358 table 5'!G37</f>
        <v>363.25509539342062</v>
      </c>
      <c r="G335">
        <v>25331250</v>
      </c>
    </row>
    <row r="336" spans="1:7" x14ac:dyDescent="0.35">
      <c r="A336">
        <v>358</v>
      </c>
      <c r="B336">
        <v>5</v>
      </c>
      <c r="C336">
        <f>'0358 table 5'!E38</f>
        <v>15198750</v>
      </c>
      <c r="D336">
        <f>'0358 table 5'!F38</f>
        <v>398.15</v>
      </c>
      <c r="E336">
        <f>'0358 table 5'!G38</f>
        <v>419.02818479868051</v>
      </c>
      <c r="G336">
        <v>30397500</v>
      </c>
    </row>
    <row r="337" spans="1:7" x14ac:dyDescent="0.35">
      <c r="A337">
        <v>358</v>
      </c>
      <c r="B337">
        <v>5</v>
      </c>
      <c r="C337">
        <f>'0358 table 5'!E39</f>
        <v>20265000</v>
      </c>
      <c r="D337">
        <f>'0358 table 5'!F39</f>
        <v>398.15</v>
      </c>
      <c r="E337">
        <f>'0358 table 5'!G39</f>
        <v>443.44624575887576</v>
      </c>
      <c r="G337">
        <v>40530000</v>
      </c>
    </row>
    <row r="338" spans="1:7" x14ac:dyDescent="0.35">
      <c r="A338">
        <v>358</v>
      </c>
      <c r="B338">
        <v>5</v>
      </c>
      <c r="C338">
        <f>'0358 table 5'!E40</f>
        <v>25331250</v>
      </c>
      <c r="D338">
        <f>'0358 table 5'!F40</f>
        <v>398.15</v>
      </c>
      <c r="E338">
        <f>'0358 table 5'!G40</f>
        <v>460.16160124431366</v>
      </c>
      <c r="G338">
        <v>50662500</v>
      </c>
    </row>
    <row r="339" spans="1:7" x14ac:dyDescent="0.35">
      <c r="A339">
        <v>358</v>
      </c>
      <c r="B339">
        <v>5</v>
      </c>
      <c r="C339">
        <f>'0358 table 5'!E41</f>
        <v>30397500</v>
      </c>
      <c r="D339">
        <f>'0358 table 5'!F41</f>
        <v>398.15</v>
      </c>
      <c r="E339">
        <f>'0358 table 5'!G41</f>
        <v>473.88278353596223</v>
      </c>
      <c r="G339">
        <v>9945048.75</v>
      </c>
    </row>
    <row r="340" spans="1:7" x14ac:dyDescent="0.35">
      <c r="A340">
        <v>358</v>
      </c>
      <c r="B340">
        <v>5</v>
      </c>
      <c r="C340">
        <f>'0358 table 5'!E42</f>
        <v>40530000</v>
      </c>
      <c r="D340">
        <f>'0358 table 5'!F42</f>
        <v>398.15</v>
      </c>
      <c r="E340">
        <f>'0358 table 5'!G42</f>
        <v>495.38708661397811</v>
      </c>
      <c r="G340">
        <v>10132500</v>
      </c>
    </row>
    <row r="341" spans="1:7" x14ac:dyDescent="0.35">
      <c r="A341">
        <v>358</v>
      </c>
      <c r="B341">
        <v>5</v>
      </c>
      <c r="C341">
        <f>'0358 table 5'!E43</f>
        <v>50662500</v>
      </c>
      <c r="D341">
        <f>'0358 table 5'!F43</f>
        <v>398.15</v>
      </c>
      <c r="E341">
        <f>'0358 table 5'!G43</f>
        <v>512.25536742291513</v>
      </c>
      <c r="G341">
        <v>15198750</v>
      </c>
    </row>
    <row r="342" spans="1:7" x14ac:dyDescent="0.35">
      <c r="A342">
        <v>359</v>
      </c>
      <c r="B342">
        <v>1</v>
      </c>
      <c r="C342">
        <f>'359 table 1'!E2</f>
        <v>10976537.25</v>
      </c>
      <c r="D342">
        <f>'359 table 1'!F2</f>
        <v>404.2</v>
      </c>
      <c r="E342">
        <f>'359 table 1'!G2</f>
        <v>155.1480372</v>
      </c>
      <c r="G342">
        <v>10976537.25</v>
      </c>
    </row>
    <row r="343" spans="1:7" x14ac:dyDescent="0.35">
      <c r="A343">
        <v>359</v>
      </c>
      <c r="B343">
        <v>1</v>
      </c>
      <c r="C343">
        <f>'359 table 1'!E3</f>
        <v>10998828.75</v>
      </c>
      <c r="D343">
        <f>'359 table 1'!F3</f>
        <v>404.2</v>
      </c>
      <c r="E343">
        <f>'359 table 1'!G3</f>
        <v>160.01876592000002</v>
      </c>
      <c r="G343">
        <v>10998828.75</v>
      </c>
    </row>
    <row r="344" spans="1:7" x14ac:dyDescent="0.35">
      <c r="A344">
        <v>359</v>
      </c>
      <c r="B344">
        <v>1</v>
      </c>
      <c r="C344">
        <f>'359 table 1'!E4</f>
        <v>11019093.75</v>
      </c>
      <c r="D344">
        <f>'359 table 1'!F4</f>
        <v>404.2</v>
      </c>
      <c r="E344">
        <f>'359 table 1'!G4</f>
        <v>165.34931867999998</v>
      </c>
      <c r="G344">
        <v>11019093.75</v>
      </c>
    </row>
    <row r="345" spans="1:7" x14ac:dyDescent="0.35">
      <c r="A345">
        <v>359</v>
      </c>
      <c r="B345">
        <v>1</v>
      </c>
      <c r="C345">
        <f>'359 table 1'!E5</f>
        <v>11033279.25</v>
      </c>
      <c r="D345">
        <f>'359 table 1'!F5</f>
        <v>404.2</v>
      </c>
      <c r="E345">
        <f>'359 table 1'!G5</f>
        <v>171.02048184</v>
      </c>
      <c r="G345">
        <v>11033279.25</v>
      </c>
    </row>
    <row r="346" spans="1:7" x14ac:dyDescent="0.35">
      <c r="A346">
        <v>359</v>
      </c>
      <c r="B346">
        <v>1</v>
      </c>
      <c r="C346">
        <f>'359 table 1'!E6</f>
        <v>11047464.75</v>
      </c>
      <c r="D346">
        <f>'359 table 1'!F6</f>
        <v>404.2</v>
      </c>
      <c r="E346">
        <f>'359 table 1'!G6</f>
        <v>177.10037747999999</v>
      </c>
      <c r="G346">
        <v>11047464.75</v>
      </c>
    </row>
    <row r="347" spans="1:7" x14ac:dyDescent="0.35">
      <c r="A347">
        <v>359</v>
      </c>
      <c r="B347">
        <v>1</v>
      </c>
      <c r="C347">
        <f>'359 table 1'!E7</f>
        <v>11058610.5</v>
      </c>
      <c r="D347">
        <f>'359 table 1'!F7</f>
        <v>404.2</v>
      </c>
      <c r="E347">
        <f>'359 table 1'!G7</f>
        <v>200.68764768000003</v>
      </c>
      <c r="G347">
        <v>11058610.5</v>
      </c>
    </row>
    <row r="348" spans="1:7" x14ac:dyDescent="0.35">
      <c r="A348">
        <v>359</v>
      </c>
      <c r="B348">
        <v>1</v>
      </c>
      <c r="C348">
        <f>'359 table 1'!E8</f>
        <v>11061650.25</v>
      </c>
      <c r="D348">
        <f>'359 table 1'!F8</f>
        <v>404.2</v>
      </c>
      <c r="E348">
        <f>'359 table 1'!G8</f>
        <v>223.33823928000001</v>
      </c>
      <c r="G348">
        <v>11061650.25</v>
      </c>
    </row>
    <row r="349" spans="1:7" x14ac:dyDescent="0.35">
      <c r="A349">
        <v>359</v>
      </c>
      <c r="B349">
        <v>1</v>
      </c>
      <c r="C349">
        <f>'359 table 1'!E9</f>
        <v>11061650.25</v>
      </c>
      <c r="D349">
        <f>'359 table 1'!F9</f>
        <v>404.2</v>
      </c>
      <c r="E349">
        <f>'359 table 1'!G9</f>
        <v>223.33823928000001</v>
      </c>
      <c r="G349">
        <v>11061650.25</v>
      </c>
    </row>
    <row r="350" spans="1:7" x14ac:dyDescent="0.35">
      <c r="A350">
        <v>359</v>
      </c>
      <c r="B350">
        <v>1</v>
      </c>
      <c r="C350">
        <f>'359 table 1'!E10</f>
        <v>11061650.25</v>
      </c>
      <c r="D350">
        <f>'359 table 1'!F10</f>
        <v>404.2</v>
      </c>
      <c r="E350">
        <f>'359 table 1'!G10</f>
        <v>251.50671936000003</v>
      </c>
      <c r="G350">
        <v>11061650.25</v>
      </c>
    </row>
    <row r="351" spans="1:7" x14ac:dyDescent="0.35">
      <c r="A351">
        <v>359</v>
      </c>
      <c r="B351">
        <v>1</v>
      </c>
      <c r="C351">
        <f>'359 table 1'!E11</f>
        <v>11075835.75</v>
      </c>
      <c r="D351">
        <f>'359 table 1'!F11</f>
        <v>404.2</v>
      </c>
      <c r="E351">
        <f>'359 table 1'!G11</f>
        <v>296.67165840000001</v>
      </c>
      <c r="G351">
        <v>11075835.75</v>
      </c>
    </row>
    <row r="352" spans="1:7" x14ac:dyDescent="0.35">
      <c r="A352">
        <v>359</v>
      </c>
      <c r="B352">
        <v>1</v>
      </c>
      <c r="C352">
        <f>'359 table 1'!E12</f>
        <v>11110286.25</v>
      </c>
      <c r="D352">
        <f>'359 table 1'!F12</f>
        <v>404.2</v>
      </c>
      <c r="E352">
        <f>'359 table 1'!G12</f>
        <v>303.87556835999999</v>
      </c>
      <c r="G352">
        <v>11110286.25</v>
      </c>
    </row>
    <row r="353" spans="1:7" x14ac:dyDescent="0.35">
      <c r="A353">
        <v>359</v>
      </c>
      <c r="B353">
        <v>1</v>
      </c>
      <c r="C353">
        <f>'359 table 1'!E13</f>
        <v>11178174</v>
      </c>
      <c r="D353">
        <f>'359 table 1'!F13</f>
        <v>404.2</v>
      </c>
      <c r="E353">
        <f>'359 table 1'!G13</f>
        <v>311.60742443999999</v>
      </c>
      <c r="G353">
        <v>11178174</v>
      </c>
    </row>
    <row r="354" spans="1:7" x14ac:dyDescent="0.35">
      <c r="A354">
        <v>359</v>
      </c>
      <c r="B354">
        <v>1</v>
      </c>
      <c r="C354">
        <f>'359 table 1'!E14</f>
        <v>11268353.25</v>
      </c>
      <c r="D354">
        <f>'359 table 1'!F14</f>
        <v>404.2</v>
      </c>
      <c r="E354">
        <f>'359 table 1'!G14</f>
        <v>318.81133439999996</v>
      </c>
      <c r="G354">
        <v>11268353.25</v>
      </c>
    </row>
    <row r="355" spans="1:7" x14ac:dyDescent="0.35">
      <c r="A355">
        <v>359</v>
      </c>
      <c r="B355">
        <v>1</v>
      </c>
      <c r="C355">
        <f>'359 table 1'!E15</f>
        <v>11062663.5</v>
      </c>
      <c r="D355">
        <f>'359 table 1'!F15</f>
        <v>404.68999999999994</v>
      </c>
      <c r="E355">
        <f>'359 table 1'!G15</f>
        <v>154.51790796</v>
      </c>
      <c r="G355">
        <v>11062663.5</v>
      </c>
    </row>
    <row r="356" spans="1:7" x14ac:dyDescent="0.35">
      <c r="A356">
        <v>359</v>
      </c>
      <c r="B356">
        <v>1</v>
      </c>
      <c r="C356">
        <f>'359 table 1'!E16</f>
        <v>11089008</v>
      </c>
      <c r="D356">
        <f>'359 table 1'!F16</f>
        <v>404.68999999999994</v>
      </c>
      <c r="E356">
        <f>'359 table 1'!G16</f>
        <v>161.53448219999999</v>
      </c>
      <c r="G356">
        <v>11089008</v>
      </c>
    </row>
    <row r="357" spans="1:7" x14ac:dyDescent="0.35">
      <c r="A357">
        <v>359</v>
      </c>
      <c r="B357">
        <v>1</v>
      </c>
      <c r="C357">
        <f>'359 table 1'!E17</f>
        <v>11113326</v>
      </c>
      <c r="D357">
        <f>'359 table 1'!F17</f>
        <v>404.68999999999994</v>
      </c>
      <c r="E357">
        <f>'359 table 1'!G17</f>
        <v>169.81131492</v>
      </c>
      <c r="G357">
        <v>11113326</v>
      </c>
    </row>
    <row r="358" spans="1:7" x14ac:dyDescent="0.35">
      <c r="A358">
        <v>359</v>
      </c>
      <c r="B358">
        <v>1</v>
      </c>
      <c r="C358">
        <f>'359 table 1'!E18</f>
        <v>11126498.25</v>
      </c>
      <c r="D358">
        <f>'359 table 1'!F18</f>
        <v>404.68999999999994</v>
      </c>
      <c r="E358">
        <f>'359 table 1'!G18</f>
        <v>175.17592871999997</v>
      </c>
      <c r="G358">
        <v>11126498.25</v>
      </c>
    </row>
    <row r="359" spans="1:7" x14ac:dyDescent="0.35">
      <c r="A359">
        <v>359</v>
      </c>
      <c r="B359">
        <v>1</v>
      </c>
      <c r="C359">
        <f>'359 table 1'!E19</f>
        <v>11138657.25</v>
      </c>
      <c r="D359">
        <f>'359 table 1'!F19</f>
        <v>404.68999999999994</v>
      </c>
      <c r="E359">
        <f>'359 table 1'!G19</f>
        <v>181.61346527999999</v>
      </c>
      <c r="G359">
        <v>11138657.25</v>
      </c>
    </row>
    <row r="360" spans="1:7" x14ac:dyDescent="0.35">
      <c r="A360">
        <v>359</v>
      </c>
      <c r="B360">
        <v>1</v>
      </c>
      <c r="C360">
        <f>'359 table 1'!E20</f>
        <v>11148789.75</v>
      </c>
      <c r="D360">
        <f>'359 table 1'!F20</f>
        <v>404.68999999999994</v>
      </c>
      <c r="E360">
        <f>'359 table 1'!G20</f>
        <v>193.296402</v>
      </c>
      <c r="G360">
        <v>11148789.75</v>
      </c>
    </row>
    <row r="361" spans="1:7" x14ac:dyDescent="0.35">
      <c r="A361">
        <v>359</v>
      </c>
      <c r="B361">
        <v>1</v>
      </c>
      <c r="C361">
        <f>'359 table 1'!E21</f>
        <v>11152842.75</v>
      </c>
      <c r="D361">
        <f>'359 table 1'!F21</f>
        <v>404.68999999999994</v>
      </c>
      <c r="E361">
        <f>'359 table 1'!G21</f>
        <v>209.61164016000001</v>
      </c>
      <c r="G361">
        <v>11152842.75</v>
      </c>
    </row>
    <row r="362" spans="1:7" x14ac:dyDescent="0.35">
      <c r="A362">
        <v>359</v>
      </c>
      <c r="B362">
        <v>1</v>
      </c>
      <c r="C362">
        <f>'359 table 1'!E22</f>
        <v>11154869.25</v>
      </c>
      <c r="D362">
        <f>'359 table 1'!F22</f>
        <v>404.68999999999994</v>
      </c>
      <c r="E362">
        <f>'359 table 1'!G22</f>
        <v>228.95831088000003</v>
      </c>
      <c r="G362">
        <v>11154869.25</v>
      </c>
    </row>
    <row r="363" spans="1:7" x14ac:dyDescent="0.35">
      <c r="A363">
        <v>359</v>
      </c>
      <c r="B363">
        <v>1</v>
      </c>
      <c r="C363">
        <f>'359 table 1'!E23</f>
        <v>11158922.25</v>
      </c>
      <c r="D363">
        <f>'359 table 1'!F23</f>
        <v>404.68999999999994</v>
      </c>
      <c r="E363">
        <f>'359 table 1'!G23</f>
        <v>265.72720356000002</v>
      </c>
      <c r="G363">
        <v>11158922.25</v>
      </c>
    </row>
    <row r="364" spans="1:7" x14ac:dyDescent="0.35">
      <c r="A364">
        <v>359</v>
      </c>
      <c r="B364">
        <v>1</v>
      </c>
      <c r="C364">
        <f>'359 table 1'!E24</f>
        <v>11157909</v>
      </c>
      <c r="D364">
        <f>'359 table 1'!F24</f>
        <v>404.68999999999994</v>
      </c>
      <c r="E364">
        <f>'359 table 1'!G24</f>
        <v>276.03066816</v>
      </c>
      <c r="G364">
        <v>11157909</v>
      </c>
    </row>
    <row r="365" spans="1:7" x14ac:dyDescent="0.35">
      <c r="A365">
        <v>359</v>
      </c>
      <c r="B365">
        <v>1</v>
      </c>
      <c r="C365">
        <f>'359 table 1'!E25</f>
        <v>11173107.75</v>
      </c>
      <c r="D365">
        <f>'359 table 1'!F25</f>
        <v>404.68999999999994</v>
      </c>
      <c r="E365">
        <f>'359 table 1'!G25</f>
        <v>288.88871075999998</v>
      </c>
      <c r="G365">
        <v>11173107.75</v>
      </c>
    </row>
    <row r="366" spans="1:7" x14ac:dyDescent="0.35">
      <c r="A366">
        <v>359</v>
      </c>
      <c r="B366">
        <v>1</v>
      </c>
      <c r="C366">
        <f>'359 table 1'!E26</f>
        <v>11226810</v>
      </c>
      <c r="D366">
        <f>'359 table 1'!F26</f>
        <v>404.68999999999994</v>
      </c>
      <c r="E366">
        <f>'359 table 1'!G26</f>
        <v>301.18474619999995</v>
      </c>
      <c r="G366">
        <v>11226810</v>
      </c>
    </row>
    <row r="367" spans="1:7" x14ac:dyDescent="0.35">
      <c r="A367">
        <v>359</v>
      </c>
      <c r="B367">
        <v>1</v>
      </c>
      <c r="C367">
        <f>'359 table 1'!E27</f>
        <v>11292671.25</v>
      </c>
      <c r="D367">
        <f>'359 table 1'!F27</f>
        <v>404.68999999999994</v>
      </c>
      <c r="E367">
        <f>'359 table 1'!G27</f>
        <v>308.71223603999999</v>
      </c>
      <c r="G367">
        <v>11292671.25</v>
      </c>
    </row>
    <row r="368" spans="1:7" x14ac:dyDescent="0.35">
      <c r="A368">
        <v>359</v>
      </c>
      <c r="B368">
        <v>1</v>
      </c>
      <c r="C368">
        <f>'359 table 1'!E28</f>
        <v>11405142</v>
      </c>
      <c r="D368">
        <f>'359 table 1'!F28</f>
        <v>404.68999999999994</v>
      </c>
      <c r="E368">
        <f>'359 table 1'!G28</f>
        <v>317.73841163999998</v>
      </c>
      <c r="G368">
        <v>11405142</v>
      </c>
    </row>
    <row r="369" spans="1:7" x14ac:dyDescent="0.35">
      <c r="A369">
        <v>359</v>
      </c>
      <c r="B369">
        <v>1</v>
      </c>
      <c r="C369">
        <f>'359 table 1'!E29</f>
        <v>11138657.25</v>
      </c>
      <c r="D369">
        <f>'359 table 1'!F29</f>
        <v>405.18999999999994</v>
      </c>
      <c r="E369">
        <f>'359 table 1'!G29</f>
        <v>154.55196899999999</v>
      </c>
      <c r="G369">
        <v>11138657.25</v>
      </c>
    </row>
    <row r="370" spans="1:7" x14ac:dyDescent="0.35">
      <c r="A370">
        <v>359</v>
      </c>
      <c r="B370">
        <v>1</v>
      </c>
      <c r="C370">
        <f>'359 table 1'!E30</f>
        <v>11169054.75</v>
      </c>
      <c r="D370">
        <f>'359 table 1'!F30</f>
        <v>405.18999999999994</v>
      </c>
      <c r="E370">
        <f>'359 table 1'!G30</f>
        <v>160.18907112000002</v>
      </c>
      <c r="G370">
        <v>11169054.75</v>
      </c>
    </row>
    <row r="371" spans="1:7" x14ac:dyDescent="0.35">
      <c r="A371">
        <v>359</v>
      </c>
      <c r="B371">
        <v>1</v>
      </c>
      <c r="C371">
        <f>'359 table 1'!E31</f>
        <v>11190333</v>
      </c>
      <c r="D371">
        <f>'359 table 1'!F31</f>
        <v>405.18999999999994</v>
      </c>
      <c r="E371">
        <f>'359 table 1'!G31</f>
        <v>166.09866156000001</v>
      </c>
      <c r="G371">
        <v>11190333</v>
      </c>
    </row>
    <row r="372" spans="1:7" x14ac:dyDescent="0.35">
      <c r="A372">
        <v>359</v>
      </c>
      <c r="B372">
        <v>1</v>
      </c>
      <c r="C372">
        <f>'359 table 1'!E32</f>
        <v>11205531.75</v>
      </c>
      <c r="D372">
        <f>'359 table 1'!F32</f>
        <v>405.18999999999994</v>
      </c>
      <c r="E372">
        <f>'359 table 1'!G32</f>
        <v>172.1785572</v>
      </c>
      <c r="G372">
        <v>11205531.75</v>
      </c>
    </row>
    <row r="373" spans="1:7" x14ac:dyDescent="0.35">
      <c r="A373">
        <v>359</v>
      </c>
      <c r="B373">
        <v>1</v>
      </c>
      <c r="C373">
        <f>'359 table 1'!E33</f>
        <v>11219717.25</v>
      </c>
      <c r="D373">
        <f>'359 table 1'!F33</f>
        <v>405.18999999999994</v>
      </c>
      <c r="E373">
        <f>'359 table 1'!G33</f>
        <v>178.37766648000002</v>
      </c>
      <c r="G373">
        <v>11219717.25</v>
      </c>
    </row>
    <row r="374" spans="1:7" x14ac:dyDescent="0.35">
      <c r="A374">
        <v>359</v>
      </c>
      <c r="B374">
        <v>1</v>
      </c>
      <c r="C374">
        <f>'359 table 1'!E34</f>
        <v>11230863</v>
      </c>
      <c r="D374">
        <f>'359 table 1'!F34</f>
        <v>405.18999999999994</v>
      </c>
      <c r="E374">
        <f>'359 table 1'!G34</f>
        <v>185.68375956000003</v>
      </c>
      <c r="G374">
        <v>11230863</v>
      </c>
    </row>
    <row r="375" spans="1:7" x14ac:dyDescent="0.35">
      <c r="A375">
        <v>359</v>
      </c>
      <c r="B375">
        <v>1</v>
      </c>
      <c r="C375">
        <f>'359 table 1'!E35</f>
        <v>11242008.75</v>
      </c>
      <c r="D375">
        <f>'359 table 1'!F35</f>
        <v>405.18999999999994</v>
      </c>
      <c r="E375">
        <f>'359 table 1'!G35</f>
        <v>196.73656704000001</v>
      </c>
      <c r="G375">
        <v>11242008.75</v>
      </c>
    </row>
    <row r="376" spans="1:7" x14ac:dyDescent="0.35">
      <c r="A376">
        <v>359</v>
      </c>
      <c r="B376">
        <v>1</v>
      </c>
      <c r="C376">
        <f>'359 table 1'!E36</f>
        <v>11247075</v>
      </c>
      <c r="D376">
        <f>'359 table 1'!F36</f>
        <v>405.18999999999994</v>
      </c>
      <c r="E376">
        <f>'359 table 1'!G36</f>
        <v>213.68193444000002</v>
      </c>
      <c r="G376">
        <v>11247075</v>
      </c>
    </row>
    <row r="377" spans="1:7" x14ac:dyDescent="0.35">
      <c r="A377">
        <v>359</v>
      </c>
      <c r="B377">
        <v>1</v>
      </c>
      <c r="C377">
        <f>'359 table 1'!E37</f>
        <v>11251128</v>
      </c>
      <c r="D377">
        <f>'359 table 1'!F37</f>
        <v>405.18999999999994</v>
      </c>
      <c r="E377">
        <f>'359 table 1'!G37</f>
        <v>233.82903960000002</v>
      </c>
      <c r="G377">
        <v>11251128</v>
      </c>
    </row>
    <row r="378" spans="1:7" x14ac:dyDescent="0.35">
      <c r="A378">
        <v>359</v>
      </c>
      <c r="B378">
        <v>1</v>
      </c>
      <c r="C378">
        <f>'359 table 1'!E38</f>
        <v>11259234</v>
      </c>
      <c r="D378">
        <f>'359 table 1'!F38</f>
        <v>405.18999999999994</v>
      </c>
      <c r="E378">
        <f>'359 table 1'!G38</f>
        <v>258.23377476000002</v>
      </c>
      <c r="G378">
        <v>11259234</v>
      </c>
    </row>
    <row r="379" spans="1:7" x14ac:dyDescent="0.35">
      <c r="A379">
        <v>359</v>
      </c>
      <c r="B379">
        <v>1</v>
      </c>
      <c r="C379">
        <f>'359 table 1'!E39</f>
        <v>11264300.25</v>
      </c>
      <c r="D379">
        <f>'359 table 1'!F39</f>
        <v>405.18999999999994</v>
      </c>
      <c r="E379">
        <f>'359 table 1'!G39</f>
        <v>272.2328622</v>
      </c>
      <c r="G379">
        <v>11264300.25</v>
      </c>
    </row>
    <row r="380" spans="1:7" x14ac:dyDescent="0.35">
      <c r="A380">
        <v>359</v>
      </c>
      <c r="B380">
        <v>1</v>
      </c>
      <c r="C380">
        <f>'359 table 1'!E40</f>
        <v>11282538.75</v>
      </c>
      <c r="D380">
        <f>'359 table 1'!F40</f>
        <v>405.18999999999994</v>
      </c>
      <c r="E380">
        <f>'359 table 1'!G40</f>
        <v>284.03501256000004</v>
      </c>
      <c r="G380">
        <v>11282538.75</v>
      </c>
    </row>
    <row r="381" spans="1:7" x14ac:dyDescent="0.35">
      <c r="A381">
        <v>359</v>
      </c>
      <c r="B381">
        <v>1</v>
      </c>
      <c r="C381">
        <f>'359 table 1'!E41</f>
        <v>11323068.75</v>
      </c>
      <c r="D381">
        <f>'359 table 1'!F41</f>
        <v>405.18999999999994</v>
      </c>
      <c r="E381">
        <f>'359 table 1'!G41</f>
        <v>294.95157588000001</v>
      </c>
      <c r="G381">
        <v>11323068.75</v>
      </c>
    </row>
    <row r="382" spans="1:7" x14ac:dyDescent="0.35">
      <c r="A382">
        <v>359</v>
      </c>
      <c r="B382">
        <v>1</v>
      </c>
      <c r="C382">
        <f>'359 table 1'!E42</f>
        <v>11431486.5</v>
      </c>
      <c r="D382">
        <f>'359 table 1'!F42</f>
        <v>405.18999999999994</v>
      </c>
      <c r="E382">
        <f>'359 table 1'!G42</f>
        <v>307.63931328000001</v>
      </c>
      <c r="G382">
        <v>11431486.5</v>
      </c>
    </row>
    <row r="383" spans="1:7" x14ac:dyDescent="0.35">
      <c r="A383">
        <v>359</v>
      </c>
      <c r="B383">
        <v>1</v>
      </c>
      <c r="C383">
        <f>'359 table 1'!E43</f>
        <v>11561182.5</v>
      </c>
      <c r="D383">
        <f>'359 table 1'!F43</f>
        <v>405.18999999999994</v>
      </c>
      <c r="E383">
        <f>'359 table 1'!G43</f>
        <v>317.58513696</v>
      </c>
      <c r="G383">
        <v>11561182.5</v>
      </c>
    </row>
    <row r="384" spans="1:7" x14ac:dyDescent="0.35">
      <c r="A384">
        <v>359</v>
      </c>
      <c r="B384">
        <v>1</v>
      </c>
      <c r="C384">
        <f>'359 table 1'!E44</f>
        <v>11190333</v>
      </c>
      <c r="D384">
        <f>'359 table 1'!F44</f>
        <v>405.4</v>
      </c>
      <c r="E384">
        <f>'359 table 1'!G44</f>
        <v>156.51047879999999</v>
      </c>
      <c r="G384">
        <v>11190333</v>
      </c>
    </row>
    <row r="385" spans="1:7" x14ac:dyDescent="0.35">
      <c r="A385">
        <v>359</v>
      </c>
      <c r="B385">
        <v>1</v>
      </c>
      <c r="C385">
        <f>'359 table 1'!E45</f>
        <v>11211611.25</v>
      </c>
      <c r="D385">
        <f>'359 table 1'!F45</f>
        <v>405.4</v>
      </c>
      <c r="E385">
        <f>'359 table 1'!G45</f>
        <v>161.04059712</v>
      </c>
      <c r="G385">
        <v>11211611.25</v>
      </c>
    </row>
    <row r="386" spans="1:7" x14ac:dyDescent="0.35">
      <c r="A386">
        <v>359</v>
      </c>
      <c r="B386">
        <v>1</v>
      </c>
      <c r="C386">
        <f>'359 table 1'!E46</f>
        <v>11232889.5</v>
      </c>
      <c r="D386">
        <f>'359 table 1'!F46</f>
        <v>405.4</v>
      </c>
      <c r="E386">
        <f>'359 table 1'!G46</f>
        <v>166.38818040000001</v>
      </c>
      <c r="G386">
        <v>11232889.5</v>
      </c>
    </row>
    <row r="387" spans="1:7" x14ac:dyDescent="0.35">
      <c r="A387">
        <v>359</v>
      </c>
      <c r="B387">
        <v>1</v>
      </c>
      <c r="C387">
        <f>'359 table 1'!E47</f>
        <v>11250114.75</v>
      </c>
      <c r="D387">
        <f>'359 table 1'!F47</f>
        <v>405.4</v>
      </c>
      <c r="E387">
        <f>'359 table 1'!G47</f>
        <v>172.70650332</v>
      </c>
      <c r="G387">
        <v>11250114.75</v>
      </c>
    </row>
    <row r="388" spans="1:7" x14ac:dyDescent="0.35">
      <c r="A388">
        <v>359</v>
      </c>
      <c r="B388">
        <v>1</v>
      </c>
      <c r="C388">
        <f>'359 table 1'!E48</f>
        <v>11264300.25</v>
      </c>
      <c r="D388">
        <f>'359 table 1'!F48</f>
        <v>405.4</v>
      </c>
      <c r="E388">
        <f>'359 table 1'!G48</f>
        <v>179.29731456000002</v>
      </c>
      <c r="G388">
        <v>11264300.25</v>
      </c>
    </row>
    <row r="389" spans="1:7" x14ac:dyDescent="0.35">
      <c r="A389">
        <v>359</v>
      </c>
      <c r="B389">
        <v>1</v>
      </c>
      <c r="C389">
        <f>'359 table 1'!E49</f>
        <v>11273419.5</v>
      </c>
      <c r="D389">
        <f>'359 table 1'!F49</f>
        <v>405.4</v>
      </c>
      <c r="E389">
        <f>'359 table 1'!G49</f>
        <v>185.66672903999998</v>
      </c>
      <c r="G389">
        <v>11273419.5</v>
      </c>
    </row>
    <row r="390" spans="1:7" x14ac:dyDescent="0.35">
      <c r="A390">
        <v>359</v>
      </c>
      <c r="B390">
        <v>1</v>
      </c>
      <c r="C390">
        <f>'359 table 1'!E50</f>
        <v>11282538.75</v>
      </c>
      <c r="D390">
        <f>'359 table 1'!F50</f>
        <v>405.4</v>
      </c>
      <c r="E390">
        <f>'359 table 1'!G50</f>
        <v>192.85360847999999</v>
      </c>
      <c r="G390">
        <v>11282538.75</v>
      </c>
    </row>
    <row r="391" spans="1:7" x14ac:dyDescent="0.35">
      <c r="A391">
        <v>359</v>
      </c>
      <c r="B391">
        <v>1</v>
      </c>
      <c r="C391">
        <f>'359 table 1'!E51</f>
        <v>11290644.75</v>
      </c>
      <c r="D391">
        <f>'359 table 1'!F51</f>
        <v>405.4</v>
      </c>
      <c r="E391">
        <f>'359 table 1'!G51</f>
        <v>198.47368007999998</v>
      </c>
      <c r="G391">
        <v>11290644.75</v>
      </c>
    </row>
    <row r="392" spans="1:7" x14ac:dyDescent="0.35">
      <c r="A392">
        <v>359</v>
      </c>
      <c r="B392">
        <v>1</v>
      </c>
      <c r="C392">
        <f>'359 table 1'!E52</f>
        <v>11295711</v>
      </c>
      <c r="D392">
        <f>'359 table 1'!F52</f>
        <v>405.4</v>
      </c>
      <c r="E392">
        <f>'359 table 1'!G52</f>
        <v>213.20507988</v>
      </c>
      <c r="G392">
        <v>11295711</v>
      </c>
    </row>
    <row r="393" spans="1:7" x14ac:dyDescent="0.35">
      <c r="A393">
        <v>359</v>
      </c>
      <c r="B393">
        <v>1</v>
      </c>
      <c r="C393">
        <f>'359 table 1'!E53</f>
        <v>11301790.5</v>
      </c>
      <c r="D393">
        <f>'359 table 1'!F53</f>
        <v>405.4</v>
      </c>
      <c r="E393">
        <f>'359 table 1'!G53</f>
        <v>228.36224268000001</v>
      </c>
      <c r="G393">
        <v>11301790.5</v>
      </c>
    </row>
    <row r="394" spans="1:7" x14ac:dyDescent="0.35">
      <c r="A394">
        <v>359</v>
      </c>
      <c r="B394">
        <v>1</v>
      </c>
      <c r="C394">
        <f>'359 table 1'!E54</f>
        <v>11302803.75</v>
      </c>
      <c r="D394">
        <f>'359 table 1'!F54</f>
        <v>405.4</v>
      </c>
      <c r="E394">
        <f>'359 table 1'!G54</f>
        <v>242.31023856000002</v>
      </c>
      <c r="G394">
        <v>11302803.75</v>
      </c>
    </row>
    <row r="395" spans="1:7" x14ac:dyDescent="0.35">
      <c r="A395">
        <v>359</v>
      </c>
      <c r="B395">
        <v>1</v>
      </c>
      <c r="C395">
        <f>'359 table 1'!E55</f>
        <v>11303817</v>
      </c>
      <c r="D395">
        <f>'359 table 1'!F55</f>
        <v>405.4</v>
      </c>
      <c r="E395">
        <f>'359 table 1'!G55</f>
        <v>252.78400835999997</v>
      </c>
      <c r="G395">
        <v>11303817</v>
      </c>
    </row>
    <row r="396" spans="1:7" x14ac:dyDescent="0.35">
      <c r="A396">
        <v>359</v>
      </c>
      <c r="B396">
        <v>1</v>
      </c>
      <c r="C396">
        <f>'359 table 1'!E56</f>
        <v>11311923</v>
      </c>
      <c r="D396">
        <f>'359 table 1'!F56</f>
        <v>405.4</v>
      </c>
      <c r="E396">
        <f>'359 table 1'!G56</f>
        <v>262.13376383999997</v>
      </c>
      <c r="G396">
        <v>11311923</v>
      </c>
    </row>
    <row r="397" spans="1:7" x14ac:dyDescent="0.35">
      <c r="A397">
        <v>359</v>
      </c>
      <c r="B397">
        <v>1</v>
      </c>
      <c r="C397">
        <f>'359 table 1'!E57</f>
        <v>11324082</v>
      </c>
      <c r="D397">
        <f>'359 table 1'!F57</f>
        <v>405.4</v>
      </c>
      <c r="E397">
        <f>'359 table 1'!G57</f>
        <v>273.76560900000004</v>
      </c>
      <c r="G397">
        <v>11324082</v>
      </c>
    </row>
    <row r="398" spans="1:7" x14ac:dyDescent="0.35">
      <c r="A398">
        <v>359</v>
      </c>
      <c r="B398">
        <v>1</v>
      </c>
      <c r="C398">
        <f>'359 table 1'!E58</f>
        <v>11337254.25</v>
      </c>
      <c r="D398">
        <f>'359 table 1'!F58</f>
        <v>405.4</v>
      </c>
      <c r="E398">
        <f>'359 table 1'!G58</f>
        <v>282.33196055999997</v>
      </c>
      <c r="G398">
        <v>11337254.25</v>
      </c>
    </row>
    <row r="399" spans="1:7" x14ac:dyDescent="0.35">
      <c r="A399">
        <v>359</v>
      </c>
      <c r="B399">
        <v>1</v>
      </c>
      <c r="C399">
        <f>'359 table 1'!E59</f>
        <v>11368665</v>
      </c>
      <c r="D399">
        <f>'359 table 1'!F59</f>
        <v>405.4</v>
      </c>
      <c r="E399">
        <f>'359 table 1'!G59</f>
        <v>289.7742978</v>
      </c>
      <c r="G399">
        <v>11368665</v>
      </c>
    </row>
    <row r="400" spans="1:7" x14ac:dyDescent="0.35">
      <c r="A400">
        <v>359</v>
      </c>
      <c r="B400">
        <v>1</v>
      </c>
      <c r="C400">
        <f>'359 table 1'!E60</f>
        <v>11418314.25</v>
      </c>
      <c r="D400">
        <f>'359 table 1'!F60</f>
        <v>405.4</v>
      </c>
      <c r="E400">
        <f>'359 table 1'!G60</f>
        <v>298.61313767999997</v>
      </c>
      <c r="G400">
        <v>11418314.25</v>
      </c>
    </row>
    <row r="401" spans="1:7" x14ac:dyDescent="0.35">
      <c r="A401">
        <v>359</v>
      </c>
      <c r="B401">
        <v>1</v>
      </c>
      <c r="C401">
        <f>'359 table 1'!E61</f>
        <v>11484175.5</v>
      </c>
      <c r="D401">
        <f>'359 table 1'!F61</f>
        <v>405.4</v>
      </c>
      <c r="E401">
        <f>'359 table 1'!G61</f>
        <v>305.95329180000004</v>
      </c>
      <c r="G401">
        <v>11484175.5</v>
      </c>
    </row>
    <row r="402" spans="1:7" x14ac:dyDescent="0.35">
      <c r="A402">
        <v>359</v>
      </c>
      <c r="B402">
        <v>1</v>
      </c>
      <c r="C402">
        <f>'359 table 1'!E62</f>
        <v>11638189.5</v>
      </c>
      <c r="D402">
        <f>'359 table 1'!F62</f>
        <v>405.4</v>
      </c>
      <c r="E402">
        <f>'359 table 1'!G62</f>
        <v>317.68732008000001</v>
      </c>
      <c r="G402">
        <v>11638189.5</v>
      </c>
    </row>
    <row r="403" spans="1:7" x14ac:dyDescent="0.35">
      <c r="A403">
        <v>359</v>
      </c>
      <c r="B403">
        <v>1</v>
      </c>
      <c r="C403">
        <f>'359 table 1'!E63</f>
        <v>11206545</v>
      </c>
      <c r="D403">
        <f>'359 table 1'!F63</f>
        <v>405.68999999999994</v>
      </c>
      <c r="E403">
        <f>'359 table 1'!G63</f>
        <v>154.51790796</v>
      </c>
      <c r="G403">
        <v>11206545</v>
      </c>
    </row>
    <row r="404" spans="1:7" x14ac:dyDescent="0.35">
      <c r="A404">
        <v>359</v>
      </c>
      <c r="B404">
        <v>1</v>
      </c>
      <c r="C404">
        <f>'359 table 1'!E64</f>
        <v>11249101.5</v>
      </c>
      <c r="D404">
        <f>'359 table 1'!F64</f>
        <v>405.68999999999994</v>
      </c>
      <c r="E404">
        <f>'359 table 1'!G64</f>
        <v>162.07945884</v>
      </c>
      <c r="G404">
        <v>11249101.5</v>
      </c>
    </row>
    <row r="405" spans="1:7" x14ac:dyDescent="0.35">
      <c r="A405">
        <v>359</v>
      </c>
      <c r="B405">
        <v>1</v>
      </c>
      <c r="C405">
        <f>'359 table 1'!E65</f>
        <v>11278485.75</v>
      </c>
      <c r="D405">
        <f>'359 table 1'!F65</f>
        <v>405.68999999999994</v>
      </c>
      <c r="E405">
        <f>'359 table 1'!G65</f>
        <v>169.82834543999999</v>
      </c>
      <c r="G405">
        <v>11278485.75</v>
      </c>
    </row>
    <row r="406" spans="1:7" x14ac:dyDescent="0.35">
      <c r="A406">
        <v>359</v>
      </c>
      <c r="B406">
        <v>1</v>
      </c>
      <c r="C406">
        <f>'359 table 1'!E66</f>
        <v>11300777.25</v>
      </c>
      <c r="D406">
        <f>'359 table 1'!F66</f>
        <v>405.68999999999994</v>
      </c>
      <c r="E406">
        <f>'359 table 1'!G66</f>
        <v>178.97373468000001</v>
      </c>
      <c r="G406">
        <v>11300777.25</v>
      </c>
    </row>
    <row r="407" spans="1:7" x14ac:dyDescent="0.35">
      <c r="A407">
        <v>359</v>
      </c>
      <c r="B407">
        <v>1</v>
      </c>
      <c r="C407">
        <f>'359 table 1'!E67</f>
        <v>11320029</v>
      </c>
      <c r="D407">
        <f>'359 table 1'!F67</f>
        <v>405.68999999999994</v>
      </c>
      <c r="E407">
        <f>'359 table 1'!G67</f>
        <v>189.24313824000001</v>
      </c>
      <c r="G407">
        <v>11320029</v>
      </c>
    </row>
    <row r="408" spans="1:7" x14ac:dyDescent="0.35">
      <c r="A408">
        <v>359</v>
      </c>
      <c r="B408">
        <v>1</v>
      </c>
      <c r="C408">
        <f>'359 table 1'!E68</f>
        <v>11331174.75</v>
      </c>
      <c r="D408">
        <f>'359 table 1'!F68</f>
        <v>405.68999999999994</v>
      </c>
      <c r="E408">
        <f>'359 table 1'!G68</f>
        <v>200.70467820000002</v>
      </c>
      <c r="G408">
        <v>11331174.75</v>
      </c>
    </row>
    <row r="409" spans="1:7" x14ac:dyDescent="0.35">
      <c r="A409">
        <v>359</v>
      </c>
      <c r="B409">
        <v>1</v>
      </c>
      <c r="C409">
        <f>'359 table 1'!E69</f>
        <v>11340294</v>
      </c>
      <c r="D409">
        <f>'359 table 1'!F69</f>
        <v>405.68999999999994</v>
      </c>
      <c r="E409">
        <f>'359 table 1'!G69</f>
        <v>213.68193444000002</v>
      </c>
      <c r="G409">
        <v>11340294</v>
      </c>
    </row>
    <row r="410" spans="1:7" x14ac:dyDescent="0.35">
      <c r="A410">
        <v>359</v>
      </c>
      <c r="B410">
        <v>1</v>
      </c>
      <c r="C410">
        <f>'359 table 1'!E70</f>
        <v>11352453</v>
      </c>
      <c r="D410">
        <f>'359 table 1'!F70</f>
        <v>405.68999999999994</v>
      </c>
      <c r="E410">
        <f>'359 table 1'!G70</f>
        <v>228.41333424000001</v>
      </c>
      <c r="G410">
        <v>11352453</v>
      </c>
    </row>
    <row r="411" spans="1:7" x14ac:dyDescent="0.35">
      <c r="A411">
        <v>359</v>
      </c>
      <c r="B411">
        <v>1</v>
      </c>
      <c r="C411">
        <f>'359 table 1'!E71</f>
        <v>11356506</v>
      </c>
      <c r="D411">
        <f>'359 table 1'!F71</f>
        <v>405.68999999999994</v>
      </c>
      <c r="E411">
        <f>'359 table 1'!G71</f>
        <v>245.39276268</v>
      </c>
      <c r="G411">
        <v>11356506</v>
      </c>
    </row>
    <row r="412" spans="1:7" x14ac:dyDescent="0.35">
      <c r="A412">
        <v>359</v>
      </c>
      <c r="B412">
        <v>1</v>
      </c>
      <c r="C412">
        <f>'359 table 1'!E72</f>
        <v>11360559</v>
      </c>
      <c r="D412">
        <f>'359 table 1'!F72</f>
        <v>405.68999999999994</v>
      </c>
      <c r="E412">
        <f>'359 table 1'!G72</f>
        <v>258.82984296000001</v>
      </c>
      <c r="G412">
        <v>11360559</v>
      </c>
    </row>
    <row r="413" spans="1:7" x14ac:dyDescent="0.35">
      <c r="A413">
        <v>359</v>
      </c>
      <c r="B413">
        <v>1</v>
      </c>
      <c r="C413">
        <f>'359 table 1'!E73</f>
        <v>11374744.5</v>
      </c>
      <c r="D413">
        <f>'359 table 1'!F73</f>
        <v>405.68999999999994</v>
      </c>
      <c r="E413">
        <f>'359 table 1'!G73</f>
        <v>273.03329664000006</v>
      </c>
      <c r="G413">
        <v>11374744.5</v>
      </c>
    </row>
    <row r="414" spans="1:7" x14ac:dyDescent="0.35">
      <c r="A414">
        <v>359</v>
      </c>
      <c r="B414">
        <v>1</v>
      </c>
      <c r="C414">
        <f>'359 table 1'!E74</f>
        <v>11422367.25</v>
      </c>
      <c r="D414">
        <f>'359 table 1'!F74</f>
        <v>405.68999999999994</v>
      </c>
      <c r="E414">
        <f>'359 table 1'!G74</f>
        <v>290.57473224</v>
      </c>
      <c r="G414">
        <v>11422367.25</v>
      </c>
    </row>
    <row r="415" spans="1:7" x14ac:dyDescent="0.35">
      <c r="A415">
        <v>359</v>
      </c>
      <c r="B415">
        <v>1</v>
      </c>
      <c r="C415">
        <f>'359 table 1'!E75</f>
        <v>11520652.5</v>
      </c>
      <c r="D415">
        <f>'359 table 1'!F75</f>
        <v>405.68999999999994</v>
      </c>
      <c r="E415">
        <f>'359 table 1'!G75</f>
        <v>302.97295079999998</v>
      </c>
      <c r="G415">
        <v>11520652.5</v>
      </c>
    </row>
    <row r="416" spans="1:7" x14ac:dyDescent="0.35">
      <c r="A416">
        <v>359</v>
      </c>
      <c r="B416">
        <v>1</v>
      </c>
      <c r="C416">
        <f>'359 table 1'!E76</f>
        <v>11648322</v>
      </c>
      <c r="D416">
        <f>'359 table 1'!F76</f>
        <v>405.68999999999994</v>
      </c>
      <c r="E416">
        <f>'359 table 1'!G76</f>
        <v>313.70217840000004</v>
      </c>
      <c r="G416">
        <v>11648322</v>
      </c>
    </row>
    <row r="417" spans="1:7" x14ac:dyDescent="0.35">
      <c r="A417">
        <v>359</v>
      </c>
      <c r="B417">
        <v>1</v>
      </c>
      <c r="C417">
        <f>'359 table 1'!E77</f>
        <v>11281525.5</v>
      </c>
      <c r="D417">
        <f>'359 table 1'!F77</f>
        <v>406.15</v>
      </c>
      <c r="E417">
        <f>'359 table 1'!G77</f>
        <v>156.40829568000001</v>
      </c>
      <c r="G417">
        <v>11281525.5</v>
      </c>
    </row>
    <row r="418" spans="1:7" x14ac:dyDescent="0.35">
      <c r="A418">
        <v>359</v>
      </c>
      <c r="B418">
        <v>1</v>
      </c>
      <c r="C418">
        <f>'359 table 1'!E78</f>
        <v>11313949.5</v>
      </c>
      <c r="D418">
        <f>'359 table 1'!F78</f>
        <v>406.15</v>
      </c>
      <c r="E418">
        <f>'359 table 1'!G78</f>
        <v>161.53448219999999</v>
      </c>
      <c r="G418">
        <v>11313949.5</v>
      </c>
    </row>
    <row r="419" spans="1:7" x14ac:dyDescent="0.35">
      <c r="A419">
        <v>359</v>
      </c>
      <c r="B419">
        <v>1</v>
      </c>
      <c r="C419">
        <f>'359 table 1'!E79</f>
        <v>11354479.5</v>
      </c>
      <c r="D419">
        <f>'359 table 1'!F79</f>
        <v>406.15</v>
      </c>
      <c r="E419">
        <f>'359 table 1'!G79</f>
        <v>170.98642079999999</v>
      </c>
      <c r="G419">
        <v>11354479.5</v>
      </c>
    </row>
    <row r="420" spans="1:7" x14ac:dyDescent="0.35">
      <c r="A420">
        <v>359</v>
      </c>
      <c r="B420">
        <v>1</v>
      </c>
      <c r="C420">
        <f>'359 table 1'!E80</f>
        <v>11381837.25</v>
      </c>
      <c r="D420">
        <f>'359 table 1'!F80</f>
        <v>406.15</v>
      </c>
      <c r="E420">
        <f>'359 table 1'!G80</f>
        <v>180.28508472000001</v>
      </c>
      <c r="G420">
        <v>11381837.25</v>
      </c>
    </row>
    <row r="421" spans="1:7" x14ac:dyDescent="0.35">
      <c r="A421">
        <v>359</v>
      </c>
      <c r="B421">
        <v>1</v>
      </c>
      <c r="C421">
        <f>'359 table 1'!E81</f>
        <v>11411221.5</v>
      </c>
      <c r="D421">
        <f>'359 table 1'!F81</f>
        <v>406.15</v>
      </c>
      <c r="E421">
        <f>'359 table 1'!G81</f>
        <v>194.43744684000001</v>
      </c>
      <c r="G421">
        <v>11411221.5</v>
      </c>
    </row>
    <row r="422" spans="1:7" x14ac:dyDescent="0.35">
      <c r="A422">
        <v>359</v>
      </c>
      <c r="B422">
        <v>1</v>
      </c>
      <c r="C422">
        <f>'359 table 1'!E82</f>
        <v>11431486.5</v>
      </c>
      <c r="D422">
        <f>'359 table 1'!F82</f>
        <v>406.15</v>
      </c>
      <c r="E422">
        <f>'359 table 1'!G82</f>
        <v>211.38281424000002</v>
      </c>
      <c r="G422">
        <v>11431486.5</v>
      </c>
    </row>
    <row r="423" spans="1:7" x14ac:dyDescent="0.35">
      <c r="A423">
        <v>359</v>
      </c>
      <c r="B423">
        <v>1</v>
      </c>
      <c r="C423">
        <f>'359 table 1'!E83</f>
        <v>11435539.5</v>
      </c>
      <c r="D423">
        <f>'359 table 1'!F83</f>
        <v>406.15</v>
      </c>
      <c r="E423">
        <f>'359 table 1'!G83</f>
        <v>228.94128036000001</v>
      </c>
      <c r="G423">
        <v>11435539.5</v>
      </c>
    </row>
    <row r="424" spans="1:7" x14ac:dyDescent="0.35">
      <c r="A424">
        <v>359</v>
      </c>
      <c r="B424">
        <v>1</v>
      </c>
      <c r="C424">
        <f>'359 table 1'!E84</f>
        <v>11446685.25</v>
      </c>
      <c r="D424">
        <f>'359 table 1'!F84</f>
        <v>406.15</v>
      </c>
      <c r="E424">
        <f>'359 table 1'!G84</f>
        <v>245.97180036</v>
      </c>
      <c r="G424">
        <v>11446685.25</v>
      </c>
    </row>
    <row r="425" spans="1:7" x14ac:dyDescent="0.35">
      <c r="A425">
        <v>359</v>
      </c>
      <c r="B425">
        <v>1</v>
      </c>
      <c r="C425">
        <f>'359 table 1'!E85</f>
        <v>11456817.75</v>
      </c>
      <c r="D425">
        <f>'359 table 1'!F85</f>
        <v>406.15</v>
      </c>
      <c r="E425">
        <f>'359 table 1'!G85</f>
        <v>258.76172088000004</v>
      </c>
      <c r="G425">
        <v>11456817.75</v>
      </c>
    </row>
    <row r="426" spans="1:7" x14ac:dyDescent="0.35">
      <c r="A426">
        <v>359</v>
      </c>
      <c r="B426">
        <v>1</v>
      </c>
      <c r="C426">
        <f>'359 table 1'!E86</f>
        <v>11479109.25</v>
      </c>
      <c r="D426">
        <f>'359 table 1'!F86</f>
        <v>406.15</v>
      </c>
      <c r="E426">
        <f>'359 table 1'!G86</f>
        <v>272.94814403999999</v>
      </c>
      <c r="G426">
        <v>11479109.25</v>
      </c>
    </row>
    <row r="427" spans="1:7" x14ac:dyDescent="0.35">
      <c r="A427">
        <v>359</v>
      </c>
      <c r="B427">
        <v>1</v>
      </c>
      <c r="C427">
        <f>'359 table 1'!E87</f>
        <v>11540917.5</v>
      </c>
      <c r="D427">
        <f>'359 table 1'!F87</f>
        <v>406.15</v>
      </c>
      <c r="E427">
        <f>'359 table 1'!G87</f>
        <v>288.95683284</v>
      </c>
      <c r="G427">
        <v>11540917.5</v>
      </c>
    </row>
    <row r="428" spans="1:7" x14ac:dyDescent="0.35">
      <c r="A428">
        <v>359</v>
      </c>
      <c r="B428">
        <v>1</v>
      </c>
      <c r="C428">
        <f>'359 table 1'!E88</f>
        <v>11634136.5</v>
      </c>
      <c r="D428">
        <f>'359 table 1'!F88</f>
        <v>406.15</v>
      </c>
      <c r="E428">
        <f>'359 table 1'!G88</f>
        <v>301.23583776000004</v>
      </c>
      <c r="G428">
        <v>11634136.5</v>
      </c>
    </row>
    <row r="429" spans="1:7" x14ac:dyDescent="0.35">
      <c r="A429">
        <v>359</v>
      </c>
      <c r="B429">
        <v>1</v>
      </c>
      <c r="C429">
        <f>'359 table 1'!E89</f>
        <v>11725329</v>
      </c>
      <c r="D429">
        <f>'359 table 1'!F89</f>
        <v>406.15</v>
      </c>
      <c r="E429">
        <f>'359 table 1'!G89</f>
        <v>308.67817500000001</v>
      </c>
      <c r="G429">
        <v>11725329</v>
      </c>
    </row>
    <row r="430" spans="1:7" x14ac:dyDescent="0.35">
      <c r="A430">
        <v>359</v>
      </c>
      <c r="B430">
        <v>1</v>
      </c>
      <c r="C430">
        <f>'359 table 1'!E90</f>
        <v>11432499.75</v>
      </c>
      <c r="D430">
        <f>'359 table 1'!F90</f>
        <v>407.11</v>
      </c>
      <c r="E430">
        <f>'359 table 1'!G90</f>
        <v>156.61266191999999</v>
      </c>
      <c r="G430">
        <v>11432499.75</v>
      </c>
    </row>
    <row r="431" spans="1:7" x14ac:dyDescent="0.35">
      <c r="A431">
        <v>359</v>
      </c>
      <c r="B431">
        <v>1</v>
      </c>
      <c r="C431">
        <f>'359 table 1'!E91</f>
        <v>11480122.5</v>
      </c>
      <c r="D431">
        <f>'359 table 1'!F91</f>
        <v>407.11</v>
      </c>
      <c r="E431">
        <f>'359 table 1'!G91</f>
        <v>164.20827384</v>
      </c>
      <c r="G431">
        <v>11480122.5</v>
      </c>
    </row>
    <row r="432" spans="1:7" x14ac:dyDescent="0.35">
      <c r="A432">
        <v>359</v>
      </c>
      <c r="B432">
        <v>1</v>
      </c>
      <c r="C432">
        <f>'359 table 1'!E92</f>
        <v>11520652.5</v>
      </c>
      <c r="D432">
        <f>'359 table 1'!F92</f>
        <v>407.11</v>
      </c>
      <c r="E432">
        <f>'359 table 1'!G92</f>
        <v>172.74056436000001</v>
      </c>
      <c r="G432">
        <v>11520652.5</v>
      </c>
    </row>
    <row r="433" spans="1:7" x14ac:dyDescent="0.35">
      <c r="A433">
        <v>359</v>
      </c>
      <c r="B433">
        <v>1</v>
      </c>
      <c r="C433">
        <f>'359 table 1'!E93</f>
        <v>11554089.75</v>
      </c>
      <c r="D433">
        <f>'359 table 1'!F93</f>
        <v>407.11</v>
      </c>
      <c r="E433">
        <f>'359 table 1'!G93</f>
        <v>182.29468608000002</v>
      </c>
      <c r="G433">
        <v>11554089.75</v>
      </c>
    </row>
    <row r="434" spans="1:7" x14ac:dyDescent="0.35">
      <c r="A434">
        <v>359</v>
      </c>
      <c r="B434">
        <v>1</v>
      </c>
      <c r="C434">
        <f>'359 table 1'!E94</f>
        <v>11579421</v>
      </c>
      <c r="D434">
        <f>'359 table 1'!F94</f>
        <v>407.11</v>
      </c>
      <c r="E434">
        <f>'359 table 1'!G94</f>
        <v>192.93876108000003</v>
      </c>
      <c r="G434">
        <v>11579421</v>
      </c>
    </row>
    <row r="435" spans="1:7" x14ac:dyDescent="0.35">
      <c r="A435">
        <v>359</v>
      </c>
      <c r="B435">
        <v>1</v>
      </c>
      <c r="C435">
        <f>'359 table 1'!E95</f>
        <v>11606778.75</v>
      </c>
      <c r="D435">
        <f>'359 table 1'!F95</f>
        <v>407.11</v>
      </c>
      <c r="E435">
        <f>'359 table 1'!G95</f>
        <v>209.15181612000003</v>
      </c>
      <c r="G435">
        <v>11606778.75</v>
      </c>
    </row>
    <row r="436" spans="1:7" x14ac:dyDescent="0.35">
      <c r="A436">
        <v>359</v>
      </c>
      <c r="B436">
        <v>1</v>
      </c>
      <c r="C436">
        <f>'359 table 1'!E96</f>
        <v>11630083.5</v>
      </c>
      <c r="D436">
        <f>'359 table 1'!F96</f>
        <v>407.11</v>
      </c>
      <c r="E436">
        <f>'359 table 1'!G96</f>
        <v>228.3792732</v>
      </c>
      <c r="G436">
        <v>11630083.5</v>
      </c>
    </row>
    <row r="437" spans="1:7" x14ac:dyDescent="0.35">
      <c r="A437">
        <v>359</v>
      </c>
      <c r="B437">
        <v>1</v>
      </c>
      <c r="C437">
        <f>'359 table 1'!E97</f>
        <v>11651361.75</v>
      </c>
      <c r="D437">
        <f>'359 table 1'!F97</f>
        <v>407.11</v>
      </c>
      <c r="E437">
        <f>'359 table 1'!G97</f>
        <v>245.4097932</v>
      </c>
      <c r="G437">
        <v>11651361.75</v>
      </c>
    </row>
    <row r="438" spans="1:7" x14ac:dyDescent="0.35">
      <c r="A438">
        <v>359</v>
      </c>
      <c r="B438">
        <v>1</v>
      </c>
      <c r="C438">
        <f>'359 table 1'!E98</f>
        <v>11673653.25</v>
      </c>
      <c r="D438">
        <f>'359 table 1'!F98</f>
        <v>407.11</v>
      </c>
      <c r="E438">
        <f>'359 table 1'!G98</f>
        <v>258.14862216</v>
      </c>
      <c r="G438">
        <v>11673653.25</v>
      </c>
    </row>
    <row r="439" spans="1:7" x14ac:dyDescent="0.35">
      <c r="A439">
        <v>359</v>
      </c>
      <c r="B439">
        <v>1</v>
      </c>
      <c r="C439">
        <f>'359 table 1'!E99</f>
        <v>11709117</v>
      </c>
      <c r="D439">
        <f>'359 table 1'!F99</f>
        <v>407.11</v>
      </c>
      <c r="E439">
        <f>'359 table 1'!G99</f>
        <v>272.30098428000002</v>
      </c>
      <c r="G439">
        <v>11709117</v>
      </c>
    </row>
    <row r="440" spans="1:7" x14ac:dyDescent="0.35">
      <c r="A440">
        <v>359</v>
      </c>
      <c r="B440">
        <v>1</v>
      </c>
      <c r="C440">
        <f>'359 table 1'!E100</f>
        <v>11787137.25</v>
      </c>
      <c r="D440">
        <f>'359 table 1'!F100</f>
        <v>407.11</v>
      </c>
      <c r="E440">
        <f>'359 table 1'!G100</f>
        <v>288.10530684000003</v>
      </c>
      <c r="G440">
        <v>11787137.25</v>
      </c>
    </row>
    <row r="441" spans="1:7" x14ac:dyDescent="0.35">
      <c r="A441">
        <v>359</v>
      </c>
      <c r="B441">
        <v>1</v>
      </c>
      <c r="C441">
        <f>'359 table 1'!E101</f>
        <v>11860091.25</v>
      </c>
      <c r="D441">
        <f>'359 table 1'!F101</f>
        <v>407.11</v>
      </c>
      <c r="E441">
        <f>'359 table 1'!G101</f>
        <v>296.65462788000002</v>
      </c>
      <c r="G441">
        <v>11860091.25</v>
      </c>
    </row>
    <row r="442" spans="1:7" x14ac:dyDescent="0.35">
      <c r="A442">
        <v>360</v>
      </c>
      <c r="B442">
        <v>3</v>
      </c>
      <c r="C442">
        <f>'0360 table 3'!E2</f>
        <v>558000</v>
      </c>
      <c r="D442">
        <f>'0360 table 3'!F2</f>
        <v>280.29000000000002</v>
      </c>
      <c r="E442">
        <f>'0360 table 3'!G2</f>
        <v>3.5</v>
      </c>
      <c r="G442">
        <v>558000</v>
      </c>
    </row>
    <row r="443" spans="1:7" x14ac:dyDescent="0.35">
      <c r="A443">
        <v>360</v>
      </c>
      <c r="B443">
        <v>3</v>
      </c>
      <c r="C443">
        <f>'0360 table 3'!E3</f>
        <v>577000</v>
      </c>
      <c r="D443">
        <f>'0360 table 3'!F3</f>
        <v>282.60000000000002</v>
      </c>
      <c r="E443">
        <f>'0360 table 3'!G3</f>
        <v>3.5</v>
      </c>
      <c r="G443">
        <v>577000</v>
      </c>
    </row>
    <row r="444" spans="1:7" x14ac:dyDescent="0.35">
      <c r="A444">
        <v>360</v>
      </c>
      <c r="B444">
        <v>3</v>
      </c>
      <c r="C444">
        <f>'0360 table 3'!E4</f>
        <v>1020999.9999999999</v>
      </c>
      <c r="D444">
        <f>'0360 table 3'!F4</f>
        <v>299.83999999999997</v>
      </c>
      <c r="E444">
        <f>'0360 table 3'!G4</f>
        <v>7.1999999999999993</v>
      </c>
      <c r="G444">
        <v>1020999.9999999999</v>
      </c>
    </row>
    <row r="445" spans="1:7" x14ac:dyDescent="0.35">
      <c r="A445">
        <v>360</v>
      </c>
      <c r="B445">
        <v>3</v>
      </c>
      <c r="C445">
        <f>'0360 table 3'!E5</f>
        <v>1900000</v>
      </c>
      <c r="D445">
        <f>'0360 table 3'!F5</f>
        <v>322.36</v>
      </c>
      <c r="E445">
        <f>'0360 table 3'!G5</f>
        <v>13.6</v>
      </c>
      <c r="G445">
        <v>1900000</v>
      </c>
    </row>
    <row r="446" spans="1:7" x14ac:dyDescent="0.35">
      <c r="A446">
        <v>360</v>
      </c>
      <c r="B446">
        <v>3</v>
      </c>
      <c r="C446">
        <f>'0360 table 3'!E6</f>
        <v>2915000</v>
      </c>
      <c r="D446">
        <f>'0360 table 3'!F6</f>
        <v>339.42</v>
      </c>
      <c r="E446">
        <f>'0360 table 3'!G6</f>
        <v>21.700000000000003</v>
      </c>
      <c r="G446">
        <v>2915000</v>
      </c>
    </row>
    <row r="447" spans="1:7" x14ac:dyDescent="0.35">
      <c r="A447">
        <v>360</v>
      </c>
      <c r="B447">
        <v>3</v>
      </c>
      <c r="C447">
        <f>'0360 table 3'!E7</f>
        <v>4583000</v>
      </c>
      <c r="D447">
        <f>'0360 table 3'!F7</f>
        <v>359.48</v>
      </c>
      <c r="E447">
        <f>'0360 table 3'!G7</f>
        <v>36.400000000000006</v>
      </c>
      <c r="G447">
        <v>4583000</v>
      </c>
    </row>
    <row r="448" spans="1:7" x14ac:dyDescent="0.35">
      <c r="A448">
        <v>360</v>
      </c>
      <c r="B448">
        <v>3</v>
      </c>
      <c r="C448">
        <f>'0360 table 3'!E8</f>
        <v>6876000</v>
      </c>
      <c r="D448">
        <f>'0360 table 3'!F8</f>
        <v>379.12</v>
      </c>
      <c r="E448">
        <f>'0360 table 3'!G8</f>
        <v>61.600000000000009</v>
      </c>
      <c r="G448">
        <v>6876000</v>
      </c>
    </row>
    <row r="449" spans="1:7" x14ac:dyDescent="0.35">
      <c r="A449">
        <v>360</v>
      </c>
      <c r="B449">
        <v>3</v>
      </c>
      <c r="C449">
        <f>'0360 table 3'!E9</f>
        <v>8597000</v>
      </c>
      <c r="D449">
        <f>'0360 table 3'!F9</f>
        <v>390.95</v>
      </c>
      <c r="E449">
        <f>'0360 table 3'!G9</f>
        <v>86.7</v>
      </c>
      <c r="G449">
        <v>8597000</v>
      </c>
    </row>
    <row r="450" spans="1:7" x14ac:dyDescent="0.35">
      <c r="A450">
        <v>360</v>
      </c>
      <c r="B450">
        <v>4</v>
      </c>
      <c r="C450">
        <f>'0360 table 4'!E2</f>
        <v>558000</v>
      </c>
      <c r="D450">
        <f>'0360 table 4'!F2</f>
        <v>279.37</v>
      </c>
      <c r="E450">
        <f>'0360 table 4'!G2</f>
        <v>629.6</v>
      </c>
      <c r="G450">
        <v>558000</v>
      </c>
    </row>
    <row r="451" spans="1:7" x14ac:dyDescent="0.35">
      <c r="A451">
        <v>360</v>
      </c>
      <c r="B451">
        <v>4</v>
      </c>
      <c r="C451">
        <f>'0360 table 4'!E3</f>
        <v>558000</v>
      </c>
      <c r="D451">
        <f>'0360 table 4'!F3</f>
        <v>279.68</v>
      </c>
      <c r="E451">
        <f>'0360 table 4'!G3</f>
        <v>629.20000000000005</v>
      </c>
      <c r="G451">
        <v>558000</v>
      </c>
    </row>
    <row r="452" spans="1:7" x14ac:dyDescent="0.35">
      <c r="A452">
        <v>360</v>
      </c>
      <c r="B452">
        <v>4</v>
      </c>
      <c r="C452">
        <f>'0360 table 4'!E4</f>
        <v>577000</v>
      </c>
      <c r="D452">
        <f>'0360 table 4'!F4</f>
        <v>280.60000000000002</v>
      </c>
      <c r="E452">
        <f>'0360 table 4'!G4</f>
        <v>628.1</v>
      </c>
      <c r="G452">
        <v>577000</v>
      </c>
    </row>
    <row r="453" spans="1:7" x14ac:dyDescent="0.35">
      <c r="A453">
        <v>360</v>
      </c>
      <c r="B453">
        <v>4</v>
      </c>
      <c r="C453">
        <f>'0360 table 4'!E5</f>
        <v>613000</v>
      </c>
      <c r="D453">
        <f>'0360 table 4'!F5</f>
        <v>282.52999999999997</v>
      </c>
      <c r="E453">
        <f>'0360 table 4'!G5</f>
        <v>625.09999999999991</v>
      </c>
      <c r="G453">
        <v>613000</v>
      </c>
    </row>
    <row r="454" spans="1:7" x14ac:dyDescent="0.35">
      <c r="A454">
        <v>360</v>
      </c>
      <c r="B454">
        <v>4</v>
      </c>
      <c r="C454">
        <f>'0360 table 4'!E6</f>
        <v>1020999.9999999999</v>
      </c>
      <c r="D454">
        <f>'0360 table 4'!F6</f>
        <v>297.39</v>
      </c>
      <c r="E454">
        <f>'0360 table 4'!G6</f>
        <v>604</v>
      </c>
      <c r="G454">
        <v>1020999.9999999999</v>
      </c>
    </row>
    <row r="455" spans="1:7" x14ac:dyDescent="0.35">
      <c r="A455">
        <v>360</v>
      </c>
      <c r="B455">
        <v>4</v>
      </c>
      <c r="C455">
        <f>'0360 table 4'!E7</f>
        <v>1055000</v>
      </c>
      <c r="D455">
        <f>'0360 table 4'!F7</f>
        <v>299.07</v>
      </c>
      <c r="E455">
        <f>'0360 table 4'!G7</f>
        <v>601.70000000000005</v>
      </c>
      <c r="G455">
        <v>1055000</v>
      </c>
    </row>
    <row r="456" spans="1:7" x14ac:dyDescent="0.35">
      <c r="A456">
        <v>360</v>
      </c>
      <c r="B456">
        <v>4</v>
      </c>
      <c r="C456">
        <f>'0360 table 4'!E8</f>
        <v>1071000</v>
      </c>
      <c r="D456">
        <f>'0360 table 4'!F8</f>
        <v>299.39999999999998</v>
      </c>
      <c r="E456">
        <f>'0360 table 4'!G8</f>
        <v>601.40000000000009</v>
      </c>
      <c r="G456">
        <v>1071000</v>
      </c>
    </row>
    <row r="457" spans="1:7" x14ac:dyDescent="0.35">
      <c r="A457">
        <v>360</v>
      </c>
      <c r="B457">
        <v>4</v>
      </c>
      <c r="C457">
        <f>'0360 table 4'!E9</f>
        <v>1115000</v>
      </c>
      <c r="D457">
        <f>'0360 table 4'!F9</f>
        <v>300.74</v>
      </c>
      <c r="E457">
        <f>'0360 table 4'!G9</f>
        <v>599.1</v>
      </c>
      <c r="G457">
        <v>1115000</v>
      </c>
    </row>
    <row r="458" spans="1:7" x14ac:dyDescent="0.35">
      <c r="A458">
        <v>360</v>
      </c>
      <c r="B458">
        <v>4</v>
      </c>
      <c r="C458">
        <f>'0360 table 4'!E10</f>
        <v>1764000</v>
      </c>
      <c r="D458">
        <f>'0360 table 4'!F10</f>
        <v>316.94</v>
      </c>
      <c r="E458">
        <f>'0360 table 4'!G10</f>
        <v>574.1</v>
      </c>
      <c r="G458">
        <v>1764000</v>
      </c>
    </row>
    <row r="459" spans="1:7" x14ac:dyDescent="0.35">
      <c r="A459">
        <v>360</v>
      </c>
      <c r="B459">
        <v>4</v>
      </c>
      <c r="C459">
        <f>'0360 table 4'!E11</f>
        <v>1855000</v>
      </c>
      <c r="D459">
        <f>'0360 table 4'!F11</f>
        <v>319.48</v>
      </c>
      <c r="E459">
        <f>'0360 table 4'!G11</f>
        <v>569.5</v>
      </c>
      <c r="G459">
        <v>1855000</v>
      </c>
    </row>
    <row r="460" spans="1:7" x14ac:dyDescent="0.35">
      <c r="A460">
        <v>360</v>
      </c>
      <c r="B460">
        <v>4</v>
      </c>
      <c r="C460">
        <f>'0360 table 4'!E12</f>
        <v>1866000</v>
      </c>
      <c r="D460">
        <f>'0360 table 4'!F12</f>
        <v>319.85000000000002</v>
      </c>
      <c r="E460">
        <f>'0360 table 4'!G12</f>
        <v>567.69999999999993</v>
      </c>
      <c r="G460">
        <v>1866000</v>
      </c>
    </row>
    <row r="461" spans="1:7" x14ac:dyDescent="0.35">
      <c r="A461">
        <v>360</v>
      </c>
      <c r="B461">
        <v>4</v>
      </c>
      <c r="C461">
        <f>'0360 table 4'!E13</f>
        <v>1900000</v>
      </c>
      <c r="D461">
        <f>'0360 table 4'!F13</f>
        <v>319.89999999999998</v>
      </c>
      <c r="E461">
        <f>'0360 table 4'!G13</f>
        <v>568.9</v>
      </c>
      <c r="G461">
        <v>1900000</v>
      </c>
    </row>
    <row r="462" spans="1:7" x14ac:dyDescent="0.35">
      <c r="A462">
        <v>360</v>
      </c>
      <c r="B462">
        <v>4</v>
      </c>
      <c r="C462">
        <f>'0360 table 4'!E14</f>
        <v>1931000</v>
      </c>
      <c r="D462">
        <f>'0360 table 4'!F14</f>
        <v>320.89</v>
      </c>
      <c r="E462">
        <f>'0360 table 4'!G14</f>
        <v>567.30000000000007</v>
      </c>
      <c r="G462">
        <v>1931000</v>
      </c>
    </row>
    <row r="463" spans="1:7" x14ac:dyDescent="0.35">
      <c r="A463">
        <v>360</v>
      </c>
      <c r="B463">
        <v>4</v>
      </c>
      <c r="C463">
        <f>'0360 table 4'!E15</f>
        <v>2047000.0000000002</v>
      </c>
      <c r="D463">
        <f>'0360 table 4'!F15</f>
        <v>323.27999999999997</v>
      </c>
      <c r="E463">
        <f>'0360 table 4'!G15</f>
        <v>563.6</v>
      </c>
      <c r="G463">
        <v>2047000.0000000002</v>
      </c>
    </row>
    <row r="464" spans="1:7" x14ac:dyDescent="0.35">
      <c r="A464">
        <v>360</v>
      </c>
      <c r="B464">
        <v>4</v>
      </c>
      <c r="C464">
        <f>'0360 table 4'!E16</f>
        <v>2915000</v>
      </c>
      <c r="D464">
        <f>'0360 table 4'!F16</f>
        <v>336.17</v>
      </c>
      <c r="E464">
        <f>'0360 table 4'!G16</f>
        <v>541.20000000000005</v>
      </c>
      <c r="G464">
        <v>2915000</v>
      </c>
    </row>
    <row r="465" spans="1:7" x14ac:dyDescent="0.35">
      <c r="A465">
        <v>360</v>
      </c>
      <c r="B465">
        <v>4</v>
      </c>
      <c r="C465">
        <f>'0360 table 4'!E17</f>
        <v>3069000</v>
      </c>
      <c r="D465">
        <f>'0360 table 4'!F17</f>
        <v>339.54</v>
      </c>
      <c r="E465">
        <f>'0360 table 4'!G17</f>
        <v>534.4</v>
      </c>
      <c r="G465">
        <v>3069000</v>
      </c>
    </row>
    <row r="466" spans="1:7" x14ac:dyDescent="0.35">
      <c r="A466">
        <v>360</v>
      </c>
      <c r="B466">
        <v>4</v>
      </c>
      <c r="C466">
        <f>'0360 table 4'!E18</f>
        <v>3066000</v>
      </c>
      <c r="D466">
        <f>'0360 table 4'!F18</f>
        <v>339.62</v>
      </c>
      <c r="E466">
        <f>'0360 table 4'!G18</f>
        <v>534.00000000000011</v>
      </c>
      <c r="G466">
        <v>3066000</v>
      </c>
    </row>
    <row r="467" spans="1:7" x14ac:dyDescent="0.35">
      <c r="A467">
        <v>360</v>
      </c>
      <c r="B467">
        <v>4</v>
      </c>
      <c r="C467">
        <f>'0360 table 4'!E19</f>
        <v>3315000</v>
      </c>
      <c r="D467">
        <f>'0360 table 4'!F19</f>
        <v>342.99</v>
      </c>
      <c r="E467">
        <f>'0360 table 4'!G19</f>
        <v>528.1</v>
      </c>
      <c r="G467">
        <v>3315000</v>
      </c>
    </row>
    <row r="468" spans="1:7" x14ac:dyDescent="0.35">
      <c r="A468">
        <v>360</v>
      </c>
      <c r="B468">
        <v>4</v>
      </c>
      <c r="C468">
        <f>'0360 table 4'!E20</f>
        <v>4583000</v>
      </c>
      <c r="D468">
        <f>'0360 table 4'!F20</f>
        <v>356.33</v>
      </c>
      <c r="E468">
        <f>'0360 table 4'!G20</f>
        <v>501.09999999999997</v>
      </c>
      <c r="G468">
        <v>4583000</v>
      </c>
    </row>
    <row r="469" spans="1:7" x14ac:dyDescent="0.35">
      <c r="A469">
        <v>360</v>
      </c>
      <c r="B469">
        <v>4</v>
      </c>
      <c r="C469">
        <f>'0360 table 4'!E21</f>
        <v>4665000</v>
      </c>
      <c r="D469">
        <f>'0360 table 4'!F21</f>
        <v>358.31</v>
      </c>
      <c r="E469">
        <f>'0360 table 4'!G21</f>
        <v>496.20000000000005</v>
      </c>
      <c r="G469">
        <v>4665000</v>
      </c>
    </row>
    <row r="470" spans="1:7" x14ac:dyDescent="0.35">
      <c r="A470">
        <v>360</v>
      </c>
      <c r="B470">
        <v>4</v>
      </c>
      <c r="C470">
        <f>'0360 table 4'!E22</f>
        <v>5103000</v>
      </c>
      <c r="D470">
        <f>'0360 table 4'!F22</f>
        <v>362.17</v>
      </c>
      <c r="E470">
        <f>'0360 table 4'!G22</f>
        <v>487.70000000000005</v>
      </c>
      <c r="G470">
        <v>5103000</v>
      </c>
    </row>
    <row r="471" spans="1:7" x14ac:dyDescent="0.35">
      <c r="A471">
        <v>360</v>
      </c>
      <c r="B471">
        <v>4</v>
      </c>
      <c r="C471">
        <f>'0360 table 4'!E23</f>
        <v>5105000</v>
      </c>
      <c r="D471">
        <f>'0360 table 4'!F23</f>
        <v>362.17</v>
      </c>
      <c r="E471">
        <f>'0360 table 4'!G23</f>
        <v>487.70000000000005</v>
      </c>
      <c r="G471">
        <v>5105000</v>
      </c>
    </row>
    <row r="472" spans="1:7" x14ac:dyDescent="0.35">
      <c r="A472">
        <v>360</v>
      </c>
      <c r="B472">
        <v>4</v>
      </c>
      <c r="C472">
        <f>'0360 table 4'!E24</f>
        <v>6876000</v>
      </c>
      <c r="D472">
        <f>'0360 table 4'!F24</f>
        <v>377.03</v>
      </c>
      <c r="E472">
        <f>'0360 table 4'!G24</f>
        <v>449.20000000000005</v>
      </c>
      <c r="G472">
        <v>6876000</v>
      </c>
    </row>
    <row r="473" spans="1:7" x14ac:dyDescent="0.35">
      <c r="A473">
        <v>360</v>
      </c>
      <c r="B473">
        <v>4</v>
      </c>
      <c r="C473">
        <f>'0360 table 4'!E25</f>
        <v>7257000</v>
      </c>
      <c r="D473">
        <f>'0360 table 4'!F25</f>
        <v>379.25</v>
      </c>
      <c r="E473">
        <f>'0360 table 4'!G25</f>
        <v>443.6</v>
      </c>
      <c r="G473">
        <v>7257000</v>
      </c>
    </row>
    <row r="474" spans="1:7" x14ac:dyDescent="0.35">
      <c r="A474">
        <v>360</v>
      </c>
      <c r="B474">
        <v>4</v>
      </c>
      <c r="C474">
        <f>'0360 table 4'!E26</f>
        <v>7256000</v>
      </c>
      <c r="D474">
        <f>'0360 table 4'!F26</f>
        <v>379.28</v>
      </c>
      <c r="E474">
        <f>'0360 table 4'!G26</f>
        <v>443.30000000000007</v>
      </c>
      <c r="G474">
        <v>7256000</v>
      </c>
    </row>
    <row r="475" spans="1:7" x14ac:dyDescent="0.35">
      <c r="A475">
        <v>360</v>
      </c>
      <c r="B475">
        <v>4</v>
      </c>
      <c r="C475">
        <f>'0360 table 4'!E27</f>
        <v>8597000</v>
      </c>
      <c r="D475">
        <f>'0360 table 4'!F27</f>
        <v>388.05</v>
      </c>
      <c r="E475">
        <f>'0360 table 4'!G27</f>
        <v>415.3</v>
      </c>
      <c r="G475">
        <v>8597000</v>
      </c>
    </row>
    <row r="476" spans="1:7" x14ac:dyDescent="0.35">
      <c r="A476">
        <v>360</v>
      </c>
      <c r="B476">
        <v>4</v>
      </c>
      <c r="C476">
        <f>'0360 table 4'!E28</f>
        <v>8532000</v>
      </c>
      <c r="D476">
        <f>'0360 table 4'!F28</f>
        <v>388.16</v>
      </c>
      <c r="E476">
        <f>'0360 table 4'!G28</f>
        <v>413.49999999999994</v>
      </c>
      <c r="G476">
        <v>8532000</v>
      </c>
    </row>
    <row r="477" spans="1:7" x14ac:dyDescent="0.35">
      <c r="A477">
        <v>360</v>
      </c>
      <c r="B477">
        <v>4</v>
      </c>
      <c r="C477">
        <f>'0360 table 4'!E29</f>
        <v>8542000</v>
      </c>
      <c r="D477">
        <f>'0360 table 4'!F29</f>
        <v>388.16</v>
      </c>
      <c r="E477">
        <f>'0360 table 4'!G29</f>
        <v>413.70000000000005</v>
      </c>
      <c r="G477">
        <v>8542000</v>
      </c>
    </row>
    <row r="478" spans="1:7" x14ac:dyDescent="0.35">
      <c r="A478">
        <v>361</v>
      </c>
      <c r="B478">
        <v>2</v>
      </c>
      <c r="C478">
        <f>'0361 table 2'!E2</f>
        <v>200000000</v>
      </c>
      <c r="D478">
        <f>'0361 table 2'!F2</f>
        <v>310</v>
      </c>
      <c r="E478">
        <f>'0361 table 2'!G2</f>
        <v>693.15</v>
      </c>
      <c r="G478">
        <v>200000000</v>
      </c>
    </row>
    <row r="479" spans="1:7" x14ac:dyDescent="0.35">
      <c r="A479">
        <v>361</v>
      </c>
      <c r="B479">
        <v>2</v>
      </c>
      <c r="C479">
        <f>'0361 table 2'!E3</f>
        <v>190000000</v>
      </c>
      <c r="D479">
        <f>'0361 table 2'!F3</f>
        <v>310</v>
      </c>
      <c r="E479">
        <f>'0361 table 2'!G3</f>
        <v>689.73</v>
      </c>
      <c r="G479">
        <v>190000000</v>
      </c>
    </row>
    <row r="480" spans="1:7" x14ac:dyDescent="0.35">
      <c r="A480">
        <v>361</v>
      </c>
      <c r="B480">
        <v>2</v>
      </c>
      <c r="C480">
        <f>'0361 table 2'!E4</f>
        <v>180000000</v>
      </c>
      <c r="D480">
        <f>'0361 table 2'!F4</f>
        <v>310</v>
      </c>
      <c r="E480">
        <f>'0361 table 2'!G4</f>
        <v>686.37</v>
      </c>
      <c r="G480">
        <v>180000000</v>
      </c>
    </row>
    <row r="481" spans="1:7" x14ac:dyDescent="0.35">
      <c r="A481">
        <v>361</v>
      </c>
      <c r="B481">
        <v>2</v>
      </c>
      <c r="C481">
        <f>'0361 table 2'!E5</f>
        <v>170000000</v>
      </c>
      <c r="D481">
        <f>'0361 table 2'!F5</f>
        <v>310</v>
      </c>
      <c r="E481">
        <f>'0361 table 2'!G5</f>
        <v>682.74</v>
      </c>
      <c r="G481">
        <v>170000000</v>
      </c>
    </row>
    <row r="482" spans="1:7" x14ac:dyDescent="0.35">
      <c r="A482">
        <v>361</v>
      </c>
      <c r="B482">
        <v>2</v>
      </c>
      <c r="C482">
        <f>'0361 table 2'!E6</f>
        <v>160000000</v>
      </c>
      <c r="D482">
        <f>'0361 table 2'!F6</f>
        <v>310</v>
      </c>
      <c r="E482">
        <f>'0361 table 2'!G6</f>
        <v>678.88</v>
      </c>
      <c r="G482">
        <v>160000000</v>
      </c>
    </row>
    <row r="483" spans="1:7" x14ac:dyDescent="0.35">
      <c r="A483">
        <v>361</v>
      </c>
      <c r="B483">
        <v>2</v>
      </c>
      <c r="C483">
        <f>'0361 table 2'!E7</f>
        <v>150000000</v>
      </c>
      <c r="D483">
        <f>'0361 table 2'!F7</f>
        <v>310</v>
      </c>
      <c r="E483">
        <f>'0361 table 2'!G7</f>
        <v>675.04</v>
      </c>
      <c r="G483">
        <v>150000000</v>
      </c>
    </row>
    <row r="484" spans="1:7" x14ac:dyDescent="0.35">
      <c r="A484">
        <v>361</v>
      </c>
      <c r="B484">
        <v>2</v>
      </c>
      <c r="C484">
        <f>'0361 table 2'!E8</f>
        <v>140000000</v>
      </c>
      <c r="D484">
        <f>'0361 table 2'!F8</f>
        <v>310</v>
      </c>
      <c r="E484">
        <f>'0361 table 2'!G8</f>
        <v>671.05</v>
      </c>
      <c r="G484">
        <v>140000000</v>
      </c>
    </row>
    <row r="485" spans="1:7" x14ac:dyDescent="0.35">
      <c r="A485">
        <v>361</v>
      </c>
      <c r="B485">
        <v>2</v>
      </c>
      <c r="C485">
        <f>'0361 table 2'!E9</f>
        <v>130000000</v>
      </c>
      <c r="D485">
        <f>'0361 table 2'!F9</f>
        <v>310</v>
      </c>
      <c r="E485">
        <f>'0361 table 2'!G9</f>
        <v>666.73</v>
      </c>
      <c r="G485">
        <v>130000000</v>
      </c>
    </row>
    <row r="486" spans="1:7" x14ac:dyDescent="0.35">
      <c r="A486">
        <v>361</v>
      </c>
      <c r="B486">
        <v>2</v>
      </c>
      <c r="C486">
        <f>'0361 table 2'!E10</f>
        <v>120000000</v>
      </c>
      <c r="D486">
        <f>'0361 table 2'!F10</f>
        <v>310</v>
      </c>
      <c r="E486">
        <f>'0361 table 2'!G10</f>
        <v>662.38</v>
      </c>
      <c r="G486">
        <v>120000000</v>
      </c>
    </row>
    <row r="487" spans="1:7" x14ac:dyDescent="0.35">
      <c r="A487">
        <v>361</v>
      </c>
      <c r="B487">
        <v>2</v>
      </c>
      <c r="C487">
        <f>'0361 table 2'!E11</f>
        <v>110000000</v>
      </c>
      <c r="D487">
        <f>'0361 table 2'!F11</f>
        <v>310</v>
      </c>
      <c r="E487">
        <f>'0361 table 2'!G11</f>
        <v>657.9</v>
      </c>
      <c r="G487">
        <v>110000000</v>
      </c>
    </row>
    <row r="488" spans="1:7" x14ac:dyDescent="0.35">
      <c r="A488">
        <v>361</v>
      </c>
      <c r="B488">
        <v>2</v>
      </c>
      <c r="C488">
        <f>'0361 table 2'!E12</f>
        <v>100000000</v>
      </c>
      <c r="D488">
        <f>'0361 table 2'!F12</f>
        <v>310</v>
      </c>
      <c r="E488">
        <f>'0361 table 2'!G12</f>
        <v>653.02</v>
      </c>
      <c r="G488">
        <v>100000000</v>
      </c>
    </row>
    <row r="489" spans="1:7" x14ac:dyDescent="0.35">
      <c r="A489">
        <v>361</v>
      </c>
      <c r="B489">
        <v>2</v>
      </c>
      <c r="C489">
        <f>'0361 table 2'!E13</f>
        <v>90000000</v>
      </c>
      <c r="D489">
        <f>'0361 table 2'!F13</f>
        <v>310</v>
      </c>
      <c r="E489">
        <f>'0361 table 2'!G13</f>
        <v>648.12</v>
      </c>
      <c r="G489">
        <v>90000000</v>
      </c>
    </row>
    <row r="490" spans="1:7" x14ac:dyDescent="0.35">
      <c r="A490">
        <v>361</v>
      </c>
      <c r="B490">
        <v>2</v>
      </c>
      <c r="C490">
        <f>'0361 table 2'!E14</f>
        <v>80000000</v>
      </c>
      <c r="D490">
        <f>'0361 table 2'!F14</f>
        <v>310</v>
      </c>
      <c r="E490">
        <f>'0361 table 2'!G14</f>
        <v>642.82000000000005</v>
      </c>
      <c r="G490">
        <v>80000000</v>
      </c>
    </row>
    <row r="491" spans="1:7" x14ac:dyDescent="0.35">
      <c r="A491">
        <v>361</v>
      </c>
      <c r="B491">
        <v>2</v>
      </c>
      <c r="C491">
        <f>'0361 table 2'!E15</f>
        <v>70000000</v>
      </c>
      <c r="D491">
        <f>'0361 table 2'!F15</f>
        <v>310</v>
      </c>
      <c r="E491">
        <f>'0361 table 2'!G15</f>
        <v>637.23</v>
      </c>
      <c r="G491">
        <v>70000000</v>
      </c>
    </row>
    <row r="492" spans="1:7" x14ac:dyDescent="0.35">
      <c r="A492">
        <v>361</v>
      </c>
      <c r="B492">
        <v>2</v>
      </c>
      <c r="C492">
        <f>'0361 table 2'!E16</f>
        <v>60000000</v>
      </c>
      <c r="D492">
        <f>'0361 table 2'!F16</f>
        <v>310</v>
      </c>
      <c r="E492">
        <f>'0361 table 2'!G16</f>
        <v>631.29999999999995</v>
      </c>
      <c r="G492">
        <v>60000000</v>
      </c>
    </row>
    <row r="493" spans="1:7" x14ac:dyDescent="0.35">
      <c r="A493">
        <v>361</v>
      </c>
      <c r="B493">
        <v>2</v>
      </c>
      <c r="C493">
        <f>'0361 table 2'!E17</f>
        <v>55000000</v>
      </c>
      <c r="D493">
        <f>'0361 table 2'!F17</f>
        <v>310</v>
      </c>
      <c r="E493">
        <f>'0361 table 2'!G17</f>
        <v>628.13</v>
      </c>
      <c r="G493">
        <v>55000000</v>
      </c>
    </row>
    <row r="494" spans="1:7" x14ac:dyDescent="0.35">
      <c r="A494">
        <v>361</v>
      </c>
      <c r="B494">
        <v>2</v>
      </c>
      <c r="C494">
        <f>'0361 table 2'!E18</f>
        <v>50000000</v>
      </c>
      <c r="D494">
        <f>'0361 table 2'!F18</f>
        <v>310</v>
      </c>
      <c r="E494">
        <f>'0361 table 2'!G18</f>
        <v>624.98</v>
      </c>
      <c r="G494">
        <v>50000000</v>
      </c>
    </row>
    <row r="495" spans="1:7" x14ac:dyDescent="0.35">
      <c r="A495">
        <v>361</v>
      </c>
      <c r="B495">
        <v>2</v>
      </c>
      <c r="C495">
        <f>'0361 table 2'!E19</f>
        <v>45000000</v>
      </c>
      <c r="D495">
        <f>'0361 table 2'!F19</f>
        <v>310</v>
      </c>
      <c r="E495">
        <f>'0361 table 2'!G19</f>
        <v>621.64</v>
      </c>
      <c r="G495">
        <v>45000000</v>
      </c>
    </row>
    <row r="496" spans="1:7" x14ac:dyDescent="0.35">
      <c r="A496">
        <v>361</v>
      </c>
      <c r="B496">
        <v>2</v>
      </c>
      <c r="C496">
        <f>'0361 table 2'!E20</f>
        <v>40000000</v>
      </c>
      <c r="D496">
        <f>'0361 table 2'!F20</f>
        <v>310</v>
      </c>
      <c r="E496">
        <f>'0361 table 2'!G20</f>
        <v>618.02</v>
      </c>
      <c r="G496">
        <v>40000000</v>
      </c>
    </row>
    <row r="497" spans="1:7" x14ac:dyDescent="0.35">
      <c r="A497">
        <v>361</v>
      </c>
      <c r="B497">
        <v>2</v>
      </c>
      <c r="C497">
        <f>'0361 table 2'!E21</f>
        <v>35000000</v>
      </c>
      <c r="D497">
        <f>'0361 table 2'!F21</f>
        <v>310</v>
      </c>
      <c r="E497">
        <f>'0361 table 2'!G21</f>
        <v>614.42999999999995</v>
      </c>
      <c r="G497">
        <v>35000000</v>
      </c>
    </row>
    <row r="498" spans="1:7" x14ac:dyDescent="0.35">
      <c r="A498">
        <v>361</v>
      </c>
      <c r="B498">
        <v>2</v>
      </c>
      <c r="C498">
        <f>'0361 table 2'!E22</f>
        <v>200000000</v>
      </c>
      <c r="D498">
        <f>'0361 table 2'!F22</f>
        <v>320</v>
      </c>
      <c r="E498">
        <f>'0361 table 2'!G22</f>
        <v>685.45</v>
      </c>
      <c r="G498">
        <v>200000000</v>
      </c>
    </row>
    <row r="499" spans="1:7" x14ac:dyDescent="0.35">
      <c r="A499">
        <v>361</v>
      </c>
      <c r="B499">
        <v>2</v>
      </c>
      <c r="C499">
        <f>'0361 table 2'!E23</f>
        <v>190000000</v>
      </c>
      <c r="D499">
        <f>'0361 table 2'!F23</f>
        <v>320</v>
      </c>
      <c r="E499">
        <f>'0361 table 2'!G23</f>
        <v>681.82</v>
      </c>
      <c r="G499">
        <v>190000000</v>
      </c>
    </row>
    <row r="500" spans="1:7" x14ac:dyDescent="0.35">
      <c r="A500">
        <v>361</v>
      </c>
      <c r="B500">
        <v>2</v>
      </c>
      <c r="C500">
        <f>'0361 table 2'!E24</f>
        <v>180000000</v>
      </c>
      <c r="D500">
        <f>'0361 table 2'!F24</f>
        <v>320</v>
      </c>
      <c r="E500">
        <f>'0361 table 2'!G24</f>
        <v>678.27</v>
      </c>
      <c r="G500">
        <v>180000000</v>
      </c>
    </row>
    <row r="501" spans="1:7" x14ac:dyDescent="0.35">
      <c r="A501">
        <v>361</v>
      </c>
      <c r="B501">
        <v>2</v>
      </c>
      <c r="C501">
        <f>'0361 table 2'!E25</f>
        <v>170000000</v>
      </c>
      <c r="D501">
        <f>'0361 table 2'!F25</f>
        <v>320</v>
      </c>
      <c r="E501">
        <f>'0361 table 2'!G25</f>
        <v>674.51</v>
      </c>
      <c r="G501">
        <v>170000000</v>
      </c>
    </row>
    <row r="502" spans="1:7" x14ac:dyDescent="0.35">
      <c r="A502">
        <v>361</v>
      </c>
      <c r="B502">
        <v>2</v>
      </c>
      <c r="C502">
        <f>'0361 table 2'!E26</f>
        <v>160000000</v>
      </c>
      <c r="D502">
        <f>'0361 table 2'!F26</f>
        <v>320</v>
      </c>
      <c r="E502">
        <f>'0361 table 2'!G26</f>
        <v>670.49</v>
      </c>
      <c r="G502">
        <v>160000000</v>
      </c>
    </row>
    <row r="503" spans="1:7" x14ac:dyDescent="0.35">
      <c r="A503">
        <v>361</v>
      </c>
      <c r="B503">
        <v>2</v>
      </c>
      <c r="C503">
        <f>'0361 table 2'!E27</f>
        <v>150000000</v>
      </c>
      <c r="D503">
        <f>'0361 table 2'!F27</f>
        <v>320</v>
      </c>
      <c r="E503">
        <f>'0361 table 2'!G27</f>
        <v>666.43</v>
      </c>
      <c r="G503">
        <v>150000000</v>
      </c>
    </row>
    <row r="504" spans="1:7" x14ac:dyDescent="0.35">
      <c r="A504">
        <v>361</v>
      </c>
      <c r="B504">
        <v>2</v>
      </c>
      <c r="C504">
        <f>'0361 table 2'!E28</f>
        <v>140000000</v>
      </c>
      <c r="D504">
        <f>'0361 table 2'!F28</f>
        <v>320</v>
      </c>
      <c r="E504">
        <f>'0361 table 2'!G28</f>
        <v>662.33</v>
      </c>
      <c r="G504">
        <v>140000000</v>
      </c>
    </row>
    <row r="505" spans="1:7" x14ac:dyDescent="0.35">
      <c r="A505">
        <v>361</v>
      </c>
      <c r="B505">
        <v>2</v>
      </c>
      <c r="C505">
        <f>'0361 table 2'!E29</f>
        <v>130000000</v>
      </c>
      <c r="D505">
        <f>'0361 table 2'!F29</f>
        <v>320</v>
      </c>
      <c r="E505">
        <f>'0361 table 2'!G29</f>
        <v>657.86</v>
      </c>
      <c r="G505">
        <v>130000000</v>
      </c>
    </row>
    <row r="506" spans="1:7" x14ac:dyDescent="0.35">
      <c r="A506">
        <v>361</v>
      </c>
      <c r="B506">
        <v>2</v>
      </c>
      <c r="C506">
        <f>'0361 table 2'!E30</f>
        <v>120000000</v>
      </c>
      <c r="D506">
        <f>'0361 table 2'!F30</f>
        <v>320</v>
      </c>
      <c r="E506">
        <f>'0361 table 2'!G30</f>
        <v>653.23</v>
      </c>
      <c r="G506">
        <v>120000000</v>
      </c>
    </row>
    <row r="507" spans="1:7" x14ac:dyDescent="0.35">
      <c r="A507">
        <v>361</v>
      </c>
      <c r="B507">
        <v>2</v>
      </c>
      <c r="C507">
        <f>'0361 table 2'!E31</f>
        <v>110000000</v>
      </c>
      <c r="D507">
        <f>'0361 table 2'!F31</f>
        <v>320</v>
      </c>
      <c r="E507">
        <f>'0361 table 2'!G31</f>
        <v>648.55999999999995</v>
      </c>
      <c r="G507">
        <v>110000000</v>
      </c>
    </row>
    <row r="508" spans="1:7" x14ac:dyDescent="0.35">
      <c r="A508">
        <v>361</v>
      </c>
      <c r="B508">
        <v>2</v>
      </c>
      <c r="C508">
        <f>'0361 table 2'!E32</f>
        <v>100000000</v>
      </c>
      <c r="D508">
        <f>'0361 table 2'!F32</f>
        <v>320</v>
      </c>
      <c r="E508">
        <f>'0361 table 2'!G32</f>
        <v>643.41</v>
      </c>
      <c r="G508">
        <v>100000000</v>
      </c>
    </row>
    <row r="509" spans="1:7" x14ac:dyDescent="0.35">
      <c r="A509">
        <v>361</v>
      </c>
      <c r="B509">
        <v>2</v>
      </c>
      <c r="C509">
        <f>'0361 table 2'!E33</f>
        <v>90000000</v>
      </c>
      <c r="D509">
        <f>'0361 table 2'!F33</f>
        <v>320</v>
      </c>
      <c r="E509">
        <f>'0361 table 2'!G33</f>
        <v>638.23</v>
      </c>
      <c r="G509">
        <v>90000000</v>
      </c>
    </row>
    <row r="510" spans="1:7" x14ac:dyDescent="0.35">
      <c r="A510">
        <v>361</v>
      </c>
      <c r="B510">
        <v>2</v>
      </c>
      <c r="C510">
        <f>'0361 table 2'!E34</f>
        <v>80000000</v>
      </c>
      <c r="D510">
        <f>'0361 table 2'!F34</f>
        <v>320</v>
      </c>
      <c r="E510">
        <f>'0361 table 2'!G34</f>
        <v>632.55999999999995</v>
      </c>
      <c r="G510">
        <v>80000000</v>
      </c>
    </row>
    <row r="511" spans="1:7" x14ac:dyDescent="0.35">
      <c r="A511">
        <v>361</v>
      </c>
      <c r="B511">
        <v>2</v>
      </c>
      <c r="C511">
        <f>'0361 table 2'!E35</f>
        <v>70000000</v>
      </c>
      <c r="D511">
        <f>'0361 table 2'!F35</f>
        <v>320</v>
      </c>
      <c r="E511">
        <f>'0361 table 2'!G35</f>
        <v>626.62</v>
      </c>
      <c r="G511">
        <v>70000000</v>
      </c>
    </row>
    <row r="512" spans="1:7" x14ac:dyDescent="0.35">
      <c r="A512">
        <v>361</v>
      </c>
      <c r="B512">
        <v>2</v>
      </c>
      <c r="C512">
        <f>'0361 table 2'!E36</f>
        <v>60000000</v>
      </c>
      <c r="D512">
        <f>'0361 table 2'!F36</f>
        <v>320</v>
      </c>
      <c r="E512">
        <f>'0361 table 2'!G36</f>
        <v>620.22</v>
      </c>
      <c r="G512">
        <v>60000000</v>
      </c>
    </row>
    <row r="513" spans="1:7" x14ac:dyDescent="0.35">
      <c r="A513">
        <v>361</v>
      </c>
      <c r="B513">
        <v>2</v>
      </c>
      <c r="C513">
        <f>'0361 table 2'!E37</f>
        <v>55000000</v>
      </c>
      <c r="D513">
        <f>'0361 table 2'!F37</f>
        <v>320</v>
      </c>
      <c r="E513">
        <f>'0361 table 2'!G37</f>
        <v>616.83000000000004</v>
      </c>
      <c r="G513">
        <v>55000000</v>
      </c>
    </row>
    <row r="514" spans="1:7" x14ac:dyDescent="0.35">
      <c r="A514">
        <v>361</v>
      </c>
      <c r="B514">
        <v>2</v>
      </c>
      <c r="C514">
        <f>'0361 table 2'!E38</f>
        <v>50000000</v>
      </c>
      <c r="D514">
        <f>'0361 table 2'!F38</f>
        <v>320</v>
      </c>
      <c r="E514">
        <f>'0361 table 2'!G38</f>
        <v>613.39</v>
      </c>
      <c r="G514">
        <v>50000000</v>
      </c>
    </row>
    <row r="515" spans="1:7" x14ac:dyDescent="0.35">
      <c r="A515">
        <v>361</v>
      </c>
      <c r="B515">
        <v>2</v>
      </c>
      <c r="C515">
        <f>'0361 table 2'!E39</f>
        <v>45000000</v>
      </c>
      <c r="D515">
        <f>'0361 table 2'!F39</f>
        <v>320</v>
      </c>
      <c r="E515">
        <f>'0361 table 2'!G39</f>
        <v>603.80999999999995</v>
      </c>
      <c r="G515">
        <v>45000000</v>
      </c>
    </row>
    <row r="516" spans="1:7" x14ac:dyDescent="0.35">
      <c r="A516">
        <v>361</v>
      </c>
      <c r="B516">
        <v>2</v>
      </c>
      <c r="C516">
        <f>'0361 table 2'!E40</f>
        <v>40000000</v>
      </c>
      <c r="D516">
        <f>'0361 table 2'!F40</f>
        <v>320</v>
      </c>
      <c r="E516">
        <f>'0361 table 2'!G40</f>
        <v>605.84</v>
      </c>
      <c r="G516">
        <v>40000000</v>
      </c>
    </row>
    <row r="517" spans="1:7" x14ac:dyDescent="0.35">
      <c r="A517">
        <v>361</v>
      </c>
      <c r="B517">
        <v>2</v>
      </c>
      <c r="C517">
        <f>'0361 table 2'!E41</f>
        <v>35000000</v>
      </c>
      <c r="D517">
        <f>'0361 table 2'!F41</f>
        <v>320</v>
      </c>
      <c r="E517">
        <f>'0361 table 2'!G41</f>
        <v>601.98</v>
      </c>
      <c r="G517">
        <v>35000000</v>
      </c>
    </row>
    <row r="518" spans="1:7" x14ac:dyDescent="0.35">
      <c r="A518">
        <v>361</v>
      </c>
      <c r="B518">
        <v>2</v>
      </c>
      <c r="C518">
        <f>'0361 table 2'!E42</f>
        <v>200000000</v>
      </c>
      <c r="D518">
        <f>'0361 table 2'!F42</f>
        <v>340</v>
      </c>
      <c r="E518">
        <f>'0361 table 2'!G42</f>
        <v>669.99</v>
      </c>
      <c r="G518">
        <v>200000000</v>
      </c>
    </row>
    <row r="519" spans="1:7" x14ac:dyDescent="0.35">
      <c r="A519">
        <v>361</v>
      </c>
      <c r="B519">
        <v>2</v>
      </c>
      <c r="C519">
        <f>'0361 table 2'!E43</f>
        <v>190000000</v>
      </c>
      <c r="D519">
        <f>'0361 table 2'!F43</f>
        <v>340</v>
      </c>
      <c r="E519">
        <f>'0361 table 2'!G43</f>
        <v>666.21</v>
      </c>
      <c r="G519">
        <v>190000000</v>
      </c>
    </row>
    <row r="520" spans="1:7" x14ac:dyDescent="0.35">
      <c r="A520">
        <v>361</v>
      </c>
      <c r="B520">
        <v>2</v>
      </c>
      <c r="C520">
        <f>'0361 table 2'!E44</f>
        <v>180000000</v>
      </c>
      <c r="D520">
        <f>'0361 table 2'!F44</f>
        <v>340</v>
      </c>
      <c r="E520">
        <f>'0361 table 2'!G44</f>
        <v>662.36</v>
      </c>
      <c r="G520">
        <v>180000000</v>
      </c>
    </row>
    <row r="521" spans="1:7" x14ac:dyDescent="0.35">
      <c r="A521">
        <v>361</v>
      </c>
      <c r="B521">
        <v>2</v>
      </c>
      <c r="C521">
        <f>'0361 table 2'!E45</f>
        <v>170000000</v>
      </c>
      <c r="D521">
        <f>'0361 table 2'!F45</f>
        <v>340</v>
      </c>
      <c r="E521">
        <f>'0361 table 2'!G45</f>
        <v>658.19</v>
      </c>
      <c r="G521">
        <v>170000000</v>
      </c>
    </row>
    <row r="522" spans="1:7" x14ac:dyDescent="0.35">
      <c r="A522">
        <v>361</v>
      </c>
      <c r="B522">
        <v>2</v>
      </c>
      <c r="C522">
        <f>'0361 table 2'!E46</f>
        <v>160000000</v>
      </c>
      <c r="D522">
        <f>'0361 table 2'!F46</f>
        <v>340</v>
      </c>
      <c r="E522">
        <f>'0361 table 2'!G46</f>
        <v>653.83000000000004</v>
      </c>
      <c r="G522">
        <v>160000000</v>
      </c>
    </row>
    <row r="523" spans="1:7" x14ac:dyDescent="0.35">
      <c r="A523">
        <v>361</v>
      </c>
      <c r="B523">
        <v>2</v>
      </c>
      <c r="C523">
        <f>'0361 table 2'!E47</f>
        <v>150000000</v>
      </c>
      <c r="D523">
        <f>'0361 table 2'!F47</f>
        <v>340</v>
      </c>
      <c r="E523">
        <f>'0361 table 2'!G47</f>
        <v>649.49</v>
      </c>
      <c r="G523">
        <v>150000000</v>
      </c>
    </row>
    <row r="524" spans="1:7" x14ac:dyDescent="0.35">
      <c r="A524">
        <v>361</v>
      </c>
      <c r="B524">
        <v>2</v>
      </c>
      <c r="C524">
        <f>'0361 table 2'!E48</f>
        <v>140000000</v>
      </c>
      <c r="D524">
        <f>'0361 table 2'!F48</f>
        <v>340</v>
      </c>
      <c r="E524">
        <f>'0361 table 2'!G48</f>
        <v>644.78</v>
      </c>
      <c r="G524">
        <v>140000000</v>
      </c>
    </row>
    <row r="525" spans="1:7" x14ac:dyDescent="0.35">
      <c r="A525">
        <v>361</v>
      </c>
      <c r="B525">
        <v>2</v>
      </c>
      <c r="C525">
        <f>'0361 table 2'!E49</f>
        <v>130000000</v>
      </c>
      <c r="D525">
        <f>'0361 table 2'!F49</f>
        <v>340</v>
      </c>
      <c r="E525">
        <f>'0361 table 2'!G49</f>
        <v>639.97</v>
      </c>
      <c r="G525">
        <v>130000000</v>
      </c>
    </row>
    <row r="526" spans="1:7" x14ac:dyDescent="0.35">
      <c r="A526">
        <v>361</v>
      </c>
      <c r="B526">
        <v>2</v>
      </c>
      <c r="C526">
        <f>'0361 table 2'!E50</f>
        <v>120000000</v>
      </c>
      <c r="D526">
        <f>'0361 table 2'!F50</f>
        <v>340</v>
      </c>
      <c r="E526">
        <f>'0361 table 2'!G50</f>
        <v>634.95000000000005</v>
      </c>
      <c r="G526">
        <v>120000000</v>
      </c>
    </row>
    <row r="527" spans="1:7" x14ac:dyDescent="0.35">
      <c r="A527">
        <v>361</v>
      </c>
      <c r="B527">
        <v>2</v>
      </c>
      <c r="C527">
        <f>'0361 table 2'!E51</f>
        <v>110000000</v>
      </c>
      <c r="D527">
        <f>'0361 table 2'!F51</f>
        <v>340</v>
      </c>
      <c r="E527">
        <f>'0361 table 2'!G51</f>
        <v>629.54</v>
      </c>
      <c r="G527">
        <v>110000000</v>
      </c>
    </row>
    <row r="528" spans="1:7" x14ac:dyDescent="0.35">
      <c r="A528">
        <v>361</v>
      </c>
      <c r="B528">
        <v>2</v>
      </c>
      <c r="C528">
        <f>'0361 table 2'!E52</f>
        <v>100000000</v>
      </c>
      <c r="D528">
        <f>'0361 table 2'!F52</f>
        <v>340</v>
      </c>
      <c r="E528">
        <f>'0361 table 2'!G52</f>
        <v>624.04</v>
      </c>
      <c r="G528">
        <v>100000000</v>
      </c>
    </row>
    <row r="529" spans="1:7" x14ac:dyDescent="0.35">
      <c r="A529">
        <v>361</v>
      </c>
      <c r="B529">
        <v>2</v>
      </c>
      <c r="C529">
        <f>'0361 table 2'!E53</f>
        <v>90000000</v>
      </c>
      <c r="D529">
        <f>'0361 table 2'!F53</f>
        <v>340</v>
      </c>
      <c r="E529">
        <f>'0361 table 2'!G53</f>
        <v>617.94000000000005</v>
      </c>
      <c r="G529">
        <v>90000000</v>
      </c>
    </row>
    <row r="530" spans="1:7" x14ac:dyDescent="0.35">
      <c r="A530">
        <v>361</v>
      </c>
      <c r="B530">
        <v>2</v>
      </c>
      <c r="C530">
        <f>'0361 table 2'!E54</f>
        <v>80000000</v>
      </c>
      <c r="D530">
        <f>'0361 table 2'!F54</f>
        <v>340</v>
      </c>
      <c r="E530">
        <f>'0361 table 2'!G54</f>
        <v>611.73</v>
      </c>
      <c r="G530">
        <v>80000000</v>
      </c>
    </row>
    <row r="531" spans="1:7" x14ac:dyDescent="0.35">
      <c r="A531">
        <v>361</v>
      </c>
      <c r="B531">
        <v>2</v>
      </c>
      <c r="C531">
        <f>'0361 table 2'!E55</f>
        <v>75000000</v>
      </c>
      <c r="D531">
        <f>'0361 table 2'!F55</f>
        <v>340</v>
      </c>
      <c r="E531">
        <f>'0361 table 2'!G55</f>
        <v>608.30999999999995</v>
      </c>
      <c r="G531">
        <v>75000000</v>
      </c>
    </row>
    <row r="532" spans="1:7" x14ac:dyDescent="0.35">
      <c r="A532">
        <v>361</v>
      </c>
      <c r="B532">
        <v>2</v>
      </c>
      <c r="C532">
        <f>'0361 table 2'!E56</f>
        <v>70000000</v>
      </c>
      <c r="D532">
        <f>'0361 table 2'!F56</f>
        <v>340</v>
      </c>
      <c r="E532">
        <f>'0361 table 2'!G56</f>
        <v>604.79</v>
      </c>
      <c r="G532">
        <v>70000000</v>
      </c>
    </row>
    <row r="533" spans="1:7" x14ac:dyDescent="0.35">
      <c r="A533">
        <v>361</v>
      </c>
      <c r="B533">
        <v>2</v>
      </c>
      <c r="C533">
        <f>'0361 table 2'!E57</f>
        <v>65000000</v>
      </c>
      <c r="D533">
        <f>'0361 table 2'!F57</f>
        <v>340</v>
      </c>
      <c r="E533">
        <f>'0361 table 2'!G57</f>
        <v>601.30999999999995</v>
      </c>
      <c r="G533">
        <v>65000000</v>
      </c>
    </row>
    <row r="534" spans="1:7" x14ac:dyDescent="0.35">
      <c r="A534">
        <v>361</v>
      </c>
      <c r="B534">
        <v>2</v>
      </c>
      <c r="C534">
        <f>'0361 table 2'!E58</f>
        <v>60000000</v>
      </c>
      <c r="D534">
        <f>'0361 table 2'!F58</f>
        <v>340</v>
      </c>
      <c r="E534">
        <f>'0361 table 2'!G58</f>
        <v>597.51</v>
      </c>
      <c r="G534">
        <v>60000000</v>
      </c>
    </row>
    <row r="535" spans="1:7" x14ac:dyDescent="0.35">
      <c r="A535">
        <v>361</v>
      </c>
      <c r="B535">
        <v>2</v>
      </c>
      <c r="C535">
        <f>'0361 table 2'!E59</f>
        <v>55000000</v>
      </c>
      <c r="D535">
        <f>'0361 table 2'!F59</f>
        <v>340</v>
      </c>
      <c r="E535">
        <f>'0361 table 2'!G59</f>
        <v>593.47</v>
      </c>
      <c r="G535">
        <v>55000000</v>
      </c>
    </row>
    <row r="536" spans="1:7" x14ac:dyDescent="0.35">
      <c r="A536">
        <v>361</v>
      </c>
      <c r="B536">
        <v>2</v>
      </c>
      <c r="C536">
        <f>'0361 table 2'!E60</f>
        <v>50000000</v>
      </c>
      <c r="D536">
        <f>'0361 table 2'!F60</f>
        <v>340</v>
      </c>
      <c r="E536">
        <f>'0361 table 2'!G60</f>
        <v>589.39</v>
      </c>
      <c r="G536">
        <v>50000000</v>
      </c>
    </row>
    <row r="537" spans="1:7" x14ac:dyDescent="0.35">
      <c r="A537">
        <v>361</v>
      </c>
      <c r="B537">
        <v>2</v>
      </c>
      <c r="C537">
        <f>'0361 table 2'!E61</f>
        <v>45000000</v>
      </c>
      <c r="D537">
        <f>'0361 table 2'!F61</f>
        <v>340</v>
      </c>
      <c r="E537">
        <f>'0361 table 2'!G61</f>
        <v>585</v>
      </c>
      <c r="G537">
        <v>45000000</v>
      </c>
    </row>
    <row r="538" spans="1:7" x14ac:dyDescent="0.35">
      <c r="A538">
        <v>361</v>
      </c>
      <c r="B538">
        <v>2</v>
      </c>
      <c r="C538">
        <f>'0361 table 2'!E62</f>
        <v>40000000</v>
      </c>
      <c r="D538">
        <f>'0361 table 2'!F62</f>
        <v>340</v>
      </c>
      <c r="E538">
        <f>'0361 table 2'!G62</f>
        <v>580.46</v>
      </c>
      <c r="G538">
        <v>40000000</v>
      </c>
    </row>
    <row r="539" spans="1:7" x14ac:dyDescent="0.35">
      <c r="A539">
        <v>361</v>
      </c>
      <c r="B539">
        <v>2</v>
      </c>
      <c r="C539">
        <f>'0361 table 2'!E63</f>
        <v>35000000</v>
      </c>
      <c r="D539">
        <f>'0361 table 2'!F63</f>
        <v>340</v>
      </c>
      <c r="E539">
        <f>'0361 table 2'!G63</f>
        <v>575.58000000000004</v>
      </c>
      <c r="G539">
        <v>35000000</v>
      </c>
    </row>
    <row r="540" spans="1:7" x14ac:dyDescent="0.35">
      <c r="A540">
        <v>361</v>
      </c>
      <c r="B540">
        <v>2</v>
      </c>
      <c r="C540">
        <f>'0361 table 2'!E64</f>
        <v>200000000</v>
      </c>
      <c r="D540">
        <f>'0361 table 2'!F64</f>
        <v>360</v>
      </c>
      <c r="E540">
        <f>'0361 table 2'!G64</f>
        <v>654.45000000000005</v>
      </c>
      <c r="G540">
        <v>200000000</v>
      </c>
    </row>
    <row r="541" spans="1:7" x14ac:dyDescent="0.35">
      <c r="A541">
        <v>361</v>
      </c>
      <c r="B541">
        <v>2</v>
      </c>
      <c r="C541">
        <f>'0361 table 2'!E65</f>
        <v>190000000</v>
      </c>
      <c r="D541">
        <f>'0361 table 2'!F65</f>
        <v>360</v>
      </c>
      <c r="E541">
        <f>'0361 table 2'!G65</f>
        <v>650.41</v>
      </c>
      <c r="G541">
        <v>190000000</v>
      </c>
    </row>
    <row r="542" spans="1:7" x14ac:dyDescent="0.35">
      <c r="A542">
        <v>361</v>
      </c>
      <c r="B542">
        <v>2</v>
      </c>
      <c r="C542">
        <f>'0361 table 2'!E66</f>
        <v>180000000</v>
      </c>
      <c r="D542">
        <f>'0361 table 2'!F66</f>
        <v>360</v>
      </c>
      <c r="E542">
        <f>'0361 table 2'!G66</f>
        <v>646.04</v>
      </c>
      <c r="G542">
        <v>180000000</v>
      </c>
    </row>
    <row r="543" spans="1:7" x14ac:dyDescent="0.35">
      <c r="A543">
        <v>361</v>
      </c>
      <c r="B543">
        <v>2</v>
      </c>
      <c r="C543">
        <f>'0361 table 2'!E67</f>
        <v>170000000</v>
      </c>
      <c r="D543">
        <f>'0361 table 2'!F67</f>
        <v>360</v>
      </c>
      <c r="E543">
        <f>'0361 table 2'!G67</f>
        <v>641.47</v>
      </c>
      <c r="G543">
        <v>170000000</v>
      </c>
    </row>
    <row r="544" spans="1:7" x14ac:dyDescent="0.35">
      <c r="A544">
        <v>361</v>
      </c>
      <c r="B544">
        <v>2</v>
      </c>
      <c r="C544">
        <f>'0361 table 2'!E68</f>
        <v>160000000</v>
      </c>
      <c r="D544">
        <f>'0361 table 2'!F68</f>
        <v>360</v>
      </c>
      <c r="E544">
        <f>'0361 table 2'!G68</f>
        <v>636.91999999999996</v>
      </c>
      <c r="G544">
        <v>160000000</v>
      </c>
    </row>
    <row r="545" spans="1:7" x14ac:dyDescent="0.35">
      <c r="A545">
        <v>361</v>
      </c>
      <c r="B545">
        <v>2</v>
      </c>
      <c r="C545">
        <f>'0361 table 2'!E69</f>
        <v>150000000</v>
      </c>
      <c r="D545">
        <f>'0361 table 2'!F69</f>
        <v>360</v>
      </c>
      <c r="E545">
        <f>'0361 table 2'!G69</f>
        <v>632.08000000000004</v>
      </c>
      <c r="G545">
        <v>150000000</v>
      </c>
    </row>
    <row r="546" spans="1:7" x14ac:dyDescent="0.35">
      <c r="A546">
        <v>361</v>
      </c>
      <c r="B546">
        <v>2</v>
      </c>
      <c r="C546">
        <f>'0361 table 2'!E70</f>
        <v>140000000</v>
      </c>
      <c r="D546">
        <f>'0361 table 2'!F70</f>
        <v>360</v>
      </c>
      <c r="E546">
        <f>'0361 table 2'!G70</f>
        <v>626.95000000000005</v>
      </c>
      <c r="G546">
        <v>140000000</v>
      </c>
    </row>
    <row r="547" spans="1:7" x14ac:dyDescent="0.35">
      <c r="A547">
        <v>361</v>
      </c>
      <c r="B547">
        <v>2</v>
      </c>
      <c r="C547">
        <f>'0361 table 2'!E71</f>
        <v>130000000</v>
      </c>
      <c r="D547">
        <f>'0361 table 2'!F71</f>
        <v>360</v>
      </c>
      <c r="E547">
        <f>'0361 table 2'!G71</f>
        <v>621.75</v>
      </c>
      <c r="G547">
        <v>130000000</v>
      </c>
    </row>
    <row r="548" spans="1:7" x14ac:dyDescent="0.35">
      <c r="A548">
        <v>361</v>
      </c>
      <c r="B548">
        <v>2</v>
      </c>
      <c r="C548">
        <f>'0361 table 2'!E72</f>
        <v>120000000</v>
      </c>
      <c r="D548">
        <f>'0361 table 2'!F72</f>
        <v>360</v>
      </c>
      <c r="E548">
        <f>'0361 table 2'!G72</f>
        <v>616.07000000000005</v>
      </c>
      <c r="G548">
        <v>120000000</v>
      </c>
    </row>
    <row r="549" spans="1:7" x14ac:dyDescent="0.35">
      <c r="A549">
        <v>361</v>
      </c>
      <c r="B549">
        <v>2</v>
      </c>
      <c r="C549">
        <f>'0361 table 2'!E73</f>
        <v>110000000</v>
      </c>
      <c r="D549">
        <f>'0361 table 2'!F73</f>
        <v>360</v>
      </c>
      <c r="E549">
        <f>'0361 table 2'!G73</f>
        <v>610.29</v>
      </c>
      <c r="G549">
        <v>110000000</v>
      </c>
    </row>
    <row r="550" spans="1:7" x14ac:dyDescent="0.35">
      <c r="A550">
        <v>361</v>
      </c>
      <c r="B550">
        <v>2</v>
      </c>
      <c r="C550">
        <f>'0361 table 2'!E74</f>
        <v>100000000</v>
      </c>
      <c r="D550">
        <f>'0361 table 2'!F74</f>
        <v>360</v>
      </c>
      <c r="E550">
        <f>'0361 table 2'!G74</f>
        <v>603.97</v>
      </c>
      <c r="G550">
        <v>100000000</v>
      </c>
    </row>
    <row r="551" spans="1:7" x14ac:dyDescent="0.35">
      <c r="A551">
        <v>361</v>
      </c>
      <c r="B551">
        <v>2</v>
      </c>
      <c r="C551">
        <f>'0361 table 2'!E75</f>
        <v>95000000</v>
      </c>
      <c r="D551">
        <f>'0361 table 2'!F75</f>
        <v>360</v>
      </c>
      <c r="E551">
        <f>'0361 table 2'!G75</f>
        <v>600.75</v>
      </c>
      <c r="G551">
        <v>95000000</v>
      </c>
    </row>
    <row r="552" spans="1:7" x14ac:dyDescent="0.35">
      <c r="A552">
        <v>361</v>
      </c>
      <c r="B552">
        <v>2</v>
      </c>
      <c r="C552">
        <f>'0361 table 2'!E76</f>
        <v>90000000</v>
      </c>
      <c r="D552">
        <f>'0361 table 2'!F76</f>
        <v>360</v>
      </c>
      <c r="E552">
        <f>'0361 table 2'!G76</f>
        <v>597.33000000000004</v>
      </c>
      <c r="G552">
        <v>90000000</v>
      </c>
    </row>
    <row r="553" spans="1:7" x14ac:dyDescent="0.35">
      <c r="A553">
        <v>361</v>
      </c>
      <c r="B553">
        <v>2</v>
      </c>
      <c r="C553">
        <f>'0361 table 2'!E77</f>
        <v>85000000</v>
      </c>
      <c r="D553">
        <f>'0361 table 2'!F77</f>
        <v>360</v>
      </c>
      <c r="E553">
        <f>'0361 table 2'!G77</f>
        <v>593.69000000000005</v>
      </c>
      <c r="G553">
        <v>85000000</v>
      </c>
    </row>
    <row r="554" spans="1:7" x14ac:dyDescent="0.35">
      <c r="A554">
        <v>361</v>
      </c>
      <c r="B554">
        <v>2</v>
      </c>
      <c r="C554">
        <f>'0361 table 2'!E78</f>
        <v>80000000</v>
      </c>
      <c r="D554">
        <f>'0361 table 2'!F78</f>
        <v>360</v>
      </c>
      <c r="E554">
        <f>'0361 table 2'!G78</f>
        <v>590.14</v>
      </c>
      <c r="G554">
        <v>80000000</v>
      </c>
    </row>
    <row r="555" spans="1:7" x14ac:dyDescent="0.35">
      <c r="A555">
        <v>361</v>
      </c>
      <c r="B555">
        <v>2</v>
      </c>
      <c r="C555">
        <f>'0361 table 2'!E79</f>
        <v>75000000</v>
      </c>
      <c r="D555">
        <f>'0361 table 2'!F79</f>
        <v>360</v>
      </c>
      <c r="E555">
        <f>'0361 table 2'!G79</f>
        <v>586.29</v>
      </c>
      <c r="G555">
        <v>75000000</v>
      </c>
    </row>
    <row r="556" spans="1:7" x14ac:dyDescent="0.35">
      <c r="A556">
        <v>361</v>
      </c>
      <c r="B556">
        <v>2</v>
      </c>
      <c r="C556">
        <f>'0361 table 2'!E80</f>
        <v>70000000</v>
      </c>
      <c r="D556">
        <f>'0361 table 2'!F80</f>
        <v>360</v>
      </c>
      <c r="E556">
        <f>'0361 table 2'!G80</f>
        <v>582.17999999999995</v>
      </c>
      <c r="G556">
        <v>70000000</v>
      </c>
    </row>
    <row r="557" spans="1:7" x14ac:dyDescent="0.35">
      <c r="A557">
        <v>361</v>
      </c>
      <c r="B557">
        <v>2</v>
      </c>
      <c r="C557">
        <f>'0361 table 2'!E81</f>
        <v>65000000</v>
      </c>
      <c r="D557">
        <f>'0361 table 2'!F81</f>
        <v>360</v>
      </c>
      <c r="E557">
        <f>'0361 table 2'!G81</f>
        <v>578.14</v>
      </c>
      <c r="G557">
        <v>65000000</v>
      </c>
    </row>
    <row r="558" spans="1:7" x14ac:dyDescent="0.35">
      <c r="A558">
        <v>361</v>
      </c>
      <c r="B558">
        <v>2</v>
      </c>
      <c r="C558">
        <f>'0361 table 2'!E82</f>
        <v>60000000</v>
      </c>
      <c r="D558">
        <f>'0361 table 2'!F82</f>
        <v>360</v>
      </c>
      <c r="E558">
        <f>'0361 table 2'!G82</f>
        <v>573.65</v>
      </c>
      <c r="G558">
        <v>60000000</v>
      </c>
    </row>
    <row r="559" spans="1:7" x14ac:dyDescent="0.35">
      <c r="A559">
        <v>361</v>
      </c>
      <c r="B559">
        <v>2</v>
      </c>
      <c r="C559">
        <f>'0361 table 2'!E83</f>
        <v>55000000</v>
      </c>
      <c r="D559">
        <f>'0361 table 2'!F83</f>
        <v>360</v>
      </c>
      <c r="E559">
        <f>'0361 table 2'!G83</f>
        <v>569.11</v>
      </c>
      <c r="G559">
        <v>55000000</v>
      </c>
    </row>
    <row r="560" spans="1:7" x14ac:dyDescent="0.35">
      <c r="A560">
        <v>361</v>
      </c>
      <c r="B560">
        <v>2</v>
      </c>
      <c r="C560">
        <f>'0361 table 2'!E84</f>
        <v>50000000</v>
      </c>
      <c r="D560">
        <f>'0361 table 2'!F84</f>
        <v>360</v>
      </c>
      <c r="E560">
        <f>'0361 table 2'!G84</f>
        <v>564.14</v>
      </c>
      <c r="G560">
        <v>50000000</v>
      </c>
    </row>
    <row r="561" spans="1:7" x14ac:dyDescent="0.35">
      <c r="A561">
        <v>361</v>
      </c>
      <c r="B561">
        <v>2</v>
      </c>
      <c r="C561">
        <f>'0361 table 2'!E85</f>
        <v>45000000</v>
      </c>
      <c r="D561">
        <f>'0361 table 2'!F85</f>
        <v>360</v>
      </c>
      <c r="E561">
        <f>'0361 table 2'!G85</f>
        <v>558.95000000000005</v>
      </c>
      <c r="G561">
        <v>45000000</v>
      </c>
    </row>
    <row r="562" spans="1:7" x14ac:dyDescent="0.35">
      <c r="A562">
        <v>361</v>
      </c>
      <c r="B562">
        <v>2</v>
      </c>
      <c r="C562">
        <f>'0361 table 2'!E86</f>
        <v>40000000</v>
      </c>
      <c r="D562">
        <f>'0361 table 2'!F86</f>
        <v>360</v>
      </c>
      <c r="E562">
        <f>'0361 table 2'!G86</f>
        <v>553.24</v>
      </c>
      <c r="G562">
        <v>40000000</v>
      </c>
    </row>
    <row r="563" spans="1:7" x14ac:dyDescent="0.35">
      <c r="A563">
        <v>361</v>
      </c>
      <c r="B563">
        <v>2</v>
      </c>
      <c r="C563">
        <f>'0361 table 2'!E87</f>
        <v>37500000</v>
      </c>
      <c r="D563">
        <f>'0361 table 2'!F87</f>
        <v>360</v>
      </c>
      <c r="E563">
        <f>'0361 table 2'!G87</f>
        <v>550.36</v>
      </c>
      <c r="G563">
        <v>37500000</v>
      </c>
    </row>
    <row r="564" spans="1:7" x14ac:dyDescent="0.35">
      <c r="A564">
        <v>361</v>
      </c>
      <c r="B564">
        <v>2</v>
      </c>
      <c r="C564">
        <f>'0361 table 2'!E88</f>
        <v>35000000</v>
      </c>
      <c r="D564">
        <f>'0361 table 2'!F88</f>
        <v>360</v>
      </c>
      <c r="E564">
        <f>'0361 table 2'!G88</f>
        <v>547.35</v>
      </c>
      <c r="G564">
        <v>35000000</v>
      </c>
    </row>
    <row r="565" spans="1:7" x14ac:dyDescent="0.35">
      <c r="A565">
        <v>361</v>
      </c>
      <c r="B565">
        <v>2</v>
      </c>
      <c r="C565">
        <f>'0361 table 2'!E89</f>
        <v>30000000</v>
      </c>
      <c r="D565">
        <f>'0361 table 2'!F89</f>
        <v>310</v>
      </c>
      <c r="E565">
        <f>'0361 table 2'!G89</f>
        <v>610.66999999999996</v>
      </c>
      <c r="G565">
        <v>30000000</v>
      </c>
    </row>
    <row r="566" spans="1:7" x14ac:dyDescent="0.35">
      <c r="A566">
        <v>361</v>
      </c>
      <c r="B566">
        <v>2</v>
      </c>
      <c r="C566">
        <f>'0361 table 2'!E90</f>
        <v>28000000</v>
      </c>
      <c r="D566">
        <f>'0361 table 2'!F90</f>
        <v>310</v>
      </c>
      <c r="E566">
        <f>'0361 table 2'!G90</f>
        <v>609.04999999999995</v>
      </c>
      <c r="G566">
        <v>28000000</v>
      </c>
    </row>
    <row r="567" spans="1:7" x14ac:dyDescent="0.35">
      <c r="A567">
        <v>361</v>
      </c>
      <c r="B567">
        <v>2</v>
      </c>
      <c r="C567">
        <f>'0361 table 2'!E91</f>
        <v>26000000</v>
      </c>
      <c r="D567">
        <f>'0361 table 2'!F91</f>
        <v>310</v>
      </c>
      <c r="E567">
        <f>'0361 table 2'!G91</f>
        <v>607.38</v>
      </c>
      <c r="G567">
        <v>26000000</v>
      </c>
    </row>
    <row r="568" spans="1:7" x14ac:dyDescent="0.35">
      <c r="A568">
        <v>361</v>
      </c>
      <c r="B568">
        <v>2</v>
      </c>
      <c r="C568">
        <f>'0361 table 2'!E92</f>
        <v>24000000</v>
      </c>
      <c r="D568">
        <f>'0361 table 2'!F92</f>
        <v>310</v>
      </c>
      <c r="E568">
        <f>'0361 table 2'!G92</f>
        <v>605.77</v>
      </c>
      <c r="G568">
        <v>24000000</v>
      </c>
    </row>
    <row r="569" spans="1:7" x14ac:dyDescent="0.35">
      <c r="A569">
        <v>361</v>
      </c>
      <c r="B569">
        <v>2</v>
      </c>
      <c r="C569">
        <f>'0361 table 2'!E93</f>
        <v>22000000</v>
      </c>
      <c r="D569">
        <f>'0361 table 2'!F93</f>
        <v>310</v>
      </c>
      <c r="E569">
        <f>'0361 table 2'!G93</f>
        <v>604.13</v>
      </c>
      <c r="G569">
        <v>22000000</v>
      </c>
    </row>
    <row r="570" spans="1:7" x14ac:dyDescent="0.35">
      <c r="A570">
        <v>361</v>
      </c>
      <c r="B570">
        <v>2</v>
      </c>
      <c r="C570">
        <f>'0361 table 2'!E94</f>
        <v>20000000</v>
      </c>
      <c r="D570">
        <f>'0361 table 2'!F94</f>
        <v>310</v>
      </c>
      <c r="E570">
        <f>'0361 table 2'!G94</f>
        <v>602.46</v>
      </c>
      <c r="G570">
        <v>20000000</v>
      </c>
    </row>
    <row r="571" spans="1:7" x14ac:dyDescent="0.35">
      <c r="A571">
        <v>361</v>
      </c>
      <c r="B571">
        <v>2</v>
      </c>
      <c r="C571">
        <f>'0361 table 2'!E95</f>
        <v>18000000</v>
      </c>
      <c r="D571">
        <f>'0361 table 2'!F95</f>
        <v>310</v>
      </c>
      <c r="E571">
        <f>'0361 table 2'!G95</f>
        <v>600.70000000000005</v>
      </c>
      <c r="G571">
        <v>18000000</v>
      </c>
    </row>
    <row r="572" spans="1:7" x14ac:dyDescent="0.35">
      <c r="A572">
        <v>361</v>
      </c>
      <c r="B572">
        <v>2</v>
      </c>
      <c r="C572">
        <f>'0361 table 2'!E96</f>
        <v>16000000</v>
      </c>
      <c r="D572">
        <f>'0361 table 2'!F96</f>
        <v>310</v>
      </c>
      <c r="E572">
        <f>'0361 table 2'!G96</f>
        <v>598.88</v>
      </c>
      <c r="G572">
        <v>16000000</v>
      </c>
    </row>
    <row r="573" spans="1:7" x14ac:dyDescent="0.35">
      <c r="A573">
        <v>361</v>
      </c>
      <c r="B573">
        <v>2</v>
      </c>
      <c r="C573">
        <f>'0361 table 2'!E97</f>
        <v>14000000</v>
      </c>
      <c r="D573">
        <f>'0361 table 2'!F97</f>
        <v>310</v>
      </c>
      <c r="E573">
        <f>'0361 table 2'!G97</f>
        <v>597</v>
      </c>
      <c r="G573">
        <v>14000000</v>
      </c>
    </row>
    <row r="574" spans="1:7" x14ac:dyDescent="0.35">
      <c r="A574">
        <v>361</v>
      </c>
      <c r="B574">
        <v>2</v>
      </c>
      <c r="C574">
        <f>'0361 table 2'!E98</f>
        <v>12000000</v>
      </c>
      <c r="D574">
        <f>'0361 table 2'!F98</f>
        <v>310</v>
      </c>
      <c r="E574">
        <f>'0361 table 2'!G98</f>
        <v>595.11</v>
      </c>
      <c r="G574">
        <v>12000000</v>
      </c>
    </row>
    <row r="575" spans="1:7" x14ac:dyDescent="0.35">
      <c r="A575">
        <v>361</v>
      </c>
      <c r="B575">
        <v>2</v>
      </c>
      <c r="C575">
        <f>'0361 table 2'!E99</f>
        <v>10000000</v>
      </c>
      <c r="D575">
        <f>'0361 table 2'!F99</f>
        <v>310</v>
      </c>
      <c r="E575">
        <f>'0361 table 2'!G99</f>
        <v>593.22</v>
      </c>
      <c r="G575">
        <v>10000000</v>
      </c>
    </row>
    <row r="576" spans="1:7" x14ac:dyDescent="0.35">
      <c r="A576">
        <v>361</v>
      </c>
      <c r="B576">
        <v>2</v>
      </c>
      <c r="C576">
        <f>'0361 table 2'!E100</f>
        <v>9000000</v>
      </c>
      <c r="D576">
        <f>'0361 table 2'!F100</f>
        <v>310</v>
      </c>
      <c r="E576">
        <f>'0361 table 2'!G100</f>
        <v>592.23</v>
      </c>
      <c r="G576">
        <v>9000000</v>
      </c>
    </row>
    <row r="577" spans="1:7" x14ac:dyDescent="0.35">
      <c r="A577">
        <v>361</v>
      </c>
      <c r="B577">
        <v>2</v>
      </c>
      <c r="C577">
        <f>'0361 table 2'!E101</f>
        <v>8000000</v>
      </c>
      <c r="D577">
        <f>'0361 table 2'!F101</f>
        <v>310</v>
      </c>
      <c r="E577">
        <f>'0361 table 2'!G101</f>
        <v>591.23</v>
      </c>
      <c r="G577">
        <v>8000000</v>
      </c>
    </row>
    <row r="578" spans="1:7" x14ac:dyDescent="0.35">
      <c r="A578">
        <v>361</v>
      </c>
      <c r="B578">
        <v>2</v>
      </c>
      <c r="C578">
        <f>'0361 table 2'!E102</f>
        <v>7000000</v>
      </c>
      <c r="D578">
        <f>'0361 table 2'!F102</f>
        <v>310</v>
      </c>
      <c r="E578">
        <f>'0361 table 2'!G102</f>
        <v>590.22</v>
      </c>
      <c r="G578">
        <v>7000000</v>
      </c>
    </row>
    <row r="579" spans="1:7" x14ac:dyDescent="0.35">
      <c r="A579">
        <v>361</v>
      </c>
      <c r="B579">
        <v>2</v>
      </c>
      <c r="C579">
        <f>'0361 table 2'!E103</f>
        <v>6000000</v>
      </c>
      <c r="D579">
        <f>'0361 table 2'!F103</f>
        <v>310</v>
      </c>
      <c r="E579">
        <f>'0361 table 2'!G103</f>
        <v>589.15</v>
      </c>
      <c r="G579">
        <v>6000000</v>
      </c>
    </row>
    <row r="580" spans="1:7" x14ac:dyDescent="0.35">
      <c r="A580">
        <v>361</v>
      </c>
      <c r="B580">
        <v>2</v>
      </c>
      <c r="C580">
        <f>'0361 table 2'!E104</f>
        <v>5000000</v>
      </c>
      <c r="D580">
        <f>'0361 table 2'!F104</f>
        <v>310</v>
      </c>
      <c r="E580">
        <f>'0361 table 2'!G104</f>
        <v>588.03</v>
      </c>
      <c r="G580">
        <v>5000000</v>
      </c>
    </row>
    <row r="581" spans="1:7" x14ac:dyDescent="0.35">
      <c r="A581">
        <v>361</v>
      </c>
      <c r="B581">
        <v>2</v>
      </c>
      <c r="C581">
        <f>'0361 table 2'!E105</f>
        <v>4500000</v>
      </c>
      <c r="D581">
        <f>'0361 table 2'!F105</f>
        <v>310</v>
      </c>
      <c r="E581">
        <f>'0361 table 2'!G105</f>
        <v>587.48</v>
      </c>
      <c r="G581">
        <v>4500000</v>
      </c>
    </row>
    <row r="582" spans="1:7" x14ac:dyDescent="0.35">
      <c r="A582">
        <v>361</v>
      </c>
      <c r="B582">
        <v>2</v>
      </c>
      <c r="C582">
        <f>'0361 table 2'!E106</f>
        <v>4000000</v>
      </c>
      <c r="D582">
        <f>'0361 table 2'!F106</f>
        <v>310</v>
      </c>
      <c r="E582">
        <f>'0361 table 2'!G106</f>
        <v>586.94000000000005</v>
      </c>
      <c r="G582">
        <v>4000000</v>
      </c>
    </row>
    <row r="583" spans="1:7" x14ac:dyDescent="0.35">
      <c r="A583">
        <v>361</v>
      </c>
      <c r="B583">
        <v>2</v>
      </c>
      <c r="C583">
        <f>'0361 table 2'!E107</f>
        <v>3500000</v>
      </c>
      <c r="D583">
        <f>'0361 table 2'!F107</f>
        <v>310</v>
      </c>
      <c r="E583">
        <f>'0361 table 2'!G107</f>
        <v>586.4</v>
      </c>
      <c r="G583">
        <v>3500000</v>
      </c>
    </row>
    <row r="584" spans="1:7" x14ac:dyDescent="0.35">
      <c r="A584">
        <v>361</v>
      </c>
      <c r="B584">
        <v>2</v>
      </c>
      <c r="C584">
        <f>'0361 table 2'!E108</f>
        <v>3000000</v>
      </c>
      <c r="D584">
        <f>'0361 table 2'!F108</f>
        <v>310</v>
      </c>
      <c r="E584">
        <f>'0361 table 2'!G108</f>
        <v>585.85</v>
      </c>
      <c r="G584">
        <v>3000000</v>
      </c>
    </row>
    <row r="585" spans="1:7" x14ac:dyDescent="0.35">
      <c r="A585">
        <v>361</v>
      </c>
      <c r="B585">
        <v>2</v>
      </c>
      <c r="C585">
        <f>'0361 table 2'!E109</f>
        <v>2500000</v>
      </c>
      <c r="D585">
        <f>'0361 table 2'!F109</f>
        <v>310</v>
      </c>
      <c r="E585">
        <f>'0361 table 2'!G109</f>
        <v>585.30999999999995</v>
      </c>
      <c r="G585">
        <v>2500000</v>
      </c>
    </row>
    <row r="586" spans="1:7" x14ac:dyDescent="0.35">
      <c r="A586">
        <v>361</v>
      </c>
      <c r="B586">
        <v>2</v>
      </c>
      <c r="C586">
        <f>'0361 table 2'!E110</f>
        <v>2000000</v>
      </c>
      <c r="D586">
        <f>'0361 table 2'!F110</f>
        <v>310</v>
      </c>
      <c r="E586">
        <f>'0361 table 2'!G110</f>
        <v>584.75</v>
      </c>
      <c r="G586">
        <v>2000000</v>
      </c>
    </row>
    <row r="587" spans="1:7" x14ac:dyDescent="0.35">
      <c r="A587">
        <v>361</v>
      </c>
      <c r="B587">
        <v>2</v>
      </c>
      <c r="C587">
        <f>'0361 table 2'!E111</f>
        <v>1500000</v>
      </c>
      <c r="D587">
        <f>'0361 table 2'!F111</f>
        <v>310</v>
      </c>
      <c r="E587">
        <f>'0361 table 2'!G111</f>
        <v>584.20000000000005</v>
      </c>
      <c r="G587">
        <v>1500000</v>
      </c>
    </row>
    <row r="588" spans="1:7" x14ac:dyDescent="0.35">
      <c r="A588">
        <v>361</v>
      </c>
      <c r="B588">
        <v>2</v>
      </c>
      <c r="C588">
        <f>'0361 table 2'!E112</f>
        <v>30000000</v>
      </c>
      <c r="D588">
        <f>'0361 table 2'!F112</f>
        <v>320</v>
      </c>
      <c r="E588">
        <f>'0361 table 2'!G112</f>
        <v>597.72</v>
      </c>
      <c r="G588">
        <v>30000000</v>
      </c>
    </row>
    <row r="589" spans="1:7" x14ac:dyDescent="0.35">
      <c r="A589">
        <v>361</v>
      </c>
      <c r="B589">
        <v>2</v>
      </c>
      <c r="C589">
        <f>'0361 table 2'!E113</f>
        <v>28000000</v>
      </c>
      <c r="D589">
        <f>'0361 table 2'!F113</f>
        <v>320</v>
      </c>
      <c r="E589">
        <f>'0361 table 2'!G113</f>
        <v>595.91999999999996</v>
      </c>
      <c r="G589">
        <v>28000000</v>
      </c>
    </row>
    <row r="590" spans="1:7" x14ac:dyDescent="0.35">
      <c r="A590">
        <v>361</v>
      </c>
      <c r="B590">
        <v>2</v>
      </c>
      <c r="C590">
        <f>'0361 table 2'!E114</f>
        <v>26000000</v>
      </c>
      <c r="D590">
        <f>'0361 table 2'!F114</f>
        <v>320</v>
      </c>
      <c r="E590">
        <f>'0361 table 2'!G114</f>
        <v>594.14</v>
      </c>
      <c r="G590">
        <v>26000000</v>
      </c>
    </row>
    <row r="591" spans="1:7" x14ac:dyDescent="0.35">
      <c r="A591">
        <v>361</v>
      </c>
      <c r="B591">
        <v>2</v>
      </c>
      <c r="C591">
        <f>'0361 table 2'!E115</f>
        <v>24000000</v>
      </c>
      <c r="D591">
        <f>'0361 table 2'!F115</f>
        <v>320</v>
      </c>
      <c r="E591">
        <f>'0361 table 2'!G115</f>
        <v>592.36</v>
      </c>
      <c r="G591">
        <v>24000000</v>
      </c>
    </row>
    <row r="592" spans="1:7" x14ac:dyDescent="0.35">
      <c r="A592">
        <v>361</v>
      </c>
      <c r="B592">
        <v>2</v>
      </c>
      <c r="C592">
        <f>'0361 table 2'!E116</f>
        <v>22000000</v>
      </c>
      <c r="D592">
        <f>'0361 table 2'!F116</f>
        <v>320</v>
      </c>
      <c r="E592">
        <f>'0361 table 2'!G116</f>
        <v>590.54</v>
      </c>
      <c r="G592">
        <v>22000000</v>
      </c>
    </row>
    <row r="593" spans="1:7" x14ac:dyDescent="0.35">
      <c r="A593">
        <v>361</v>
      </c>
      <c r="B593">
        <v>2</v>
      </c>
      <c r="C593">
        <f>'0361 table 2'!E117</f>
        <v>20000000</v>
      </c>
      <c r="D593">
        <f>'0361 table 2'!F117</f>
        <v>320</v>
      </c>
      <c r="E593">
        <f>'0361 table 2'!G117</f>
        <v>588.63</v>
      </c>
      <c r="G593">
        <v>20000000</v>
      </c>
    </row>
    <row r="594" spans="1:7" x14ac:dyDescent="0.35">
      <c r="A594">
        <v>361</v>
      </c>
      <c r="B594">
        <v>2</v>
      </c>
      <c r="C594">
        <f>'0361 table 2'!E118</f>
        <v>18000000</v>
      </c>
      <c r="D594">
        <f>'0361 table 2'!F118</f>
        <v>320</v>
      </c>
      <c r="E594">
        <f>'0361 table 2'!G118</f>
        <v>586.63</v>
      </c>
      <c r="G594">
        <v>18000000</v>
      </c>
    </row>
    <row r="595" spans="1:7" x14ac:dyDescent="0.35">
      <c r="A595">
        <v>361</v>
      </c>
      <c r="B595">
        <v>2</v>
      </c>
      <c r="C595">
        <f>'0361 table 2'!E119</f>
        <v>16000000</v>
      </c>
      <c r="D595">
        <f>'0361 table 2'!F119</f>
        <v>320</v>
      </c>
      <c r="E595">
        <f>'0361 table 2'!G119</f>
        <v>584.59</v>
      </c>
      <c r="G595">
        <v>16000000</v>
      </c>
    </row>
    <row r="596" spans="1:7" x14ac:dyDescent="0.35">
      <c r="A596">
        <v>361</v>
      </c>
      <c r="B596">
        <v>2</v>
      </c>
      <c r="C596">
        <f>'0361 table 2'!E120</f>
        <v>14000000</v>
      </c>
      <c r="D596">
        <f>'0361 table 2'!F120</f>
        <v>320</v>
      </c>
      <c r="E596">
        <f>'0361 table 2'!G120</f>
        <v>582.51</v>
      </c>
      <c r="G596">
        <v>14000000</v>
      </c>
    </row>
    <row r="597" spans="1:7" x14ac:dyDescent="0.35">
      <c r="A597">
        <v>361</v>
      </c>
      <c r="B597">
        <v>2</v>
      </c>
      <c r="C597">
        <f>'0361 table 2'!E121</f>
        <v>12000000</v>
      </c>
      <c r="D597">
        <f>'0361 table 2'!F121</f>
        <v>320</v>
      </c>
      <c r="E597">
        <f>'0361 table 2'!G121</f>
        <v>580.44000000000005</v>
      </c>
      <c r="G597">
        <v>12000000</v>
      </c>
    </row>
    <row r="598" spans="1:7" x14ac:dyDescent="0.35">
      <c r="A598">
        <v>361</v>
      </c>
      <c r="B598">
        <v>2</v>
      </c>
      <c r="C598">
        <f>'0361 table 2'!E122</f>
        <v>10000000</v>
      </c>
      <c r="D598">
        <f>'0361 table 2'!F122</f>
        <v>320</v>
      </c>
      <c r="E598">
        <f>'0361 table 2'!G122</f>
        <v>578.22</v>
      </c>
      <c r="G598">
        <v>10000000</v>
      </c>
    </row>
    <row r="599" spans="1:7" x14ac:dyDescent="0.35">
      <c r="A599">
        <v>361</v>
      </c>
      <c r="B599">
        <v>2</v>
      </c>
      <c r="C599">
        <f>'0361 table 2'!E123</f>
        <v>9000000</v>
      </c>
      <c r="D599">
        <f>'0361 table 2'!F123</f>
        <v>320</v>
      </c>
      <c r="E599">
        <f>'0361 table 2'!G123</f>
        <v>577.05999999999995</v>
      </c>
      <c r="G599">
        <v>9000000</v>
      </c>
    </row>
    <row r="600" spans="1:7" x14ac:dyDescent="0.35">
      <c r="A600">
        <v>361</v>
      </c>
      <c r="B600">
        <v>2</v>
      </c>
      <c r="C600">
        <f>'0361 table 2'!E124</f>
        <v>8000000</v>
      </c>
      <c r="D600">
        <f>'0361 table 2'!F124</f>
        <v>320</v>
      </c>
      <c r="E600">
        <f>'0361 table 2'!G124</f>
        <v>575.87</v>
      </c>
      <c r="G600">
        <v>8000000</v>
      </c>
    </row>
    <row r="601" spans="1:7" x14ac:dyDescent="0.35">
      <c r="A601">
        <v>361</v>
      </c>
      <c r="B601">
        <v>2</v>
      </c>
      <c r="C601">
        <f>'0361 table 2'!E125</f>
        <v>7000000</v>
      </c>
      <c r="D601">
        <f>'0361 table 2'!F125</f>
        <v>320</v>
      </c>
      <c r="E601">
        <f>'0361 table 2'!G125</f>
        <v>574.66</v>
      </c>
      <c r="G601">
        <v>7000000</v>
      </c>
    </row>
    <row r="602" spans="1:7" x14ac:dyDescent="0.35">
      <c r="A602">
        <v>361</v>
      </c>
      <c r="B602">
        <v>2</v>
      </c>
      <c r="C602">
        <f>'0361 table 2'!E126</f>
        <v>6000000</v>
      </c>
      <c r="D602">
        <f>'0361 table 2'!F126</f>
        <v>320</v>
      </c>
      <c r="E602">
        <f>'0361 table 2'!G126</f>
        <v>573.46</v>
      </c>
      <c r="G602">
        <v>6000000</v>
      </c>
    </row>
    <row r="603" spans="1:7" x14ac:dyDescent="0.35">
      <c r="A603">
        <v>361</v>
      </c>
      <c r="B603">
        <v>2</v>
      </c>
      <c r="C603">
        <f>'0361 table 2'!E127</f>
        <v>5000000</v>
      </c>
      <c r="D603">
        <f>'0361 table 2'!F127</f>
        <v>320</v>
      </c>
      <c r="E603">
        <f>'0361 table 2'!G127</f>
        <v>572.25</v>
      </c>
      <c r="G603">
        <v>5000000</v>
      </c>
    </row>
    <row r="604" spans="1:7" x14ac:dyDescent="0.35">
      <c r="A604">
        <v>361</v>
      </c>
      <c r="B604">
        <v>2</v>
      </c>
      <c r="C604">
        <f>'0361 table 2'!E128</f>
        <v>4000000</v>
      </c>
      <c r="D604">
        <f>'0361 table 2'!F128</f>
        <v>320</v>
      </c>
      <c r="E604">
        <f>'0361 table 2'!G128</f>
        <v>571.02</v>
      </c>
      <c r="G604">
        <v>4000000</v>
      </c>
    </row>
    <row r="605" spans="1:7" x14ac:dyDescent="0.35">
      <c r="A605">
        <v>361</v>
      </c>
      <c r="B605">
        <v>2</v>
      </c>
      <c r="C605">
        <f>'0361 table 2'!E129</f>
        <v>3000000</v>
      </c>
      <c r="D605">
        <f>'0361 table 2'!F129</f>
        <v>320</v>
      </c>
      <c r="E605">
        <f>'0361 table 2'!G129</f>
        <v>569.79999999999995</v>
      </c>
      <c r="G605">
        <v>3000000</v>
      </c>
    </row>
    <row r="606" spans="1:7" x14ac:dyDescent="0.35">
      <c r="A606">
        <v>361</v>
      </c>
      <c r="B606">
        <v>2</v>
      </c>
      <c r="C606">
        <f>'0361 table 2'!E130</f>
        <v>2000000</v>
      </c>
      <c r="D606">
        <f>'0361 table 2'!F130</f>
        <v>320</v>
      </c>
      <c r="E606">
        <f>'0361 table 2'!G130</f>
        <v>568.54999999999995</v>
      </c>
      <c r="G606">
        <v>2000000</v>
      </c>
    </row>
    <row r="607" spans="1:7" x14ac:dyDescent="0.35">
      <c r="A607">
        <v>361</v>
      </c>
      <c r="B607">
        <v>2</v>
      </c>
      <c r="C607">
        <f>'0361 table 2'!E131</f>
        <v>30000000</v>
      </c>
      <c r="D607">
        <f>'0361 table 2'!F131</f>
        <v>340</v>
      </c>
      <c r="E607">
        <f>'0361 table 2'!G131</f>
        <v>570.41999999999996</v>
      </c>
      <c r="G607">
        <v>30000000</v>
      </c>
    </row>
    <row r="608" spans="1:7" x14ac:dyDescent="0.35">
      <c r="A608">
        <v>361</v>
      </c>
      <c r="B608">
        <v>2</v>
      </c>
      <c r="C608">
        <f>'0361 table 2'!E132</f>
        <v>28000000</v>
      </c>
      <c r="D608">
        <f>'0361 table 2'!F132</f>
        <v>340</v>
      </c>
      <c r="E608">
        <f>'0361 table 2'!G132</f>
        <v>568.35</v>
      </c>
      <c r="G608">
        <v>28000000</v>
      </c>
    </row>
    <row r="609" spans="1:7" x14ac:dyDescent="0.35">
      <c r="A609">
        <v>361</v>
      </c>
      <c r="B609">
        <v>2</v>
      </c>
      <c r="C609">
        <f>'0361 table 2'!E133</f>
        <v>26000000</v>
      </c>
      <c r="D609">
        <f>'0361 table 2'!F133</f>
        <v>340</v>
      </c>
      <c r="E609">
        <f>'0361 table 2'!G133</f>
        <v>566.07000000000005</v>
      </c>
      <c r="G609">
        <v>26000000</v>
      </c>
    </row>
    <row r="610" spans="1:7" x14ac:dyDescent="0.35">
      <c r="A610">
        <v>361</v>
      </c>
      <c r="B610">
        <v>2</v>
      </c>
      <c r="C610">
        <f>'0361 table 2'!E134</f>
        <v>24000000</v>
      </c>
      <c r="D610">
        <f>'0361 table 2'!F134</f>
        <v>340</v>
      </c>
      <c r="E610">
        <f>'0361 table 2'!G134</f>
        <v>563.74</v>
      </c>
      <c r="G610">
        <v>24000000</v>
      </c>
    </row>
    <row r="611" spans="1:7" x14ac:dyDescent="0.35">
      <c r="A611">
        <v>361</v>
      </c>
      <c r="B611">
        <v>2</v>
      </c>
      <c r="C611">
        <f>'0361 table 2'!E135</f>
        <v>22000000</v>
      </c>
      <c r="D611">
        <f>'0361 table 2'!F135</f>
        <v>340</v>
      </c>
      <c r="E611">
        <f>'0361 table 2'!G135</f>
        <v>561.38</v>
      </c>
      <c r="G611">
        <v>22000000</v>
      </c>
    </row>
    <row r="612" spans="1:7" x14ac:dyDescent="0.35">
      <c r="A612">
        <v>361</v>
      </c>
      <c r="B612">
        <v>2</v>
      </c>
      <c r="C612">
        <f>'0361 table 2'!E136</f>
        <v>20000000</v>
      </c>
      <c r="D612">
        <f>'0361 table 2'!F136</f>
        <v>340</v>
      </c>
      <c r="E612">
        <f>'0361 table 2'!G136</f>
        <v>559</v>
      </c>
      <c r="G612">
        <v>20000000</v>
      </c>
    </row>
    <row r="613" spans="1:7" x14ac:dyDescent="0.35">
      <c r="A613">
        <v>361</v>
      </c>
      <c r="B613">
        <v>2</v>
      </c>
      <c r="C613">
        <f>'0361 table 2'!E137</f>
        <v>18000000</v>
      </c>
      <c r="D613">
        <f>'0361 table 2'!F137</f>
        <v>340</v>
      </c>
      <c r="E613">
        <f>'0361 table 2'!G137</f>
        <v>556.45000000000005</v>
      </c>
      <c r="G613">
        <v>18000000</v>
      </c>
    </row>
    <row r="614" spans="1:7" x14ac:dyDescent="0.35">
      <c r="A614">
        <v>361</v>
      </c>
      <c r="B614">
        <v>2</v>
      </c>
      <c r="C614">
        <f>'0361 table 2'!E138</f>
        <v>16000000</v>
      </c>
      <c r="D614">
        <f>'0361 table 2'!F138</f>
        <v>340</v>
      </c>
      <c r="E614">
        <f>'0361 table 2'!G138</f>
        <v>553.62</v>
      </c>
      <c r="G614">
        <v>16000000</v>
      </c>
    </row>
    <row r="615" spans="1:7" x14ac:dyDescent="0.35">
      <c r="A615">
        <v>361</v>
      </c>
      <c r="B615">
        <v>2</v>
      </c>
      <c r="C615">
        <f>'0361 table 2'!E139</f>
        <v>14000000</v>
      </c>
      <c r="D615">
        <f>'0361 table 2'!F139</f>
        <v>340</v>
      </c>
      <c r="E615">
        <f>'0361 table 2'!G139</f>
        <v>550.88</v>
      </c>
      <c r="G615">
        <v>14000000</v>
      </c>
    </row>
    <row r="616" spans="1:7" x14ac:dyDescent="0.35">
      <c r="A616">
        <v>361</v>
      </c>
      <c r="B616">
        <v>2</v>
      </c>
      <c r="C616">
        <f>'0361 table 2'!E140</f>
        <v>12000000</v>
      </c>
      <c r="D616">
        <f>'0361 table 2'!F140</f>
        <v>340</v>
      </c>
      <c r="E616">
        <f>'0361 table 2'!G140</f>
        <v>548.05999999999995</v>
      </c>
      <c r="G616">
        <v>12000000</v>
      </c>
    </row>
    <row r="617" spans="1:7" x14ac:dyDescent="0.35">
      <c r="A617">
        <v>361</v>
      </c>
      <c r="B617">
        <v>2</v>
      </c>
      <c r="C617">
        <f>'0361 table 2'!E141</f>
        <v>10000000</v>
      </c>
      <c r="D617">
        <f>'0361 table 2'!F141</f>
        <v>340</v>
      </c>
      <c r="E617">
        <f>'0361 table 2'!G141</f>
        <v>544.97</v>
      </c>
      <c r="G617">
        <v>10000000</v>
      </c>
    </row>
    <row r="618" spans="1:7" x14ac:dyDescent="0.35">
      <c r="A618">
        <v>361</v>
      </c>
      <c r="B618">
        <v>2</v>
      </c>
      <c r="C618">
        <f>'0361 table 2'!E142</f>
        <v>9000000</v>
      </c>
      <c r="D618">
        <f>'0361 table 2'!F142</f>
        <v>340</v>
      </c>
      <c r="E618">
        <f>'0361 table 2'!G142</f>
        <v>543.36</v>
      </c>
      <c r="G618">
        <v>9000000</v>
      </c>
    </row>
    <row r="619" spans="1:7" x14ac:dyDescent="0.35">
      <c r="A619">
        <v>361</v>
      </c>
      <c r="B619">
        <v>2</v>
      </c>
      <c r="C619">
        <f>'0361 table 2'!E143</f>
        <v>8000000</v>
      </c>
      <c r="D619">
        <f>'0361 table 2'!F143</f>
        <v>340</v>
      </c>
      <c r="E619">
        <f>'0361 table 2'!G143</f>
        <v>541.77</v>
      </c>
      <c r="G619">
        <v>8000000</v>
      </c>
    </row>
    <row r="620" spans="1:7" x14ac:dyDescent="0.35">
      <c r="A620">
        <v>361</v>
      </c>
      <c r="B620">
        <v>2</v>
      </c>
      <c r="C620">
        <f>'0361 table 2'!E144</f>
        <v>7000000</v>
      </c>
      <c r="D620">
        <f>'0361 table 2'!F144</f>
        <v>340</v>
      </c>
      <c r="E620">
        <f>'0361 table 2'!G144</f>
        <v>540.12</v>
      </c>
      <c r="G620">
        <v>7000000</v>
      </c>
    </row>
    <row r="621" spans="1:7" x14ac:dyDescent="0.35">
      <c r="A621">
        <v>361</v>
      </c>
      <c r="B621">
        <v>2</v>
      </c>
      <c r="C621">
        <f>'0361 table 2'!E145</f>
        <v>6000000</v>
      </c>
      <c r="D621">
        <f>'0361 table 2'!F145</f>
        <v>340</v>
      </c>
      <c r="E621">
        <f>'0361 table 2'!G145</f>
        <v>538.41999999999996</v>
      </c>
      <c r="G621">
        <v>6000000</v>
      </c>
    </row>
    <row r="622" spans="1:7" x14ac:dyDescent="0.35">
      <c r="A622">
        <v>361</v>
      </c>
      <c r="B622">
        <v>2</v>
      </c>
      <c r="C622">
        <f>'0361 table 2'!E146</f>
        <v>5000000</v>
      </c>
      <c r="D622">
        <f>'0361 table 2'!F146</f>
        <v>340</v>
      </c>
      <c r="E622">
        <f>'0361 table 2'!G146</f>
        <v>536.63</v>
      </c>
      <c r="G622">
        <v>5000000</v>
      </c>
    </row>
    <row r="623" spans="1:7" x14ac:dyDescent="0.35">
      <c r="A623">
        <v>361</v>
      </c>
      <c r="B623">
        <v>2</v>
      </c>
      <c r="C623">
        <f>'0361 table 2'!E147</f>
        <v>4000000</v>
      </c>
      <c r="D623">
        <f>'0361 table 2'!F147</f>
        <v>340</v>
      </c>
      <c r="E623">
        <f>'0361 table 2'!G147</f>
        <v>534.76</v>
      </c>
      <c r="G623">
        <v>4000000</v>
      </c>
    </row>
    <row r="624" spans="1:7" x14ac:dyDescent="0.35">
      <c r="A624">
        <v>361</v>
      </c>
      <c r="B624">
        <v>2</v>
      </c>
      <c r="C624">
        <f>'0361 table 2'!E148</f>
        <v>30000000</v>
      </c>
      <c r="D624">
        <f>'0361 table 2'!F148</f>
        <v>360</v>
      </c>
      <c r="E624">
        <f>'0361 table 2'!G148</f>
        <v>540.67999999999995</v>
      </c>
      <c r="G624">
        <v>30000000</v>
      </c>
    </row>
    <row r="625" spans="1:7" x14ac:dyDescent="0.35">
      <c r="A625">
        <v>361</v>
      </c>
      <c r="B625">
        <v>2</v>
      </c>
      <c r="C625">
        <f>'0361 table 2'!E149</f>
        <v>28000000</v>
      </c>
      <c r="D625">
        <f>'0361 table 2'!F149</f>
        <v>360</v>
      </c>
      <c r="E625">
        <f>'0361 table 2'!G149</f>
        <v>537.98</v>
      </c>
      <c r="G625">
        <v>28000000</v>
      </c>
    </row>
    <row r="626" spans="1:7" x14ac:dyDescent="0.35">
      <c r="A626">
        <v>361</v>
      </c>
      <c r="B626">
        <v>2</v>
      </c>
      <c r="C626">
        <f>'0361 table 2'!E150</f>
        <v>26000000</v>
      </c>
      <c r="D626">
        <f>'0361 table 2'!F150</f>
        <v>360</v>
      </c>
      <c r="E626">
        <f>'0361 table 2'!G150</f>
        <v>535.02</v>
      </c>
      <c r="G626">
        <v>26000000</v>
      </c>
    </row>
    <row r="627" spans="1:7" x14ac:dyDescent="0.35">
      <c r="A627">
        <v>361</v>
      </c>
      <c r="B627">
        <v>2</v>
      </c>
      <c r="C627">
        <f>'0361 table 2'!E151</f>
        <v>24000000</v>
      </c>
      <c r="D627">
        <f>'0361 table 2'!F151</f>
        <v>360</v>
      </c>
      <c r="E627">
        <f>'0361 table 2'!G151</f>
        <v>531.99</v>
      </c>
      <c r="G627">
        <v>24000000</v>
      </c>
    </row>
    <row r="628" spans="1:7" x14ac:dyDescent="0.35">
      <c r="A628">
        <v>361</v>
      </c>
      <c r="B628">
        <v>2</v>
      </c>
      <c r="C628">
        <f>'0361 table 2'!E152</f>
        <v>22000000</v>
      </c>
      <c r="D628">
        <f>'0361 table 2'!F152</f>
        <v>360</v>
      </c>
      <c r="E628">
        <f>'0361 table 2'!G152</f>
        <v>528.9</v>
      </c>
      <c r="G628">
        <v>22000000</v>
      </c>
    </row>
    <row r="629" spans="1:7" x14ac:dyDescent="0.35">
      <c r="A629">
        <v>361</v>
      </c>
      <c r="B629">
        <v>2</v>
      </c>
      <c r="C629">
        <f>'0361 table 2'!E153</f>
        <v>20000000</v>
      </c>
      <c r="D629">
        <f>'0361 table 2'!F153</f>
        <v>360</v>
      </c>
      <c r="E629">
        <f>'0361 table 2'!G153</f>
        <v>525.5</v>
      </c>
      <c r="G629">
        <v>20000000</v>
      </c>
    </row>
    <row r="630" spans="1:7" x14ac:dyDescent="0.35">
      <c r="A630">
        <v>361</v>
      </c>
      <c r="B630">
        <v>2</v>
      </c>
      <c r="C630">
        <f>'0361 table 2'!E154</f>
        <v>18000000</v>
      </c>
      <c r="D630">
        <f>'0361 table 2'!F154</f>
        <v>360</v>
      </c>
      <c r="E630">
        <f>'0361 table 2'!G154</f>
        <v>522.07000000000005</v>
      </c>
      <c r="G630">
        <v>18000000</v>
      </c>
    </row>
    <row r="631" spans="1:7" x14ac:dyDescent="0.35">
      <c r="A631">
        <v>361</v>
      </c>
      <c r="B631">
        <v>2</v>
      </c>
      <c r="C631">
        <f>'0361 table 2'!E155</f>
        <v>16000000</v>
      </c>
      <c r="D631">
        <f>'0361 table 2'!F155</f>
        <v>360</v>
      </c>
      <c r="E631">
        <f>'0361 table 2'!G155</f>
        <v>518.27</v>
      </c>
      <c r="G631">
        <v>16000000</v>
      </c>
    </row>
    <row r="632" spans="1:7" x14ac:dyDescent="0.35">
      <c r="A632">
        <v>361</v>
      </c>
      <c r="B632">
        <v>2</v>
      </c>
      <c r="C632">
        <f>'0361 table 2'!E156</f>
        <v>14000000</v>
      </c>
      <c r="D632">
        <f>'0361 table 2'!F156</f>
        <v>360</v>
      </c>
      <c r="E632">
        <f>'0361 table 2'!G156</f>
        <v>514.36</v>
      </c>
      <c r="G632">
        <v>14000000</v>
      </c>
    </row>
    <row r="633" spans="1:7" x14ac:dyDescent="0.35">
      <c r="A633">
        <v>361</v>
      </c>
      <c r="B633">
        <v>2</v>
      </c>
      <c r="C633">
        <f>'0361 table 2'!E157</f>
        <v>12000000</v>
      </c>
      <c r="D633">
        <f>'0361 table 2'!F157</f>
        <v>360</v>
      </c>
      <c r="E633">
        <f>'0361 table 2'!G157</f>
        <v>510.28</v>
      </c>
      <c r="G633">
        <v>12000000</v>
      </c>
    </row>
    <row r="634" spans="1:7" x14ac:dyDescent="0.35">
      <c r="A634">
        <v>361</v>
      </c>
      <c r="B634">
        <v>2</v>
      </c>
      <c r="C634">
        <f>'0361 table 2'!E158</f>
        <v>10000000</v>
      </c>
      <c r="D634">
        <f>'0361 table 2'!F158</f>
        <v>360</v>
      </c>
      <c r="E634">
        <f>'0361 table 2'!G158</f>
        <v>505.69</v>
      </c>
      <c r="G634">
        <v>10000000</v>
      </c>
    </row>
    <row r="635" spans="1:7" x14ac:dyDescent="0.35">
      <c r="A635">
        <v>361</v>
      </c>
      <c r="B635">
        <v>2</v>
      </c>
      <c r="C635">
        <f>'0361 table 2'!E159</f>
        <v>9000000</v>
      </c>
      <c r="D635">
        <f>'0361 table 2'!F159</f>
        <v>360</v>
      </c>
      <c r="E635">
        <f>'0361 table 2'!G159</f>
        <v>503.1</v>
      </c>
      <c r="G635">
        <v>9000000</v>
      </c>
    </row>
    <row r="636" spans="1:7" x14ac:dyDescent="0.35">
      <c r="A636">
        <v>361</v>
      </c>
      <c r="B636">
        <v>2</v>
      </c>
      <c r="C636">
        <f>'0361 table 2'!E160</f>
        <v>8000000</v>
      </c>
      <c r="D636">
        <f>'0361 table 2'!F160</f>
        <v>360</v>
      </c>
      <c r="E636">
        <f>'0361 table 2'!G160</f>
        <v>500.49</v>
      </c>
      <c r="G636">
        <v>8000000</v>
      </c>
    </row>
    <row r="637" spans="1:7" x14ac:dyDescent="0.35">
      <c r="A637">
        <v>361</v>
      </c>
      <c r="B637">
        <v>2</v>
      </c>
      <c r="C637">
        <f>'0361 table 2'!E161</f>
        <v>7000000</v>
      </c>
      <c r="D637">
        <f>'0361 table 2'!F161</f>
        <v>360</v>
      </c>
      <c r="E637">
        <f>'0361 table 2'!G161</f>
        <v>497.85</v>
      </c>
      <c r="G637">
        <v>7000000</v>
      </c>
    </row>
    <row r="638" spans="1:7" x14ac:dyDescent="0.35">
      <c r="A638">
        <v>361</v>
      </c>
      <c r="B638">
        <v>2</v>
      </c>
      <c r="C638">
        <f>'0361 table 2'!E162</f>
        <v>6000000</v>
      </c>
      <c r="D638">
        <f>'0361 table 2'!F162</f>
        <v>360</v>
      </c>
      <c r="E638">
        <f>'0361 table 2'!G162</f>
        <v>495.12</v>
      </c>
      <c r="G638">
        <v>6000000</v>
      </c>
    </row>
    <row r="639" spans="1:7" x14ac:dyDescent="0.35">
      <c r="A639">
        <v>361</v>
      </c>
      <c r="B639">
        <v>2</v>
      </c>
      <c r="C639">
        <f>'0361 table 2'!E163</f>
        <v>5000000</v>
      </c>
      <c r="D639">
        <f>'0361 table 2'!F163</f>
        <v>360</v>
      </c>
      <c r="E639">
        <f>'0361 table 2'!G163</f>
        <v>492.03</v>
      </c>
      <c r="G639">
        <v>5000000</v>
      </c>
    </row>
    <row r="640" spans="1:7" x14ac:dyDescent="0.35">
      <c r="A640">
        <v>362</v>
      </c>
      <c r="B640">
        <v>2</v>
      </c>
      <c r="C640">
        <f>'0362 table 2'!E2</f>
        <v>17000000</v>
      </c>
      <c r="D640">
        <f>'0362 table 2'!F2</f>
        <v>310</v>
      </c>
      <c r="E640">
        <f>'0362 table 2'!G2</f>
        <v>601.08000000000004</v>
      </c>
      <c r="G640">
        <v>17000000</v>
      </c>
    </row>
    <row r="641" spans="1:7" x14ac:dyDescent="0.35">
      <c r="A641">
        <v>362</v>
      </c>
      <c r="B641">
        <v>2</v>
      </c>
      <c r="C641">
        <f>'0362 table 2'!E3</f>
        <v>16000000</v>
      </c>
      <c r="D641">
        <f>'0362 table 2'!F3</f>
        <v>310</v>
      </c>
      <c r="E641">
        <f>'0362 table 2'!G3</f>
        <v>600.16999999999996</v>
      </c>
      <c r="G641">
        <v>16000000</v>
      </c>
    </row>
    <row r="642" spans="1:7" x14ac:dyDescent="0.35">
      <c r="A642">
        <v>362</v>
      </c>
      <c r="B642">
        <v>2</v>
      </c>
      <c r="C642">
        <f>'0362 table 2'!E4</f>
        <v>15000000</v>
      </c>
      <c r="D642">
        <f>'0362 table 2'!F4</f>
        <v>310</v>
      </c>
      <c r="E642">
        <f>'0362 table 2'!G4</f>
        <v>599.22</v>
      </c>
      <c r="G642">
        <v>15000000</v>
      </c>
    </row>
    <row r="643" spans="1:7" x14ac:dyDescent="0.35">
      <c r="A643">
        <v>362</v>
      </c>
      <c r="B643">
        <v>2</v>
      </c>
      <c r="C643">
        <f>'0362 table 2'!E5</f>
        <v>14000000</v>
      </c>
      <c r="D643">
        <f>'0362 table 2'!F5</f>
        <v>310</v>
      </c>
      <c r="E643">
        <f>'0362 table 2'!G5</f>
        <v>598.28</v>
      </c>
      <c r="G643">
        <v>14000000</v>
      </c>
    </row>
    <row r="644" spans="1:7" x14ac:dyDescent="0.35">
      <c r="A644">
        <v>362</v>
      </c>
      <c r="B644">
        <v>2</v>
      </c>
      <c r="C644">
        <f>'0362 table 2'!E6</f>
        <v>13000000</v>
      </c>
      <c r="D644">
        <f>'0362 table 2'!F6</f>
        <v>310</v>
      </c>
      <c r="E644">
        <f>'0362 table 2'!G6</f>
        <v>597.29999999999995</v>
      </c>
      <c r="G644">
        <v>13000000</v>
      </c>
    </row>
    <row r="645" spans="1:7" x14ac:dyDescent="0.35">
      <c r="A645">
        <v>362</v>
      </c>
      <c r="B645">
        <v>2</v>
      </c>
      <c r="C645">
        <f>'0362 table 2'!E7</f>
        <v>12000000</v>
      </c>
      <c r="D645">
        <f>'0362 table 2'!F7</f>
        <v>310</v>
      </c>
      <c r="E645">
        <f>'0362 table 2'!G7</f>
        <v>596.33000000000004</v>
      </c>
      <c r="G645">
        <v>12000000</v>
      </c>
    </row>
    <row r="646" spans="1:7" x14ac:dyDescent="0.35">
      <c r="A646">
        <v>362</v>
      </c>
      <c r="B646">
        <v>2</v>
      </c>
      <c r="C646">
        <f>'0362 table 2'!E8</f>
        <v>11000000</v>
      </c>
      <c r="D646">
        <f>'0362 table 2'!F8</f>
        <v>310</v>
      </c>
      <c r="E646">
        <f>'0362 table 2'!G8</f>
        <v>595.34</v>
      </c>
      <c r="G646">
        <v>11000000</v>
      </c>
    </row>
    <row r="647" spans="1:7" x14ac:dyDescent="0.35">
      <c r="A647">
        <v>362</v>
      </c>
      <c r="B647">
        <v>2</v>
      </c>
      <c r="C647">
        <f>'0362 table 2'!E9</f>
        <v>10000000</v>
      </c>
      <c r="D647">
        <f>'0362 table 2'!F9</f>
        <v>310</v>
      </c>
      <c r="E647">
        <f>'0362 table 2'!G9</f>
        <v>594.29999999999995</v>
      </c>
      <c r="G647">
        <v>10000000</v>
      </c>
    </row>
    <row r="648" spans="1:7" x14ac:dyDescent="0.35">
      <c r="A648">
        <v>362</v>
      </c>
      <c r="B648">
        <v>2</v>
      </c>
      <c r="C648">
        <f>'0362 table 2'!E10</f>
        <v>9000000</v>
      </c>
      <c r="D648">
        <f>'0362 table 2'!F10</f>
        <v>310</v>
      </c>
      <c r="E648">
        <f>'0362 table 2'!G10</f>
        <v>593.37</v>
      </c>
      <c r="G648">
        <v>9000000</v>
      </c>
    </row>
    <row r="649" spans="1:7" x14ac:dyDescent="0.35">
      <c r="A649">
        <v>362</v>
      </c>
      <c r="B649">
        <v>2</v>
      </c>
      <c r="C649">
        <f>'0362 table 2'!E11</f>
        <v>8000000</v>
      </c>
      <c r="D649">
        <f>'0362 table 2'!F11</f>
        <v>310</v>
      </c>
      <c r="E649">
        <f>'0362 table 2'!G11</f>
        <v>592.39</v>
      </c>
      <c r="G649">
        <v>8000000</v>
      </c>
    </row>
    <row r="650" spans="1:7" x14ac:dyDescent="0.35">
      <c r="A650">
        <v>362</v>
      </c>
      <c r="B650">
        <v>2</v>
      </c>
      <c r="C650">
        <f>'0362 table 2'!E12</f>
        <v>7000000</v>
      </c>
      <c r="D650">
        <f>'0362 table 2'!F12</f>
        <v>310</v>
      </c>
      <c r="E650">
        <f>'0362 table 2'!G12</f>
        <v>591.32000000000005</v>
      </c>
      <c r="G650">
        <v>7000000</v>
      </c>
    </row>
    <row r="651" spans="1:7" x14ac:dyDescent="0.35">
      <c r="A651">
        <v>362</v>
      </c>
      <c r="B651">
        <v>2</v>
      </c>
      <c r="C651">
        <f>'0362 table 2'!E13</f>
        <v>6000000</v>
      </c>
      <c r="D651">
        <f>'0362 table 2'!F13</f>
        <v>310</v>
      </c>
      <c r="E651">
        <f>'0362 table 2'!G13</f>
        <v>590.19000000000005</v>
      </c>
      <c r="G651">
        <v>6000000</v>
      </c>
    </row>
    <row r="652" spans="1:7" x14ac:dyDescent="0.35">
      <c r="A652">
        <v>362</v>
      </c>
      <c r="B652">
        <v>2</v>
      </c>
      <c r="C652">
        <f>'0362 table 2'!E14</f>
        <v>5000000</v>
      </c>
      <c r="D652">
        <f>'0362 table 2'!F14</f>
        <v>310</v>
      </c>
      <c r="E652">
        <f>'0362 table 2'!G14</f>
        <v>589.09</v>
      </c>
      <c r="G652">
        <v>5000000</v>
      </c>
    </row>
    <row r="653" spans="1:7" x14ac:dyDescent="0.35">
      <c r="A653">
        <v>362</v>
      </c>
      <c r="B653">
        <v>2</v>
      </c>
      <c r="C653">
        <f>'0362 table 2'!E15</f>
        <v>4000000</v>
      </c>
      <c r="D653">
        <f>'0362 table 2'!F15</f>
        <v>310</v>
      </c>
      <c r="E653">
        <f>'0362 table 2'!G15</f>
        <v>588.02</v>
      </c>
      <c r="G653">
        <v>4000000</v>
      </c>
    </row>
    <row r="654" spans="1:7" x14ac:dyDescent="0.35">
      <c r="A654">
        <v>362</v>
      </c>
      <c r="B654">
        <v>2</v>
      </c>
      <c r="C654">
        <f>'0362 table 2'!E16</f>
        <v>3000000</v>
      </c>
      <c r="D654">
        <f>'0362 table 2'!F16</f>
        <v>310</v>
      </c>
      <c r="E654">
        <f>'0362 table 2'!G16</f>
        <v>586.91999999999996</v>
      </c>
      <c r="G654">
        <v>3000000</v>
      </c>
    </row>
    <row r="655" spans="1:7" x14ac:dyDescent="0.35">
      <c r="A655">
        <v>362</v>
      </c>
      <c r="B655">
        <v>2</v>
      </c>
      <c r="C655">
        <f>'0362 table 2'!E17</f>
        <v>2000000</v>
      </c>
      <c r="D655">
        <f>'0362 table 2'!F17</f>
        <v>310</v>
      </c>
      <c r="E655">
        <f>'0362 table 2'!G17</f>
        <v>585.76</v>
      </c>
      <c r="G655">
        <v>2000000</v>
      </c>
    </row>
    <row r="656" spans="1:7" x14ac:dyDescent="0.35">
      <c r="A656">
        <v>362</v>
      </c>
      <c r="B656">
        <v>2</v>
      </c>
      <c r="C656">
        <f>'0362 table 2'!E18</f>
        <v>17000000</v>
      </c>
      <c r="D656">
        <f>'0362 table 2'!F18</f>
        <v>320</v>
      </c>
      <c r="E656">
        <f>'0362 table 2'!G18</f>
        <v>586.09</v>
      </c>
      <c r="G656">
        <v>17000000</v>
      </c>
    </row>
    <row r="657" spans="1:7" x14ac:dyDescent="0.35">
      <c r="A657">
        <v>362</v>
      </c>
      <c r="B657">
        <v>2</v>
      </c>
      <c r="C657">
        <f>'0362 table 2'!E19</f>
        <v>16000000</v>
      </c>
      <c r="D657">
        <f>'0362 table 2'!F19</f>
        <v>320</v>
      </c>
      <c r="E657">
        <f>'0362 table 2'!G19</f>
        <v>585.05999999999995</v>
      </c>
      <c r="G657">
        <v>16000000</v>
      </c>
    </row>
    <row r="658" spans="1:7" x14ac:dyDescent="0.35">
      <c r="A658">
        <v>362</v>
      </c>
      <c r="B658">
        <v>2</v>
      </c>
      <c r="C658">
        <f>'0362 table 2'!E20</f>
        <v>15000000</v>
      </c>
      <c r="D658">
        <f>'0362 table 2'!F20</f>
        <v>320</v>
      </c>
      <c r="E658">
        <f>'0362 table 2'!G20</f>
        <v>584.02</v>
      </c>
      <c r="G658">
        <v>15000000</v>
      </c>
    </row>
    <row r="659" spans="1:7" x14ac:dyDescent="0.35">
      <c r="A659">
        <v>362</v>
      </c>
      <c r="B659">
        <v>2</v>
      </c>
      <c r="C659">
        <f>'0362 table 2'!E21</f>
        <v>14000000</v>
      </c>
      <c r="D659">
        <f>'0362 table 2'!F21</f>
        <v>320</v>
      </c>
      <c r="E659">
        <f>'0362 table 2'!G21</f>
        <v>582.99</v>
      </c>
      <c r="G659">
        <v>14000000</v>
      </c>
    </row>
    <row r="660" spans="1:7" x14ac:dyDescent="0.35">
      <c r="A660">
        <v>362</v>
      </c>
      <c r="B660">
        <v>2</v>
      </c>
      <c r="C660">
        <f>'0362 table 2'!E22</f>
        <v>13000000</v>
      </c>
      <c r="D660">
        <f>'0362 table 2'!F22</f>
        <v>320</v>
      </c>
      <c r="E660">
        <f>'0362 table 2'!G22</f>
        <v>581.91999999999996</v>
      </c>
      <c r="G660">
        <v>13000000</v>
      </c>
    </row>
    <row r="661" spans="1:7" x14ac:dyDescent="0.35">
      <c r="A661">
        <v>362</v>
      </c>
      <c r="B661">
        <v>2</v>
      </c>
      <c r="C661">
        <f>'0362 table 2'!E23</f>
        <v>12000000</v>
      </c>
      <c r="D661">
        <f>'0362 table 2'!F23</f>
        <v>320</v>
      </c>
      <c r="E661">
        <f>'0362 table 2'!G23</f>
        <v>580.84</v>
      </c>
      <c r="G661">
        <v>12000000</v>
      </c>
    </row>
    <row r="662" spans="1:7" x14ac:dyDescent="0.35">
      <c r="A662">
        <v>362</v>
      </c>
      <c r="B662">
        <v>2</v>
      </c>
      <c r="C662">
        <f>'0362 table 2'!E24</f>
        <v>11000000</v>
      </c>
      <c r="D662">
        <f>'0362 table 2'!F24</f>
        <v>320</v>
      </c>
      <c r="E662">
        <f>'0362 table 2'!G24</f>
        <v>579.69000000000005</v>
      </c>
      <c r="G662">
        <v>11000000</v>
      </c>
    </row>
    <row r="663" spans="1:7" x14ac:dyDescent="0.35">
      <c r="A663">
        <v>362</v>
      </c>
      <c r="B663">
        <v>2</v>
      </c>
      <c r="C663">
        <f>'0362 table 2'!E25</f>
        <v>10000000</v>
      </c>
      <c r="D663">
        <f>'0362 table 2'!F25</f>
        <v>320</v>
      </c>
      <c r="E663">
        <f>'0362 table 2'!G25</f>
        <v>578.5</v>
      </c>
      <c r="G663">
        <v>10000000</v>
      </c>
    </row>
    <row r="664" spans="1:7" x14ac:dyDescent="0.35">
      <c r="A664">
        <v>362</v>
      </c>
      <c r="B664">
        <v>2</v>
      </c>
      <c r="C664">
        <f>'0362 table 2'!E26</f>
        <v>9000000</v>
      </c>
      <c r="D664">
        <f>'0362 table 2'!F26</f>
        <v>320</v>
      </c>
      <c r="E664">
        <f>'0362 table 2'!G26</f>
        <v>577.4</v>
      </c>
      <c r="G664">
        <v>9000000</v>
      </c>
    </row>
    <row r="665" spans="1:7" x14ac:dyDescent="0.35">
      <c r="A665">
        <v>362</v>
      </c>
      <c r="B665">
        <v>2</v>
      </c>
      <c r="C665">
        <f>'0362 table 2'!E27</f>
        <v>8000000</v>
      </c>
      <c r="D665">
        <f>'0362 table 2'!F27</f>
        <v>320</v>
      </c>
      <c r="E665">
        <f>'0362 table 2'!G27</f>
        <v>576.24</v>
      </c>
      <c r="G665">
        <v>8000000</v>
      </c>
    </row>
    <row r="666" spans="1:7" x14ac:dyDescent="0.35">
      <c r="A666">
        <v>362</v>
      </c>
      <c r="B666">
        <v>2</v>
      </c>
      <c r="C666">
        <f>'0362 table 2'!E28</f>
        <v>7000000</v>
      </c>
      <c r="D666">
        <f>'0362 table 2'!F28</f>
        <v>320</v>
      </c>
      <c r="E666">
        <f>'0362 table 2'!G28</f>
        <v>575.02</v>
      </c>
      <c r="G666">
        <v>7000000</v>
      </c>
    </row>
    <row r="667" spans="1:7" x14ac:dyDescent="0.35">
      <c r="A667">
        <v>362</v>
      </c>
      <c r="B667">
        <v>2</v>
      </c>
      <c r="C667">
        <f>'0362 table 2'!E29</f>
        <v>6000000</v>
      </c>
      <c r="D667">
        <f>'0362 table 2'!F29</f>
        <v>320</v>
      </c>
      <c r="E667">
        <f>'0362 table 2'!G29</f>
        <v>573.76</v>
      </c>
      <c r="G667">
        <v>6000000</v>
      </c>
    </row>
    <row r="668" spans="1:7" x14ac:dyDescent="0.35">
      <c r="A668">
        <v>362</v>
      </c>
      <c r="B668">
        <v>2</v>
      </c>
      <c r="C668">
        <f>'0362 table 2'!E30</f>
        <v>5000000</v>
      </c>
      <c r="D668">
        <f>'0362 table 2'!F30</f>
        <v>320</v>
      </c>
      <c r="E668">
        <f>'0362 table 2'!G30</f>
        <v>572.53</v>
      </c>
      <c r="G668">
        <v>5000000</v>
      </c>
    </row>
    <row r="669" spans="1:7" x14ac:dyDescent="0.35">
      <c r="A669">
        <v>362</v>
      </c>
      <c r="B669">
        <v>2</v>
      </c>
      <c r="C669">
        <f>'0362 table 2'!E31</f>
        <v>4000000</v>
      </c>
      <c r="D669">
        <f>'0362 table 2'!F31</f>
        <v>320</v>
      </c>
      <c r="E669">
        <f>'0362 table 2'!G31</f>
        <v>571.25</v>
      </c>
      <c r="G669">
        <v>4000000</v>
      </c>
    </row>
    <row r="670" spans="1:7" x14ac:dyDescent="0.35">
      <c r="A670">
        <v>362</v>
      </c>
      <c r="B670">
        <v>2</v>
      </c>
      <c r="C670">
        <f>'0362 table 2'!E32</f>
        <v>2990000</v>
      </c>
      <c r="D670">
        <f>'0362 table 2'!F32</f>
        <v>320</v>
      </c>
      <c r="E670">
        <f>'0362 table 2'!G32</f>
        <v>569.95000000000005</v>
      </c>
      <c r="G670">
        <v>2990000</v>
      </c>
    </row>
    <row r="671" spans="1:7" x14ac:dyDescent="0.35">
      <c r="A671">
        <v>362</v>
      </c>
      <c r="B671">
        <v>2</v>
      </c>
      <c r="C671">
        <f>'0362 table 2'!E33</f>
        <v>2000000</v>
      </c>
      <c r="D671">
        <f>'0362 table 2'!F33</f>
        <v>320</v>
      </c>
      <c r="E671">
        <f>'0362 table 2'!G33</f>
        <v>568.62</v>
      </c>
      <c r="G671">
        <v>2000000</v>
      </c>
    </row>
    <row r="672" spans="1:7" x14ac:dyDescent="0.35">
      <c r="A672">
        <v>362</v>
      </c>
      <c r="B672">
        <v>2</v>
      </c>
      <c r="C672">
        <f>'0362 table 2'!E34</f>
        <v>17000000</v>
      </c>
      <c r="D672">
        <f>'0362 table 2'!F34</f>
        <v>330</v>
      </c>
      <c r="E672">
        <f>'0362 table 2'!G34</f>
        <v>570.6</v>
      </c>
      <c r="G672">
        <v>17000000</v>
      </c>
    </row>
    <row r="673" spans="1:7" x14ac:dyDescent="0.35">
      <c r="A673">
        <v>362</v>
      </c>
      <c r="B673">
        <v>2</v>
      </c>
      <c r="C673">
        <f>'0362 table 2'!E35</f>
        <v>16000000</v>
      </c>
      <c r="D673">
        <f>'0362 table 2'!F35</f>
        <v>330</v>
      </c>
      <c r="E673">
        <f>'0362 table 2'!G35</f>
        <v>569.42999999999995</v>
      </c>
      <c r="G673">
        <v>16000000</v>
      </c>
    </row>
    <row r="674" spans="1:7" x14ac:dyDescent="0.35">
      <c r="A674">
        <v>362</v>
      </c>
      <c r="B674">
        <v>2</v>
      </c>
      <c r="C674">
        <f>'0362 table 2'!E36</f>
        <v>15000000</v>
      </c>
      <c r="D674">
        <f>'0362 table 2'!F36</f>
        <v>330</v>
      </c>
      <c r="E674">
        <f>'0362 table 2'!G36</f>
        <v>568.21</v>
      </c>
      <c r="G674">
        <v>15000000</v>
      </c>
    </row>
    <row r="675" spans="1:7" x14ac:dyDescent="0.35">
      <c r="A675">
        <v>362</v>
      </c>
      <c r="B675">
        <v>2</v>
      </c>
      <c r="C675">
        <f>'0362 table 2'!E37</f>
        <v>14000000</v>
      </c>
      <c r="D675">
        <f>'0362 table 2'!F37</f>
        <v>330</v>
      </c>
      <c r="E675">
        <f>'0362 table 2'!G37</f>
        <v>567.01</v>
      </c>
      <c r="G675">
        <v>14000000</v>
      </c>
    </row>
    <row r="676" spans="1:7" x14ac:dyDescent="0.35">
      <c r="A676">
        <v>362</v>
      </c>
      <c r="B676">
        <v>2</v>
      </c>
      <c r="C676">
        <f>'0362 table 2'!E38</f>
        <v>13000000</v>
      </c>
      <c r="D676">
        <f>'0362 table 2'!F38</f>
        <v>330</v>
      </c>
      <c r="E676">
        <f>'0362 table 2'!G38</f>
        <v>565.78</v>
      </c>
      <c r="G676">
        <v>13000000</v>
      </c>
    </row>
    <row r="677" spans="1:7" x14ac:dyDescent="0.35">
      <c r="A677">
        <v>362</v>
      </c>
      <c r="B677">
        <v>2</v>
      </c>
      <c r="C677">
        <f>'0362 table 2'!E39</f>
        <v>12000000</v>
      </c>
      <c r="D677">
        <f>'0362 table 2'!F39</f>
        <v>330</v>
      </c>
      <c r="E677">
        <f>'0362 table 2'!G39</f>
        <v>564.5</v>
      </c>
      <c r="G677">
        <v>12000000</v>
      </c>
    </row>
    <row r="678" spans="1:7" x14ac:dyDescent="0.35">
      <c r="A678">
        <v>362</v>
      </c>
      <c r="B678">
        <v>2</v>
      </c>
      <c r="C678">
        <f>'0362 table 2'!E40</f>
        <v>11000000</v>
      </c>
      <c r="D678">
        <f>'0362 table 2'!F40</f>
        <v>330</v>
      </c>
      <c r="E678">
        <f>'0362 table 2'!G40</f>
        <v>563.19000000000005</v>
      </c>
      <c r="G678">
        <v>11000000</v>
      </c>
    </row>
    <row r="679" spans="1:7" x14ac:dyDescent="0.35">
      <c r="A679">
        <v>362</v>
      </c>
      <c r="B679">
        <v>2</v>
      </c>
      <c r="C679">
        <f>'0362 table 2'!E41</f>
        <v>10000000</v>
      </c>
      <c r="D679">
        <f>'0362 table 2'!F41</f>
        <v>330</v>
      </c>
      <c r="E679">
        <f>'0362 table 2'!G41</f>
        <v>561.88</v>
      </c>
      <c r="G679">
        <v>10000000</v>
      </c>
    </row>
    <row r="680" spans="1:7" x14ac:dyDescent="0.35">
      <c r="A680">
        <v>362</v>
      </c>
      <c r="B680">
        <v>2</v>
      </c>
      <c r="C680">
        <f>'0362 table 2'!E42</f>
        <v>9000000</v>
      </c>
      <c r="D680">
        <f>'0362 table 2'!F42</f>
        <v>330</v>
      </c>
      <c r="E680">
        <f>'0362 table 2'!G42</f>
        <v>560.52</v>
      </c>
      <c r="G680">
        <v>9000000</v>
      </c>
    </row>
    <row r="681" spans="1:7" x14ac:dyDescent="0.35">
      <c r="A681">
        <v>362</v>
      </c>
      <c r="B681">
        <v>2</v>
      </c>
      <c r="C681">
        <f>'0362 table 2'!E43</f>
        <v>8000000</v>
      </c>
      <c r="D681">
        <f>'0362 table 2'!F43</f>
        <v>330</v>
      </c>
      <c r="E681">
        <f>'0362 table 2'!G43</f>
        <v>559.11</v>
      </c>
      <c r="G681">
        <v>8000000</v>
      </c>
    </row>
    <row r="682" spans="1:7" x14ac:dyDescent="0.35">
      <c r="A682">
        <v>362</v>
      </c>
      <c r="B682">
        <v>2</v>
      </c>
      <c r="C682">
        <f>'0362 table 2'!E44</f>
        <v>7000000</v>
      </c>
      <c r="D682">
        <f>'0362 table 2'!F44</f>
        <v>330</v>
      </c>
      <c r="E682">
        <f>'0362 table 2'!G44</f>
        <v>557.71</v>
      </c>
      <c r="G682">
        <v>7000000</v>
      </c>
    </row>
    <row r="683" spans="1:7" x14ac:dyDescent="0.35">
      <c r="A683">
        <v>362</v>
      </c>
      <c r="B683">
        <v>2</v>
      </c>
      <c r="C683">
        <f>'0362 table 2'!E45</f>
        <v>6000000</v>
      </c>
      <c r="D683">
        <f>'0362 table 2'!F45</f>
        <v>330</v>
      </c>
      <c r="E683">
        <f>'0362 table 2'!G45</f>
        <v>556.32000000000005</v>
      </c>
      <c r="G683">
        <v>6000000</v>
      </c>
    </row>
    <row r="684" spans="1:7" x14ac:dyDescent="0.35">
      <c r="A684">
        <v>362</v>
      </c>
      <c r="B684">
        <v>2</v>
      </c>
      <c r="C684">
        <f>'0362 table 2'!E46</f>
        <v>5000000</v>
      </c>
      <c r="D684">
        <f>'0362 table 2'!F46</f>
        <v>330</v>
      </c>
      <c r="E684">
        <f>'0362 table 2'!G46</f>
        <v>554.89</v>
      </c>
      <c r="G684">
        <v>5000000</v>
      </c>
    </row>
    <row r="685" spans="1:7" x14ac:dyDescent="0.35">
      <c r="A685">
        <v>362</v>
      </c>
      <c r="B685">
        <v>2</v>
      </c>
      <c r="C685">
        <f>'0362 table 2'!E47</f>
        <v>4000000</v>
      </c>
      <c r="D685">
        <f>'0362 table 2'!F47</f>
        <v>330</v>
      </c>
      <c r="E685">
        <f>'0362 table 2'!G47</f>
        <v>553.38</v>
      </c>
      <c r="G685">
        <v>4000000</v>
      </c>
    </row>
    <row r="686" spans="1:7" x14ac:dyDescent="0.35">
      <c r="A686">
        <v>362</v>
      </c>
      <c r="B686">
        <v>2</v>
      </c>
      <c r="C686">
        <f>'0362 table 2'!E48</f>
        <v>3000000</v>
      </c>
      <c r="D686">
        <f>'0362 table 2'!F48</f>
        <v>330</v>
      </c>
      <c r="E686">
        <f>'0362 table 2'!G48</f>
        <v>551.86</v>
      </c>
      <c r="G686">
        <v>3000000</v>
      </c>
    </row>
    <row r="687" spans="1:7" x14ac:dyDescent="0.35">
      <c r="A687">
        <v>362</v>
      </c>
      <c r="B687">
        <v>2</v>
      </c>
      <c r="C687">
        <f>'0362 table 2'!E49</f>
        <v>17000000</v>
      </c>
      <c r="D687">
        <f>'0362 table 2'!F49</f>
        <v>340</v>
      </c>
      <c r="E687">
        <f>'0362 table 2'!G49</f>
        <v>554.45000000000005</v>
      </c>
      <c r="G687">
        <v>17000000</v>
      </c>
    </row>
    <row r="688" spans="1:7" x14ac:dyDescent="0.35">
      <c r="A688">
        <v>362</v>
      </c>
      <c r="B688">
        <v>2</v>
      </c>
      <c r="C688">
        <f>'0362 table 2'!E50</f>
        <v>16000000</v>
      </c>
      <c r="D688">
        <f>'0362 table 2'!F50</f>
        <v>340</v>
      </c>
      <c r="E688">
        <f>'0362 table 2'!G50</f>
        <v>553.12</v>
      </c>
      <c r="G688">
        <v>16000000</v>
      </c>
    </row>
    <row r="689" spans="1:7" x14ac:dyDescent="0.35">
      <c r="A689">
        <v>362</v>
      </c>
      <c r="B689">
        <v>2</v>
      </c>
      <c r="C689">
        <f>'0362 table 2'!E51</f>
        <v>15000000</v>
      </c>
      <c r="D689">
        <f>'0362 table 2'!F51</f>
        <v>340</v>
      </c>
      <c r="E689">
        <f>'0362 table 2'!G51</f>
        <v>551.72</v>
      </c>
      <c r="G689">
        <v>15000000</v>
      </c>
    </row>
    <row r="690" spans="1:7" x14ac:dyDescent="0.35">
      <c r="A690">
        <v>362</v>
      </c>
      <c r="B690">
        <v>2</v>
      </c>
      <c r="C690">
        <f>'0362 table 2'!E52</f>
        <v>14000000</v>
      </c>
      <c r="D690">
        <f>'0362 table 2'!F52</f>
        <v>340</v>
      </c>
      <c r="E690">
        <f>'0362 table 2'!G52</f>
        <v>550.28</v>
      </c>
      <c r="G690">
        <v>14000000</v>
      </c>
    </row>
    <row r="691" spans="1:7" x14ac:dyDescent="0.35">
      <c r="A691">
        <v>362</v>
      </c>
      <c r="B691">
        <v>2</v>
      </c>
      <c r="C691">
        <f>'0362 table 2'!E53</f>
        <v>13000000</v>
      </c>
      <c r="D691">
        <f>'0362 table 2'!F53</f>
        <v>340</v>
      </c>
      <c r="E691">
        <f>'0362 table 2'!G53</f>
        <v>548.82000000000005</v>
      </c>
      <c r="G691">
        <v>13000000</v>
      </c>
    </row>
    <row r="692" spans="1:7" x14ac:dyDescent="0.35">
      <c r="A692">
        <v>362</v>
      </c>
      <c r="B692">
        <v>2</v>
      </c>
      <c r="C692">
        <f>'0362 table 2'!E54</f>
        <v>12000000</v>
      </c>
      <c r="D692">
        <f>'0362 table 2'!F54</f>
        <v>340</v>
      </c>
      <c r="E692">
        <f>'0362 table 2'!G54</f>
        <v>547.33000000000004</v>
      </c>
      <c r="G692">
        <v>12000000</v>
      </c>
    </row>
    <row r="693" spans="1:7" x14ac:dyDescent="0.35">
      <c r="A693">
        <v>362</v>
      </c>
      <c r="B693">
        <v>2</v>
      </c>
      <c r="C693">
        <f>'0362 table 2'!E55</f>
        <v>11000000</v>
      </c>
      <c r="D693">
        <f>'0362 table 2'!F55</f>
        <v>340</v>
      </c>
      <c r="E693">
        <f>'0362 table 2'!G55</f>
        <v>545.79</v>
      </c>
      <c r="G693">
        <v>11000000</v>
      </c>
    </row>
    <row r="694" spans="1:7" x14ac:dyDescent="0.35">
      <c r="A694">
        <v>362</v>
      </c>
      <c r="B694">
        <v>2</v>
      </c>
      <c r="C694">
        <f>'0362 table 2'!E56</f>
        <v>10000000</v>
      </c>
      <c r="D694">
        <f>'0362 table 2'!F56</f>
        <v>340</v>
      </c>
      <c r="E694">
        <f>'0362 table 2'!G56</f>
        <v>544.22</v>
      </c>
      <c r="G694">
        <v>10000000</v>
      </c>
    </row>
    <row r="695" spans="1:7" x14ac:dyDescent="0.35">
      <c r="A695">
        <v>362</v>
      </c>
      <c r="B695">
        <v>2</v>
      </c>
      <c r="C695">
        <f>'0362 table 2'!E57</f>
        <v>9000000</v>
      </c>
      <c r="D695">
        <f>'0362 table 2'!F57</f>
        <v>340</v>
      </c>
      <c r="E695">
        <f>'0362 table 2'!G57</f>
        <v>542.70000000000005</v>
      </c>
      <c r="G695">
        <v>9000000</v>
      </c>
    </row>
    <row r="696" spans="1:7" x14ac:dyDescent="0.35">
      <c r="A696">
        <v>362</v>
      </c>
      <c r="B696">
        <v>2</v>
      </c>
      <c r="C696">
        <f>'0362 table 2'!E58</f>
        <v>8000000</v>
      </c>
      <c r="D696">
        <f>'0362 table 2'!F58</f>
        <v>340</v>
      </c>
      <c r="E696">
        <f>'0362 table 2'!G58</f>
        <v>541.09</v>
      </c>
      <c r="G696">
        <v>8000000</v>
      </c>
    </row>
    <row r="697" spans="1:7" x14ac:dyDescent="0.35">
      <c r="A697">
        <v>362</v>
      </c>
      <c r="B697">
        <v>2</v>
      </c>
      <c r="C697">
        <f>'0362 table 2'!E59</f>
        <v>7000000</v>
      </c>
      <c r="D697">
        <f>'0362 table 2'!F59</f>
        <v>340</v>
      </c>
      <c r="E697">
        <f>'0362 table 2'!G59</f>
        <v>539.41</v>
      </c>
      <c r="G697">
        <v>7000000</v>
      </c>
    </row>
    <row r="698" spans="1:7" x14ac:dyDescent="0.35">
      <c r="A698">
        <v>362</v>
      </c>
      <c r="B698">
        <v>2</v>
      </c>
      <c r="C698">
        <f>'0362 table 2'!E60</f>
        <v>6000000</v>
      </c>
      <c r="D698">
        <f>'0362 table 2'!F60</f>
        <v>340</v>
      </c>
      <c r="E698">
        <f>'0362 table 2'!G60</f>
        <v>537.69000000000005</v>
      </c>
      <c r="G698">
        <v>6000000</v>
      </c>
    </row>
    <row r="699" spans="1:7" x14ac:dyDescent="0.35">
      <c r="A699">
        <v>362</v>
      </c>
      <c r="B699">
        <v>2</v>
      </c>
      <c r="C699">
        <f>'0362 table 2'!E61</f>
        <v>5000000</v>
      </c>
      <c r="D699">
        <f>'0362 table 2'!F61</f>
        <v>340</v>
      </c>
      <c r="E699">
        <f>'0362 table 2'!G61</f>
        <v>535.9</v>
      </c>
      <c r="G699">
        <v>5000000</v>
      </c>
    </row>
    <row r="700" spans="1:7" x14ac:dyDescent="0.35">
      <c r="A700">
        <v>362</v>
      </c>
      <c r="B700">
        <v>2</v>
      </c>
      <c r="C700">
        <f>'0362 table 2'!E62</f>
        <v>4000000</v>
      </c>
      <c r="D700">
        <f>'0362 table 2'!F62</f>
        <v>340</v>
      </c>
      <c r="E700">
        <f>'0362 table 2'!G62</f>
        <v>534.1</v>
      </c>
      <c r="G700">
        <v>4000000</v>
      </c>
    </row>
    <row r="701" spans="1:7" x14ac:dyDescent="0.35">
      <c r="A701">
        <v>362</v>
      </c>
      <c r="B701">
        <v>2</v>
      </c>
      <c r="C701">
        <f>'0362 table 2'!E63</f>
        <v>15000000</v>
      </c>
      <c r="D701">
        <f>'0362 table 2'!F63</f>
        <v>340</v>
      </c>
      <c r="E701">
        <f>'0362 table 2'!G63</f>
        <v>551.30999999999995</v>
      </c>
      <c r="G701">
        <v>15000000</v>
      </c>
    </row>
    <row r="702" spans="1:7" x14ac:dyDescent="0.35">
      <c r="A702">
        <v>362</v>
      </c>
      <c r="B702">
        <v>2</v>
      </c>
      <c r="C702">
        <f>'0362 table 2'!E64</f>
        <v>10000000</v>
      </c>
      <c r="D702">
        <f>'0362 table 2'!F64</f>
        <v>340</v>
      </c>
      <c r="E702">
        <f>'0362 table 2'!G64</f>
        <v>543.94000000000005</v>
      </c>
      <c r="G702">
        <v>10000000</v>
      </c>
    </row>
    <row r="703" spans="1:7" x14ac:dyDescent="0.35">
      <c r="A703">
        <v>362</v>
      </c>
      <c r="B703">
        <v>2</v>
      </c>
      <c r="C703">
        <f>'0362 table 2'!E65</f>
        <v>5000000</v>
      </c>
      <c r="D703">
        <f>'0362 table 2'!F65</f>
        <v>340</v>
      </c>
      <c r="E703">
        <f>'0362 table 2'!G65</f>
        <v>535.49</v>
      </c>
      <c r="G703">
        <v>5000000</v>
      </c>
    </row>
    <row r="704" spans="1:7" x14ac:dyDescent="0.35">
      <c r="A704">
        <v>362</v>
      </c>
      <c r="B704">
        <v>2</v>
      </c>
      <c r="C704">
        <f>'0362 table 2'!E66</f>
        <v>4000000</v>
      </c>
      <c r="D704">
        <f>'0362 table 2'!F66</f>
        <v>340</v>
      </c>
      <c r="E704">
        <f>'0362 table 2'!G66</f>
        <v>534.1</v>
      </c>
      <c r="G704">
        <v>4000000</v>
      </c>
    </row>
    <row r="705" spans="1:7" x14ac:dyDescent="0.35">
      <c r="A705">
        <v>362</v>
      </c>
      <c r="B705">
        <v>2</v>
      </c>
      <c r="C705">
        <f>'0362 table 2'!E67</f>
        <v>10000000</v>
      </c>
      <c r="D705">
        <f>'0362 table 2'!F67</f>
        <v>340</v>
      </c>
      <c r="E705">
        <f>'0362 table 2'!G67</f>
        <v>543.98</v>
      </c>
      <c r="G705">
        <v>10000000</v>
      </c>
    </row>
    <row r="706" spans="1:7" x14ac:dyDescent="0.35">
      <c r="A706">
        <v>362</v>
      </c>
      <c r="B706">
        <v>2</v>
      </c>
      <c r="C706">
        <f>'0362 table 2'!E68</f>
        <v>5000000</v>
      </c>
      <c r="D706">
        <f>'0362 table 2'!F68</f>
        <v>340</v>
      </c>
      <c r="E706">
        <f>'0362 table 2'!G68</f>
        <v>535.58000000000004</v>
      </c>
      <c r="G706">
        <v>5000000</v>
      </c>
    </row>
    <row r="707" spans="1:7" x14ac:dyDescent="0.35">
      <c r="A707">
        <v>362</v>
      </c>
      <c r="B707">
        <v>2</v>
      </c>
      <c r="C707">
        <f>'0362 table 2'!E69</f>
        <v>17000000</v>
      </c>
      <c r="D707">
        <f>'0362 table 2'!F69</f>
        <v>350</v>
      </c>
      <c r="E707">
        <f>'0362 table 2'!G69</f>
        <v>536.96</v>
      </c>
      <c r="G707">
        <v>17000000</v>
      </c>
    </row>
    <row r="708" spans="1:7" x14ac:dyDescent="0.35">
      <c r="A708">
        <v>362</v>
      </c>
      <c r="B708">
        <v>2</v>
      </c>
      <c r="C708">
        <f>'0362 table 2'!E70</f>
        <v>16000000</v>
      </c>
      <c r="D708">
        <f>'0362 table 2'!F70</f>
        <v>350</v>
      </c>
      <c r="E708">
        <f>'0362 table 2'!G70</f>
        <v>535.42999999999995</v>
      </c>
      <c r="G708">
        <v>16000000</v>
      </c>
    </row>
    <row r="709" spans="1:7" x14ac:dyDescent="0.35">
      <c r="A709">
        <v>362</v>
      </c>
      <c r="B709">
        <v>2</v>
      </c>
      <c r="C709">
        <f>'0362 table 2'!E71</f>
        <v>15000000</v>
      </c>
      <c r="D709">
        <f>'0362 table 2'!F71</f>
        <v>350</v>
      </c>
      <c r="E709">
        <f>'0362 table 2'!G71</f>
        <v>533.79</v>
      </c>
      <c r="G709">
        <v>15000000</v>
      </c>
    </row>
    <row r="710" spans="1:7" x14ac:dyDescent="0.35">
      <c r="A710">
        <v>362</v>
      </c>
      <c r="B710">
        <v>2</v>
      </c>
      <c r="C710">
        <f>'0362 table 2'!E72</f>
        <v>14000000</v>
      </c>
      <c r="D710">
        <f>'0362 table 2'!F72</f>
        <v>350</v>
      </c>
      <c r="E710">
        <f>'0362 table 2'!G72</f>
        <v>532.09</v>
      </c>
      <c r="G710">
        <v>14000000</v>
      </c>
    </row>
    <row r="711" spans="1:7" x14ac:dyDescent="0.35">
      <c r="A711">
        <v>362</v>
      </c>
      <c r="B711">
        <v>2</v>
      </c>
      <c r="C711">
        <f>'0362 table 2'!E73</f>
        <v>13000000</v>
      </c>
      <c r="D711">
        <f>'0362 table 2'!F73</f>
        <v>350</v>
      </c>
      <c r="E711">
        <f>'0362 table 2'!G73</f>
        <v>530.39</v>
      </c>
      <c r="G711">
        <v>13000000</v>
      </c>
    </row>
    <row r="712" spans="1:7" x14ac:dyDescent="0.35">
      <c r="A712">
        <v>362</v>
      </c>
      <c r="B712">
        <v>2</v>
      </c>
      <c r="C712">
        <f>'0362 table 2'!E74</f>
        <v>12000000</v>
      </c>
      <c r="D712">
        <f>'0362 table 2'!F74</f>
        <v>350</v>
      </c>
      <c r="E712">
        <f>'0362 table 2'!G74</f>
        <v>528.59</v>
      </c>
      <c r="G712">
        <v>12000000</v>
      </c>
    </row>
    <row r="713" spans="1:7" x14ac:dyDescent="0.35">
      <c r="A713">
        <v>362</v>
      </c>
      <c r="B713">
        <v>2</v>
      </c>
      <c r="C713">
        <f>'0362 table 2'!E75</f>
        <v>11000000</v>
      </c>
      <c r="D713">
        <f>'0362 table 2'!F75</f>
        <v>350</v>
      </c>
      <c r="E713">
        <f>'0362 table 2'!G75</f>
        <v>526.77</v>
      </c>
      <c r="G713">
        <v>11000000</v>
      </c>
    </row>
    <row r="714" spans="1:7" x14ac:dyDescent="0.35">
      <c r="A714">
        <v>362</v>
      </c>
      <c r="B714">
        <v>2</v>
      </c>
      <c r="C714">
        <f>'0362 table 2'!E76</f>
        <v>10000000</v>
      </c>
      <c r="D714">
        <f>'0362 table 2'!F76</f>
        <v>350</v>
      </c>
      <c r="E714">
        <f>'0362 table 2'!G76</f>
        <v>524.88</v>
      </c>
      <c r="G714">
        <v>10000000</v>
      </c>
    </row>
    <row r="715" spans="1:7" x14ac:dyDescent="0.35">
      <c r="A715">
        <v>362</v>
      </c>
      <c r="B715">
        <v>2</v>
      </c>
      <c r="C715">
        <f>'0362 table 2'!E77</f>
        <v>9000000</v>
      </c>
      <c r="D715">
        <f>'0362 table 2'!F77</f>
        <v>350</v>
      </c>
      <c r="E715">
        <f>'0362 table 2'!G77</f>
        <v>522.91999999999996</v>
      </c>
      <c r="G715">
        <v>9000000</v>
      </c>
    </row>
    <row r="716" spans="1:7" x14ac:dyDescent="0.35">
      <c r="A716">
        <v>362</v>
      </c>
      <c r="B716">
        <v>2</v>
      </c>
      <c r="C716">
        <f>'0362 table 2'!E78</f>
        <v>8000000</v>
      </c>
      <c r="D716">
        <f>'0362 table 2'!F78</f>
        <v>350</v>
      </c>
      <c r="E716">
        <f>'0362 table 2'!G78</f>
        <v>520.92999999999995</v>
      </c>
      <c r="G716">
        <v>8000000</v>
      </c>
    </row>
    <row r="717" spans="1:7" x14ac:dyDescent="0.35">
      <c r="A717">
        <v>362</v>
      </c>
      <c r="B717">
        <v>2</v>
      </c>
      <c r="C717">
        <f>'0362 table 2'!E79</f>
        <v>7000000</v>
      </c>
      <c r="D717">
        <f>'0362 table 2'!F79</f>
        <v>350</v>
      </c>
      <c r="E717">
        <f>'0362 table 2'!G79</f>
        <v>518.83000000000004</v>
      </c>
      <c r="G717">
        <v>7000000</v>
      </c>
    </row>
    <row r="718" spans="1:7" x14ac:dyDescent="0.35">
      <c r="A718">
        <v>362</v>
      </c>
      <c r="B718">
        <v>2</v>
      </c>
      <c r="C718">
        <f>'0362 table 2'!E80</f>
        <v>6000000</v>
      </c>
      <c r="D718">
        <f>'0362 table 2'!F80</f>
        <v>350</v>
      </c>
      <c r="E718">
        <f>'0362 table 2'!G80</f>
        <v>516.66999999999996</v>
      </c>
      <c r="G718">
        <v>6000000</v>
      </c>
    </row>
    <row r="719" spans="1:7" x14ac:dyDescent="0.35">
      <c r="A719">
        <v>362</v>
      </c>
      <c r="B719">
        <v>2</v>
      </c>
      <c r="C719">
        <f>'0362 table 2'!E81</f>
        <v>5000000</v>
      </c>
      <c r="D719">
        <f>'0362 table 2'!F81</f>
        <v>350</v>
      </c>
      <c r="E719">
        <f>'0362 table 2'!G81</f>
        <v>514.38</v>
      </c>
      <c r="G719">
        <v>5000000</v>
      </c>
    </row>
    <row r="720" spans="1:7" x14ac:dyDescent="0.35">
      <c r="A720">
        <v>362</v>
      </c>
      <c r="B720">
        <v>2</v>
      </c>
      <c r="C720">
        <f>'0362 table 2'!E82</f>
        <v>4000000</v>
      </c>
      <c r="D720">
        <f>'0362 table 2'!F82</f>
        <v>350</v>
      </c>
      <c r="E720">
        <f>'0362 table 2'!G82</f>
        <v>512.07000000000005</v>
      </c>
      <c r="G720">
        <v>4000000</v>
      </c>
    </row>
    <row r="721" spans="1:7" x14ac:dyDescent="0.35">
      <c r="A721">
        <v>362</v>
      </c>
      <c r="B721">
        <v>2</v>
      </c>
      <c r="C721">
        <f>'0362 table 2'!E83</f>
        <v>17000000</v>
      </c>
      <c r="D721">
        <f>'0362 table 2'!F83</f>
        <v>350</v>
      </c>
      <c r="E721">
        <f>'0362 table 2'!G83</f>
        <v>537.05999999999995</v>
      </c>
      <c r="G721">
        <v>17000000</v>
      </c>
    </row>
    <row r="722" spans="1:7" x14ac:dyDescent="0.35">
      <c r="A722">
        <v>362</v>
      </c>
      <c r="B722">
        <v>2</v>
      </c>
      <c r="C722">
        <f>'0362 table 2'!E84</f>
        <v>16000000</v>
      </c>
      <c r="D722">
        <f>'0362 table 2'!F84</f>
        <v>350</v>
      </c>
      <c r="E722">
        <f>'0362 table 2'!G84</f>
        <v>535.47</v>
      </c>
      <c r="G722">
        <v>16000000</v>
      </c>
    </row>
    <row r="723" spans="1:7" x14ac:dyDescent="0.35">
      <c r="A723">
        <v>362</v>
      </c>
      <c r="B723">
        <v>2</v>
      </c>
      <c r="C723">
        <f>'0362 table 2'!E85</f>
        <v>15000000</v>
      </c>
      <c r="D723">
        <f>'0362 table 2'!F85</f>
        <v>350</v>
      </c>
      <c r="E723">
        <f>'0362 table 2'!G85</f>
        <v>533.83000000000004</v>
      </c>
      <c r="G723">
        <v>15000000</v>
      </c>
    </row>
    <row r="724" spans="1:7" x14ac:dyDescent="0.35">
      <c r="A724">
        <v>362</v>
      </c>
      <c r="B724">
        <v>2</v>
      </c>
      <c r="C724">
        <f>'0362 table 2'!E86</f>
        <v>14000000</v>
      </c>
      <c r="D724">
        <f>'0362 table 2'!F86</f>
        <v>350</v>
      </c>
      <c r="E724">
        <f>'0362 table 2'!G86</f>
        <v>532.17999999999995</v>
      </c>
      <c r="G724">
        <v>14000000</v>
      </c>
    </row>
    <row r="725" spans="1:7" x14ac:dyDescent="0.35">
      <c r="A725">
        <v>362</v>
      </c>
      <c r="B725">
        <v>2</v>
      </c>
      <c r="C725">
        <f>'0362 table 2'!E87</f>
        <v>13000000</v>
      </c>
      <c r="D725">
        <f>'0362 table 2'!F87</f>
        <v>350</v>
      </c>
      <c r="E725">
        <f>'0362 table 2'!G87</f>
        <v>530.42999999999995</v>
      </c>
      <c r="G725">
        <v>13000000</v>
      </c>
    </row>
    <row r="726" spans="1:7" x14ac:dyDescent="0.35">
      <c r="A726">
        <v>362</v>
      </c>
      <c r="B726">
        <v>2</v>
      </c>
      <c r="C726">
        <f>'0362 table 2'!E88</f>
        <v>12000000</v>
      </c>
      <c r="D726">
        <f>'0362 table 2'!F88</f>
        <v>350</v>
      </c>
      <c r="E726">
        <f>'0362 table 2'!G88</f>
        <v>528.66</v>
      </c>
      <c r="G726">
        <v>12000000</v>
      </c>
    </row>
    <row r="727" spans="1:7" x14ac:dyDescent="0.35">
      <c r="A727">
        <v>362</v>
      </c>
      <c r="B727">
        <v>2</v>
      </c>
      <c r="C727">
        <f>'0362 table 2'!E89</f>
        <v>11000000</v>
      </c>
      <c r="D727">
        <f>'0362 table 2'!F89</f>
        <v>350</v>
      </c>
      <c r="E727">
        <f>'0362 table 2'!G89</f>
        <v>526.85</v>
      </c>
      <c r="G727">
        <v>11000000</v>
      </c>
    </row>
    <row r="728" spans="1:7" x14ac:dyDescent="0.35">
      <c r="A728">
        <v>362</v>
      </c>
      <c r="B728">
        <v>2</v>
      </c>
      <c r="C728">
        <f>'0362 table 2'!E90</f>
        <v>10000000</v>
      </c>
      <c r="D728">
        <f>'0362 table 2'!F90</f>
        <v>350</v>
      </c>
      <c r="E728">
        <f>'0362 table 2'!G90</f>
        <v>524.95000000000005</v>
      </c>
      <c r="G728">
        <v>10000000</v>
      </c>
    </row>
    <row r="729" spans="1:7" x14ac:dyDescent="0.35">
      <c r="A729">
        <v>362</v>
      </c>
      <c r="B729">
        <v>2</v>
      </c>
      <c r="C729">
        <f>'0362 table 2'!E91</f>
        <v>9000000</v>
      </c>
      <c r="D729">
        <f>'0362 table 2'!F91</f>
        <v>350</v>
      </c>
      <c r="E729">
        <f>'0362 table 2'!G91</f>
        <v>522.98</v>
      </c>
      <c r="G729">
        <v>9000000</v>
      </c>
    </row>
    <row r="730" spans="1:7" x14ac:dyDescent="0.35">
      <c r="A730">
        <v>362</v>
      </c>
      <c r="B730">
        <v>2</v>
      </c>
      <c r="C730">
        <f>'0362 table 2'!E92</f>
        <v>8000000</v>
      </c>
      <c r="D730">
        <f>'0362 table 2'!F92</f>
        <v>350</v>
      </c>
      <c r="E730">
        <f>'0362 table 2'!G92</f>
        <v>520.99</v>
      </c>
      <c r="G730">
        <v>8000000</v>
      </c>
    </row>
    <row r="731" spans="1:7" x14ac:dyDescent="0.35">
      <c r="A731">
        <v>362</v>
      </c>
      <c r="B731">
        <v>2</v>
      </c>
      <c r="C731">
        <f>'0362 table 2'!E93</f>
        <v>7000000</v>
      </c>
      <c r="D731">
        <f>'0362 table 2'!F93</f>
        <v>350</v>
      </c>
      <c r="E731">
        <f>'0362 table 2'!G93</f>
        <v>518.9</v>
      </c>
      <c r="G731">
        <v>7000000</v>
      </c>
    </row>
    <row r="732" spans="1:7" x14ac:dyDescent="0.35">
      <c r="A732">
        <v>362</v>
      </c>
      <c r="B732">
        <v>2</v>
      </c>
      <c r="C732">
        <f>'0362 table 2'!E94</f>
        <v>6000000</v>
      </c>
      <c r="D732">
        <f>'0362 table 2'!F94</f>
        <v>350</v>
      </c>
      <c r="E732">
        <f>'0362 table 2'!G94</f>
        <v>516.76</v>
      </c>
      <c r="G732">
        <v>6000000</v>
      </c>
    </row>
    <row r="733" spans="1:7" x14ac:dyDescent="0.35">
      <c r="A733">
        <v>362</v>
      </c>
      <c r="B733">
        <v>2</v>
      </c>
      <c r="C733">
        <f>'0362 table 2'!E95</f>
        <v>5000000</v>
      </c>
      <c r="D733">
        <f>'0362 table 2'!F95</f>
        <v>350</v>
      </c>
      <c r="E733">
        <f>'0362 table 2'!G95</f>
        <v>514.54999999999995</v>
      </c>
      <c r="G733">
        <v>5000000</v>
      </c>
    </row>
    <row r="734" spans="1:7" x14ac:dyDescent="0.35">
      <c r="A734">
        <v>362</v>
      </c>
      <c r="B734">
        <v>2</v>
      </c>
      <c r="C734">
        <f>'0362 table 2'!E96</f>
        <v>4000000</v>
      </c>
      <c r="D734">
        <f>'0362 table 2'!F96</f>
        <v>350</v>
      </c>
      <c r="E734">
        <f>'0362 table 2'!G96</f>
        <v>512.21</v>
      </c>
      <c r="G734">
        <v>4000000</v>
      </c>
    </row>
    <row r="735" spans="1:7" x14ac:dyDescent="0.35">
      <c r="A735">
        <v>362</v>
      </c>
      <c r="B735">
        <v>2</v>
      </c>
      <c r="C735">
        <f>'0362 table 2'!E97</f>
        <v>17000000</v>
      </c>
      <c r="D735">
        <f>'0362 table 2'!F97</f>
        <v>360</v>
      </c>
      <c r="E735">
        <f>'0362 table 2'!G97</f>
        <v>518.70000000000005</v>
      </c>
      <c r="G735">
        <v>17000000</v>
      </c>
    </row>
    <row r="736" spans="1:7" x14ac:dyDescent="0.35">
      <c r="A736">
        <v>362</v>
      </c>
      <c r="B736">
        <v>2</v>
      </c>
      <c r="C736">
        <f>'0362 table 2'!E98</f>
        <v>16000000</v>
      </c>
      <c r="D736">
        <f>'0362 table 2'!F98</f>
        <v>360</v>
      </c>
      <c r="E736">
        <f>'0362 table 2'!G98</f>
        <v>516.79</v>
      </c>
      <c r="G736">
        <v>16000000</v>
      </c>
    </row>
    <row r="737" spans="1:7" x14ac:dyDescent="0.35">
      <c r="A737">
        <v>362</v>
      </c>
      <c r="B737">
        <v>2</v>
      </c>
      <c r="C737">
        <f>'0362 table 2'!E99</f>
        <v>15000000</v>
      </c>
      <c r="D737">
        <f>'0362 table 2'!F99</f>
        <v>360</v>
      </c>
      <c r="E737">
        <f>'0362 table 2'!G99</f>
        <v>514.84</v>
      </c>
      <c r="G737">
        <v>15000000</v>
      </c>
    </row>
    <row r="738" spans="1:7" x14ac:dyDescent="0.35">
      <c r="A738">
        <v>362</v>
      </c>
      <c r="B738">
        <v>2</v>
      </c>
      <c r="C738">
        <f>'0362 table 2'!E100</f>
        <v>14000000</v>
      </c>
      <c r="D738">
        <f>'0362 table 2'!F100</f>
        <v>360</v>
      </c>
      <c r="E738">
        <f>'0362 table 2'!G100</f>
        <v>512.83000000000004</v>
      </c>
      <c r="G738">
        <v>14000000</v>
      </c>
    </row>
    <row r="739" spans="1:7" x14ac:dyDescent="0.35">
      <c r="A739">
        <v>362</v>
      </c>
      <c r="B739">
        <v>2</v>
      </c>
      <c r="C739">
        <f>'0362 table 2'!E101</f>
        <v>13000000</v>
      </c>
      <c r="D739">
        <f>'0362 table 2'!F101</f>
        <v>360</v>
      </c>
      <c r="E739">
        <f>'0362 table 2'!G101</f>
        <v>510.68</v>
      </c>
      <c r="G739">
        <v>13000000</v>
      </c>
    </row>
    <row r="740" spans="1:7" x14ac:dyDescent="0.35">
      <c r="A740">
        <v>362</v>
      </c>
      <c r="B740">
        <v>2</v>
      </c>
      <c r="C740">
        <f>'0362 table 2'!E102</f>
        <v>12000000</v>
      </c>
      <c r="D740">
        <f>'0362 table 2'!F102</f>
        <v>360</v>
      </c>
      <c r="E740">
        <f>'0362 table 2'!G102</f>
        <v>508.52</v>
      </c>
      <c r="G740">
        <v>12000000</v>
      </c>
    </row>
    <row r="741" spans="1:7" x14ac:dyDescent="0.35">
      <c r="A741">
        <v>362</v>
      </c>
      <c r="B741">
        <v>2</v>
      </c>
      <c r="C741">
        <f>'0362 table 2'!E103</f>
        <v>11000000</v>
      </c>
      <c r="D741">
        <f>'0362 table 2'!F103</f>
        <v>360</v>
      </c>
      <c r="E741">
        <f>'0362 table 2'!G103</f>
        <v>506.27</v>
      </c>
      <c r="G741">
        <v>11000000</v>
      </c>
    </row>
    <row r="742" spans="1:7" x14ac:dyDescent="0.35">
      <c r="A742">
        <v>362</v>
      </c>
      <c r="B742">
        <v>2</v>
      </c>
      <c r="C742">
        <f>'0362 table 2'!E104</f>
        <v>10000000</v>
      </c>
      <c r="D742">
        <f>'0362 table 2'!F104</f>
        <v>360</v>
      </c>
      <c r="E742">
        <f>'0362 table 2'!G104</f>
        <v>503.94</v>
      </c>
      <c r="G742">
        <v>10000000</v>
      </c>
    </row>
    <row r="743" spans="1:7" x14ac:dyDescent="0.35">
      <c r="A743">
        <v>362</v>
      </c>
      <c r="B743">
        <v>2</v>
      </c>
      <c r="C743">
        <f>'0362 table 2'!E105</f>
        <v>9000000</v>
      </c>
      <c r="D743">
        <f>'0362 table 2'!F105</f>
        <v>360</v>
      </c>
      <c r="E743">
        <f>'0362 table 2'!G105</f>
        <v>501.46</v>
      </c>
      <c r="G743">
        <v>9000000</v>
      </c>
    </row>
    <row r="744" spans="1:7" x14ac:dyDescent="0.35">
      <c r="A744">
        <v>362</v>
      </c>
      <c r="B744">
        <v>2</v>
      </c>
      <c r="C744">
        <f>'0362 table 2'!E106</f>
        <v>8000000</v>
      </c>
      <c r="D744">
        <f>'0362 table 2'!F106</f>
        <v>360</v>
      </c>
      <c r="E744">
        <f>'0362 table 2'!G106</f>
        <v>498.91</v>
      </c>
      <c r="G744">
        <v>8000000</v>
      </c>
    </row>
    <row r="745" spans="1:7" x14ac:dyDescent="0.35">
      <c r="A745">
        <v>362</v>
      </c>
      <c r="B745">
        <v>2</v>
      </c>
      <c r="C745">
        <f>'0362 table 2'!E107</f>
        <v>7000000</v>
      </c>
      <c r="D745">
        <f>'0362 table 2'!F107</f>
        <v>360</v>
      </c>
      <c r="E745">
        <f>'0362 table 2'!G107</f>
        <v>496.22</v>
      </c>
      <c r="G745">
        <v>7000000</v>
      </c>
    </row>
    <row r="746" spans="1:7" x14ac:dyDescent="0.35">
      <c r="A746">
        <v>362</v>
      </c>
      <c r="B746">
        <v>2</v>
      </c>
      <c r="C746">
        <f>'0362 table 2'!E108</f>
        <v>6000000</v>
      </c>
      <c r="D746">
        <f>'0362 table 2'!F108</f>
        <v>360</v>
      </c>
      <c r="E746">
        <f>'0362 table 2'!G108</f>
        <v>493.36</v>
      </c>
      <c r="G746">
        <v>6000000</v>
      </c>
    </row>
    <row r="747" spans="1:7" x14ac:dyDescent="0.35">
      <c r="A747">
        <v>362</v>
      </c>
      <c r="B747">
        <v>2</v>
      </c>
      <c r="C747">
        <f>'0362 table 2'!E109</f>
        <v>5000000</v>
      </c>
      <c r="D747">
        <f>'0362 table 2'!F109</f>
        <v>360</v>
      </c>
      <c r="E747">
        <f>'0362 table 2'!G109</f>
        <v>490.32</v>
      </c>
      <c r="G747">
        <v>5000000</v>
      </c>
    </row>
    <row r="748" spans="1:7" x14ac:dyDescent="0.35">
      <c r="A748">
        <v>362</v>
      </c>
      <c r="B748">
        <v>2</v>
      </c>
      <c r="C748">
        <f>'0362 table 2'!E110</f>
        <v>17000000</v>
      </c>
      <c r="D748">
        <f>'0362 table 2'!F110</f>
        <v>360</v>
      </c>
      <c r="E748">
        <f>'0362 table 2'!G110</f>
        <v>518.71</v>
      </c>
      <c r="G748">
        <v>17000000</v>
      </c>
    </row>
    <row r="749" spans="1:7" x14ac:dyDescent="0.35">
      <c r="A749">
        <v>362</v>
      </c>
      <c r="B749">
        <v>2</v>
      </c>
      <c r="C749">
        <f>'0362 table 2'!E111</f>
        <v>16000000</v>
      </c>
      <c r="D749">
        <f>'0362 table 2'!F111</f>
        <v>360</v>
      </c>
      <c r="E749">
        <f>'0362 table 2'!G111</f>
        <v>516.79999999999995</v>
      </c>
      <c r="G749">
        <v>16000000</v>
      </c>
    </row>
    <row r="750" spans="1:7" x14ac:dyDescent="0.35">
      <c r="A750">
        <v>362</v>
      </c>
      <c r="B750">
        <v>2</v>
      </c>
      <c r="C750">
        <f>'0362 table 2'!E112</f>
        <v>15000000</v>
      </c>
      <c r="D750">
        <f>'0362 table 2'!F112</f>
        <v>360</v>
      </c>
      <c r="E750">
        <f>'0362 table 2'!G112</f>
        <v>514.84</v>
      </c>
      <c r="G750">
        <v>15000000</v>
      </c>
    </row>
    <row r="751" spans="1:7" x14ac:dyDescent="0.35">
      <c r="A751">
        <v>362</v>
      </c>
      <c r="B751">
        <v>2</v>
      </c>
      <c r="C751">
        <f>'0362 table 2'!E113</f>
        <v>14000000</v>
      </c>
      <c r="D751">
        <f>'0362 table 2'!F113</f>
        <v>360</v>
      </c>
      <c r="E751">
        <f>'0362 table 2'!G113</f>
        <v>512.83000000000004</v>
      </c>
      <c r="G751">
        <v>14000000</v>
      </c>
    </row>
    <row r="752" spans="1:7" x14ac:dyDescent="0.35">
      <c r="A752">
        <v>362</v>
      </c>
      <c r="B752">
        <v>2</v>
      </c>
      <c r="C752">
        <f>'0362 table 2'!E114</f>
        <v>13000000</v>
      </c>
      <c r="D752">
        <f>'0362 table 2'!F114</f>
        <v>360</v>
      </c>
      <c r="E752">
        <f>'0362 table 2'!G114</f>
        <v>510.73</v>
      </c>
      <c r="G752">
        <v>13000000</v>
      </c>
    </row>
    <row r="753" spans="1:7" x14ac:dyDescent="0.35">
      <c r="A753">
        <v>362</v>
      </c>
      <c r="B753">
        <v>2</v>
      </c>
      <c r="C753">
        <f>'0362 table 2'!E115</f>
        <v>12000000</v>
      </c>
      <c r="D753">
        <f>'0362 table 2'!F115</f>
        <v>360</v>
      </c>
      <c r="E753">
        <f>'0362 table 2'!G115</f>
        <v>508.61</v>
      </c>
      <c r="G753">
        <v>12000000</v>
      </c>
    </row>
    <row r="754" spans="1:7" x14ac:dyDescent="0.35">
      <c r="A754">
        <v>362</v>
      </c>
      <c r="B754">
        <v>2</v>
      </c>
      <c r="C754">
        <f>'0362 table 2'!E116</f>
        <v>11000000</v>
      </c>
      <c r="D754">
        <f>'0362 table 2'!F116</f>
        <v>360</v>
      </c>
      <c r="E754">
        <f>'0362 table 2'!G116</f>
        <v>506.28</v>
      </c>
      <c r="G754">
        <v>11000000</v>
      </c>
    </row>
    <row r="755" spans="1:7" x14ac:dyDescent="0.35">
      <c r="A755">
        <v>362</v>
      </c>
      <c r="B755">
        <v>2</v>
      </c>
      <c r="C755">
        <f>'0362 table 2'!E117</f>
        <v>10000000</v>
      </c>
      <c r="D755">
        <f>'0362 table 2'!F117</f>
        <v>360</v>
      </c>
      <c r="E755">
        <f>'0362 table 2'!G117</f>
        <v>503.95</v>
      </c>
      <c r="G755">
        <v>10000000</v>
      </c>
    </row>
    <row r="756" spans="1:7" x14ac:dyDescent="0.35">
      <c r="A756">
        <v>362</v>
      </c>
      <c r="B756">
        <v>2</v>
      </c>
      <c r="C756">
        <f>'0362 table 2'!E118</f>
        <v>9000000</v>
      </c>
      <c r="D756">
        <f>'0362 table 2'!F118</f>
        <v>360</v>
      </c>
      <c r="E756">
        <f>'0362 table 2'!G118</f>
        <v>501.47</v>
      </c>
      <c r="G756">
        <v>9000000</v>
      </c>
    </row>
    <row r="757" spans="1:7" x14ac:dyDescent="0.35">
      <c r="A757">
        <v>362</v>
      </c>
      <c r="B757">
        <v>2</v>
      </c>
      <c r="C757">
        <f>'0362 table 2'!E119</f>
        <v>8000000</v>
      </c>
      <c r="D757">
        <f>'0362 table 2'!F119</f>
        <v>360</v>
      </c>
      <c r="E757">
        <f>'0362 table 2'!G119</f>
        <v>498.92</v>
      </c>
      <c r="G757">
        <v>8000000</v>
      </c>
    </row>
    <row r="758" spans="1:7" x14ac:dyDescent="0.35">
      <c r="A758">
        <v>362</v>
      </c>
      <c r="B758">
        <v>2</v>
      </c>
      <c r="C758">
        <f>'0362 table 2'!E120</f>
        <v>7000000</v>
      </c>
      <c r="D758">
        <f>'0362 table 2'!F120</f>
        <v>360</v>
      </c>
      <c r="E758">
        <f>'0362 table 2'!G120</f>
        <v>496.21</v>
      </c>
      <c r="G758">
        <v>7000000</v>
      </c>
    </row>
    <row r="759" spans="1:7" x14ac:dyDescent="0.35">
      <c r="A759">
        <v>362</v>
      </c>
      <c r="B759">
        <v>2</v>
      </c>
      <c r="C759">
        <f>'0362 table 2'!E121</f>
        <v>6000000</v>
      </c>
      <c r="D759">
        <f>'0362 table 2'!F121</f>
        <v>360</v>
      </c>
      <c r="E759">
        <f>'0362 table 2'!G121</f>
        <v>493.35</v>
      </c>
      <c r="G759">
        <v>6000000</v>
      </c>
    </row>
    <row r="760" spans="1:7" x14ac:dyDescent="0.35">
      <c r="A760">
        <v>362</v>
      </c>
      <c r="B760">
        <v>2</v>
      </c>
      <c r="C760">
        <f>'0362 table 2'!E122</f>
        <v>5000000</v>
      </c>
      <c r="D760">
        <f>'0362 table 2'!F122</f>
        <v>360</v>
      </c>
      <c r="E760">
        <f>'0362 table 2'!G122</f>
        <v>490.34</v>
      </c>
      <c r="G760">
        <v>5000000</v>
      </c>
    </row>
    <row r="761" spans="1:7" x14ac:dyDescent="0.35">
      <c r="A761">
        <v>362</v>
      </c>
      <c r="B761">
        <v>2</v>
      </c>
      <c r="C761">
        <f>'0362 table 2'!E123</f>
        <v>17000000</v>
      </c>
      <c r="D761">
        <f>'0362 table 2'!F123</f>
        <v>370</v>
      </c>
      <c r="E761">
        <f>'0362 table 2'!G123</f>
        <v>498.94</v>
      </c>
      <c r="G761">
        <v>17000000</v>
      </c>
    </row>
    <row r="762" spans="1:7" x14ac:dyDescent="0.35">
      <c r="A762">
        <v>362</v>
      </c>
      <c r="B762">
        <v>2</v>
      </c>
      <c r="C762">
        <f>'0362 table 2'!E124</f>
        <v>16000000</v>
      </c>
      <c r="D762">
        <f>'0362 table 2'!F124</f>
        <v>370</v>
      </c>
      <c r="E762">
        <f>'0362 table 2'!G124</f>
        <v>496.58</v>
      </c>
      <c r="G762">
        <v>16000000</v>
      </c>
    </row>
    <row r="763" spans="1:7" x14ac:dyDescent="0.35">
      <c r="A763">
        <v>362</v>
      </c>
      <c r="B763">
        <v>2</v>
      </c>
      <c r="C763">
        <f>'0362 table 2'!E125</f>
        <v>15000000</v>
      </c>
      <c r="D763">
        <f>'0362 table 2'!F125</f>
        <v>370</v>
      </c>
      <c r="E763">
        <f>'0362 table 2'!G125</f>
        <v>494.18</v>
      </c>
      <c r="G763">
        <v>15000000</v>
      </c>
    </row>
    <row r="764" spans="1:7" x14ac:dyDescent="0.35">
      <c r="A764">
        <v>362</v>
      </c>
      <c r="B764">
        <v>2</v>
      </c>
      <c r="C764">
        <f>'0362 table 2'!E126</f>
        <v>14000000</v>
      </c>
      <c r="D764">
        <f>'0362 table 2'!F126</f>
        <v>370</v>
      </c>
      <c r="E764">
        <f>'0362 table 2'!G126</f>
        <v>491.62</v>
      </c>
      <c r="G764">
        <v>14000000</v>
      </c>
    </row>
    <row r="765" spans="1:7" x14ac:dyDescent="0.35">
      <c r="A765">
        <v>362</v>
      </c>
      <c r="B765">
        <v>2</v>
      </c>
      <c r="C765">
        <f>'0362 table 2'!E127</f>
        <v>13000000</v>
      </c>
      <c r="D765">
        <f>'0362 table 2'!F127</f>
        <v>370</v>
      </c>
      <c r="E765">
        <f>'0362 table 2'!G127</f>
        <v>488.97</v>
      </c>
      <c r="G765">
        <v>13000000</v>
      </c>
    </row>
    <row r="766" spans="1:7" x14ac:dyDescent="0.35">
      <c r="A766">
        <v>362</v>
      </c>
      <c r="B766">
        <v>2</v>
      </c>
      <c r="C766">
        <f>'0362 table 2'!E128</f>
        <v>12000000</v>
      </c>
      <c r="D766">
        <f>'0362 table 2'!F128</f>
        <v>370</v>
      </c>
      <c r="E766">
        <f>'0362 table 2'!G128</f>
        <v>486.18</v>
      </c>
      <c r="G766">
        <v>12000000</v>
      </c>
    </row>
    <row r="767" spans="1:7" x14ac:dyDescent="0.35">
      <c r="A767">
        <v>362</v>
      </c>
      <c r="B767">
        <v>2</v>
      </c>
      <c r="C767">
        <f>'0362 table 2'!E129</f>
        <v>11000000</v>
      </c>
      <c r="D767">
        <f>'0362 table 2'!F129</f>
        <v>370</v>
      </c>
      <c r="E767">
        <f>'0362 table 2'!G129</f>
        <v>483.3</v>
      </c>
      <c r="G767">
        <v>11000000</v>
      </c>
    </row>
    <row r="768" spans="1:7" x14ac:dyDescent="0.35">
      <c r="A768">
        <v>362</v>
      </c>
      <c r="B768">
        <v>2</v>
      </c>
      <c r="C768">
        <f>'0362 table 2'!E130</f>
        <v>10000000</v>
      </c>
      <c r="D768">
        <f>'0362 table 2'!F130</f>
        <v>370</v>
      </c>
      <c r="E768">
        <f>'0362 table 2'!G130</f>
        <v>480.18</v>
      </c>
      <c r="G768">
        <v>10000000</v>
      </c>
    </row>
    <row r="769" spans="1:7" x14ac:dyDescent="0.35">
      <c r="A769">
        <v>362</v>
      </c>
      <c r="B769">
        <v>2</v>
      </c>
      <c r="C769">
        <f>'0362 table 2'!E131</f>
        <v>9000000</v>
      </c>
      <c r="D769">
        <f>'0362 table 2'!F131</f>
        <v>370</v>
      </c>
      <c r="E769">
        <f>'0362 table 2'!G131</f>
        <v>476.9</v>
      </c>
      <c r="G769">
        <v>9000000</v>
      </c>
    </row>
    <row r="770" spans="1:7" x14ac:dyDescent="0.35">
      <c r="A770">
        <v>362</v>
      </c>
      <c r="B770">
        <v>2</v>
      </c>
      <c r="C770">
        <f>'0362 table 2'!E132</f>
        <v>8000000</v>
      </c>
      <c r="D770">
        <f>'0362 table 2'!F132</f>
        <v>370</v>
      </c>
      <c r="E770">
        <f>'0362 table 2'!G132</f>
        <v>473.37</v>
      </c>
      <c r="G770">
        <v>8000000</v>
      </c>
    </row>
    <row r="771" spans="1:7" x14ac:dyDescent="0.35">
      <c r="A771">
        <v>362</v>
      </c>
      <c r="B771">
        <v>2</v>
      </c>
      <c r="C771">
        <f>'0362 table 2'!E133</f>
        <v>7000000</v>
      </c>
      <c r="D771">
        <f>'0362 table 2'!F133</f>
        <v>370</v>
      </c>
      <c r="E771">
        <f>'0362 table 2'!G133</f>
        <v>469.55</v>
      </c>
      <c r="G771">
        <v>7000000</v>
      </c>
    </row>
    <row r="772" spans="1:7" x14ac:dyDescent="0.35">
      <c r="A772">
        <v>362</v>
      </c>
      <c r="B772">
        <v>2</v>
      </c>
      <c r="C772">
        <f>'0362 table 2'!E134</f>
        <v>6000000</v>
      </c>
      <c r="D772">
        <f>'0362 table 2'!F134</f>
        <v>370</v>
      </c>
      <c r="E772">
        <f>'0362 table 2'!G134</f>
        <v>465.43</v>
      </c>
      <c r="G772">
        <v>6000000</v>
      </c>
    </row>
    <row r="773" spans="1:7" x14ac:dyDescent="0.35">
      <c r="A773">
        <v>362</v>
      </c>
      <c r="B773">
        <v>2</v>
      </c>
      <c r="C773">
        <f>'0362 table 2'!E135</f>
        <v>17000000</v>
      </c>
      <c r="D773">
        <f>'0362 table 2'!F135</f>
        <v>370</v>
      </c>
      <c r="E773">
        <f>'0362 table 2'!G135</f>
        <v>498.93</v>
      </c>
      <c r="G773">
        <v>17000000</v>
      </c>
    </row>
    <row r="774" spans="1:7" x14ac:dyDescent="0.35">
      <c r="A774">
        <v>362</v>
      </c>
      <c r="B774">
        <v>2</v>
      </c>
      <c r="C774">
        <f>'0362 table 2'!E136</f>
        <v>16000000</v>
      </c>
      <c r="D774">
        <f>'0362 table 2'!F136</f>
        <v>370</v>
      </c>
      <c r="E774">
        <f>'0362 table 2'!G136</f>
        <v>496.59</v>
      </c>
      <c r="G774">
        <v>16000000</v>
      </c>
    </row>
    <row r="775" spans="1:7" x14ac:dyDescent="0.35">
      <c r="A775">
        <v>362</v>
      </c>
      <c r="B775">
        <v>2</v>
      </c>
      <c r="C775">
        <f>'0362 table 2'!E137</f>
        <v>15000000</v>
      </c>
      <c r="D775">
        <f>'0362 table 2'!F137</f>
        <v>370</v>
      </c>
      <c r="E775">
        <f>'0362 table 2'!G137</f>
        <v>494.17</v>
      </c>
      <c r="G775">
        <v>15000000</v>
      </c>
    </row>
    <row r="776" spans="1:7" x14ac:dyDescent="0.35">
      <c r="A776">
        <v>362</v>
      </c>
      <c r="B776">
        <v>2</v>
      </c>
      <c r="C776">
        <f>'0362 table 2'!E138</f>
        <v>14000000</v>
      </c>
      <c r="D776">
        <f>'0362 table 2'!F138</f>
        <v>370</v>
      </c>
      <c r="E776">
        <f>'0362 table 2'!G138</f>
        <v>491.66</v>
      </c>
      <c r="G776">
        <v>14000000</v>
      </c>
    </row>
    <row r="777" spans="1:7" x14ac:dyDescent="0.35">
      <c r="A777">
        <v>362</v>
      </c>
      <c r="B777">
        <v>2</v>
      </c>
      <c r="C777">
        <f>'0362 table 2'!E139</f>
        <v>13000000</v>
      </c>
      <c r="D777">
        <f>'0362 table 2'!F139</f>
        <v>370</v>
      </c>
      <c r="E777">
        <f>'0362 table 2'!G139</f>
        <v>488.97</v>
      </c>
      <c r="G777">
        <v>13000000</v>
      </c>
    </row>
    <row r="778" spans="1:7" x14ac:dyDescent="0.35">
      <c r="A778">
        <v>362</v>
      </c>
      <c r="B778">
        <v>2</v>
      </c>
      <c r="C778">
        <f>'0362 table 2'!E140</f>
        <v>12000000</v>
      </c>
      <c r="D778">
        <f>'0362 table 2'!F140</f>
        <v>370</v>
      </c>
      <c r="E778">
        <f>'0362 table 2'!G140</f>
        <v>486.21</v>
      </c>
      <c r="G778">
        <v>12000000</v>
      </c>
    </row>
    <row r="779" spans="1:7" x14ac:dyDescent="0.35">
      <c r="A779">
        <v>362</v>
      </c>
      <c r="B779">
        <v>2</v>
      </c>
      <c r="C779">
        <f>'0362 table 2'!E141</f>
        <v>11000000</v>
      </c>
      <c r="D779">
        <f>'0362 table 2'!F141</f>
        <v>370</v>
      </c>
      <c r="E779">
        <f>'0362 table 2'!G141</f>
        <v>483.27</v>
      </c>
      <c r="G779">
        <v>11000000</v>
      </c>
    </row>
    <row r="780" spans="1:7" x14ac:dyDescent="0.35">
      <c r="A780">
        <v>362</v>
      </c>
      <c r="B780">
        <v>2</v>
      </c>
      <c r="C780">
        <f>'0362 table 2'!E142</f>
        <v>10000000</v>
      </c>
      <c r="D780">
        <f>'0362 table 2'!F142</f>
        <v>370</v>
      </c>
      <c r="E780">
        <f>'0362 table 2'!G142</f>
        <v>480.16</v>
      </c>
      <c r="G780">
        <v>10000000</v>
      </c>
    </row>
    <row r="781" spans="1:7" x14ac:dyDescent="0.35">
      <c r="A781">
        <v>362</v>
      </c>
      <c r="B781">
        <v>2</v>
      </c>
      <c r="C781">
        <f>'0362 table 2'!E143</f>
        <v>9000000</v>
      </c>
      <c r="D781">
        <f>'0362 table 2'!F143</f>
        <v>370</v>
      </c>
      <c r="E781">
        <f>'0362 table 2'!G143</f>
        <v>476.85</v>
      </c>
      <c r="G781">
        <v>9000000</v>
      </c>
    </row>
    <row r="782" spans="1:7" x14ac:dyDescent="0.35">
      <c r="A782">
        <v>362</v>
      </c>
      <c r="B782">
        <v>2</v>
      </c>
      <c r="C782">
        <f>'0362 table 2'!E144</f>
        <v>8000000</v>
      </c>
      <c r="D782">
        <f>'0362 table 2'!F144</f>
        <v>370</v>
      </c>
      <c r="E782">
        <f>'0362 table 2'!G144</f>
        <v>473.29</v>
      </c>
      <c r="G782">
        <v>8000000</v>
      </c>
    </row>
    <row r="783" spans="1:7" x14ac:dyDescent="0.35">
      <c r="A783">
        <v>362</v>
      </c>
      <c r="B783">
        <v>2</v>
      </c>
      <c r="C783">
        <f>'0362 table 2'!E145</f>
        <v>7000000</v>
      </c>
      <c r="D783">
        <f>'0362 table 2'!F145</f>
        <v>370</v>
      </c>
      <c r="E783">
        <f>'0362 table 2'!G145</f>
        <v>469.51</v>
      </c>
      <c r="G783">
        <v>7000000</v>
      </c>
    </row>
    <row r="784" spans="1:7" x14ac:dyDescent="0.35">
      <c r="A784">
        <v>362</v>
      </c>
      <c r="B784">
        <v>2</v>
      </c>
      <c r="C784">
        <f>'0362 table 2'!E146</f>
        <v>6000000</v>
      </c>
      <c r="D784">
        <f>'0362 table 2'!F146</f>
        <v>370</v>
      </c>
      <c r="E784">
        <f>'0362 table 2'!G146</f>
        <v>465.42</v>
      </c>
      <c r="G784">
        <v>6000000</v>
      </c>
    </row>
    <row r="785" spans="1:7" x14ac:dyDescent="0.35">
      <c r="A785">
        <v>362</v>
      </c>
      <c r="B785">
        <v>2</v>
      </c>
      <c r="C785">
        <f>'0362 table 2'!E147</f>
        <v>17000000</v>
      </c>
      <c r="D785">
        <f>'0362 table 2'!F147</f>
        <v>380</v>
      </c>
      <c r="E785">
        <f>'0362 table 2'!G147</f>
        <v>477.07</v>
      </c>
      <c r="G785">
        <v>17000000</v>
      </c>
    </row>
    <row r="786" spans="1:7" x14ac:dyDescent="0.35">
      <c r="A786">
        <v>362</v>
      </c>
      <c r="B786">
        <v>2</v>
      </c>
      <c r="C786">
        <f>'0362 table 2'!E148</f>
        <v>16000000</v>
      </c>
      <c r="D786">
        <f>'0362 table 2'!F148</f>
        <v>380</v>
      </c>
      <c r="E786">
        <f>'0362 table 2'!G148</f>
        <v>474.1</v>
      </c>
      <c r="G786">
        <v>16000000</v>
      </c>
    </row>
    <row r="787" spans="1:7" x14ac:dyDescent="0.35">
      <c r="A787">
        <v>362</v>
      </c>
      <c r="B787">
        <v>2</v>
      </c>
      <c r="C787">
        <f>'0362 table 2'!E149</f>
        <v>15000000</v>
      </c>
      <c r="D787">
        <f>'0362 table 2'!F149</f>
        <v>380</v>
      </c>
      <c r="E787">
        <f>'0362 table 2'!G149</f>
        <v>470.95</v>
      </c>
      <c r="G787">
        <v>15000000</v>
      </c>
    </row>
    <row r="788" spans="1:7" x14ac:dyDescent="0.35">
      <c r="A788">
        <v>362</v>
      </c>
      <c r="B788">
        <v>2</v>
      </c>
      <c r="C788">
        <f>'0362 table 2'!E150</f>
        <v>14000000</v>
      </c>
      <c r="D788">
        <f>'0362 table 2'!F150</f>
        <v>380</v>
      </c>
      <c r="E788">
        <f>'0362 table 2'!G150</f>
        <v>467.59</v>
      </c>
      <c r="G788">
        <v>14000000</v>
      </c>
    </row>
    <row r="789" spans="1:7" x14ac:dyDescent="0.35">
      <c r="A789">
        <v>362</v>
      </c>
      <c r="B789">
        <v>2</v>
      </c>
      <c r="C789">
        <f>'0362 table 2'!E151</f>
        <v>13000000</v>
      </c>
      <c r="D789">
        <f>'0362 table 2'!F151</f>
        <v>380</v>
      </c>
      <c r="E789">
        <f>'0362 table 2'!G151</f>
        <v>464.09</v>
      </c>
      <c r="G789">
        <v>13000000</v>
      </c>
    </row>
    <row r="790" spans="1:7" x14ac:dyDescent="0.35">
      <c r="A790">
        <v>362</v>
      </c>
      <c r="B790">
        <v>2</v>
      </c>
      <c r="C790">
        <f>'0362 table 2'!E152</f>
        <v>12000000</v>
      </c>
      <c r="D790">
        <f>'0362 table 2'!F152</f>
        <v>380</v>
      </c>
      <c r="E790">
        <f>'0362 table 2'!G152</f>
        <v>460.3</v>
      </c>
      <c r="G790">
        <v>12000000</v>
      </c>
    </row>
    <row r="791" spans="1:7" x14ac:dyDescent="0.35">
      <c r="A791">
        <v>362</v>
      </c>
      <c r="B791">
        <v>2</v>
      </c>
      <c r="C791">
        <f>'0362 table 2'!E153</f>
        <v>11000000</v>
      </c>
      <c r="D791">
        <f>'0362 table 2'!F153</f>
        <v>380</v>
      </c>
      <c r="E791">
        <f>'0362 table 2'!G153</f>
        <v>456.2</v>
      </c>
      <c r="G791">
        <v>11000000</v>
      </c>
    </row>
    <row r="792" spans="1:7" x14ac:dyDescent="0.35">
      <c r="A792">
        <v>362</v>
      </c>
      <c r="B792">
        <v>2</v>
      </c>
      <c r="C792">
        <f>'0362 table 2'!E154</f>
        <v>10000000</v>
      </c>
      <c r="D792">
        <f>'0362 table 2'!F154</f>
        <v>380</v>
      </c>
      <c r="E792">
        <f>'0362 table 2'!G154</f>
        <v>451.74</v>
      </c>
      <c r="G792">
        <v>10000000</v>
      </c>
    </row>
    <row r="793" spans="1:7" x14ac:dyDescent="0.35">
      <c r="A793">
        <v>362</v>
      </c>
      <c r="B793">
        <v>2</v>
      </c>
      <c r="C793">
        <f>'0362 table 2'!E155</f>
        <v>9000000</v>
      </c>
      <c r="D793">
        <f>'0362 table 2'!F155</f>
        <v>380</v>
      </c>
      <c r="E793">
        <f>'0362 table 2'!G155</f>
        <v>446.86</v>
      </c>
      <c r="G793">
        <v>9000000</v>
      </c>
    </row>
    <row r="794" spans="1:7" x14ac:dyDescent="0.35">
      <c r="A794">
        <v>362</v>
      </c>
      <c r="B794">
        <v>2</v>
      </c>
      <c r="C794">
        <f>'0362 table 2'!E156</f>
        <v>8000000</v>
      </c>
      <c r="D794">
        <f>'0362 table 2'!F156</f>
        <v>380</v>
      </c>
      <c r="E794">
        <f>'0362 table 2'!G156</f>
        <v>441.37</v>
      </c>
      <c r="G794">
        <v>8000000</v>
      </c>
    </row>
    <row r="795" spans="1:7" x14ac:dyDescent="0.35">
      <c r="A795">
        <v>362</v>
      </c>
      <c r="B795">
        <v>2</v>
      </c>
      <c r="C795">
        <f>'0362 table 2'!E157</f>
        <v>17000000</v>
      </c>
      <c r="D795">
        <f>'0362 table 2'!F157</f>
        <v>380</v>
      </c>
      <c r="E795">
        <f>'0362 table 2'!G157</f>
        <v>477.05</v>
      </c>
      <c r="G795">
        <v>17000000</v>
      </c>
    </row>
    <row r="796" spans="1:7" x14ac:dyDescent="0.35">
      <c r="A796">
        <v>362</v>
      </c>
      <c r="B796">
        <v>2</v>
      </c>
      <c r="C796">
        <f>'0362 table 2'!E158</f>
        <v>16000000</v>
      </c>
      <c r="D796">
        <f>'0362 table 2'!F158</f>
        <v>380</v>
      </c>
      <c r="E796">
        <f>'0362 table 2'!G158</f>
        <v>474.09</v>
      </c>
      <c r="G796">
        <v>16000000</v>
      </c>
    </row>
    <row r="797" spans="1:7" x14ac:dyDescent="0.35">
      <c r="A797">
        <v>362</v>
      </c>
      <c r="B797">
        <v>2</v>
      </c>
      <c r="C797">
        <f>'0362 table 2'!E159</f>
        <v>15000000</v>
      </c>
      <c r="D797">
        <f>'0362 table 2'!F159</f>
        <v>380</v>
      </c>
      <c r="E797">
        <f>'0362 table 2'!G159</f>
        <v>470.91</v>
      </c>
      <c r="G797">
        <v>15000000</v>
      </c>
    </row>
    <row r="798" spans="1:7" x14ac:dyDescent="0.35">
      <c r="A798">
        <v>362</v>
      </c>
      <c r="B798">
        <v>2</v>
      </c>
      <c r="C798">
        <f>'0362 table 2'!E160</f>
        <v>14000000</v>
      </c>
      <c r="D798">
        <f>'0362 table 2'!F160</f>
        <v>380</v>
      </c>
      <c r="E798">
        <f>'0362 table 2'!G160</f>
        <v>467.61</v>
      </c>
      <c r="G798">
        <v>14000000</v>
      </c>
    </row>
    <row r="799" spans="1:7" x14ac:dyDescent="0.35">
      <c r="A799">
        <v>362</v>
      </c>
      <c r="B799">
        <v>2</v>
      </c>
      <c r="C799">
        <f>'0362 table 2'!E161</f>
        <v>13000000</v>
      </c>
      <c r="D799">
        <f>'0362 table 2'!F161</f>
        <v>380</v>
      </c>
      <c r="E799">
        <f>'0362 table 2'!G161</f>
        <v>464.04</v>
      </c>
      <c r="G799">
        <v>13000000</v>
      </c>
    </row>
    <row r="800" spans="1:7" x14ac:dyDescent="0.35">
      <c r="A800">
        <v>362</v>
      </c>
      <c r="B800">
        <v>2</v>
      </c>
      <c r="C800">
        <f>'0362 table 2'!E162</f>
        <v>12000000</v>
      </c>
      <c r="D800">
        <f>'0362 table 2'!F162</f>
        <v>380</v>
      </c>
      <c r="E800">
        <f>'0362 table 2'!G162</f>
        <v>460.26</v>
      </c>
      <c r="G800">
        <v>12000000</v>
      </c>
    </row>
    <row r="801" spans="1:7" x14ac:dyDescent="0.35">
      <c r="A801">
        <v>362</v>
      </c>
      <c r="B801">
        <v>2</v>
      </c>
      <c r="C801">
        <f>'0362 table 2'!E163</f>
        <v>11000000</v>
      </c>
      <c r="D801">
        <f>'0362 table 2'!F163</f>
        <v>380</v>
      </c>
      <c r="E801">
        <f>'0362 table 2'!G163</f>
        <v>456.21</v>
      </c>
      <c r="G801">
        <v>1000000</v>
      </c>
    </row>
    <row r="802" spans="1:7" x14ac:dyDescent="0.35">
      <c r="A802">
        <v>362</v>
      </c>
      <c r="B802">
        <v>2</v>
      </c>
      <c r="C802">
        <f>'0362 table 2'!E164</f>
        <v>10000000</v>
      </c>
      <c r="D802">
        <f>'0362 table 2'!F164</f>
        <v>380</v>
      </c>
      <c r="E802">
        <f>'0362 table 2'!G164</f>
        <v>451.76</v>
      </c>
      <c r="G802">
        <v>10000000</v>
      </c>
    </row>
    <row r="803" spans="1:7" x14ac:dyDescent="0.35">
      <c r="A803">
        <v>362</v>
      </c>
      <c r="B803">
        <v>2</v>
      </c>
      <c r="C803">
        <f>'0362 table 2'!E165</f>
        <v>9500000</v>
      </c>
      <c r="D803">
        <f>'0362 table 2'!F165</f>
        <v>380</v>
      </c>
      <c r="E803">
        <f>'0362 table 2'!G165</f>
        <v>449.38</v>
      </c>
      <c r="G803">
        <v>9500000</v>
      </c>
    </row>
    <row r="804" spans="1:7" x14ac:dyDescent="0.35">
      <c r="A804">
        <v>362</v>
      </c>
      <c r="B804">
        <v>2</v>
      </c>
      <c r="C804">
        <f>'0362 table 2'!E166</f>
        <v>9000000</v>
      </c>
      <c r="D804">
        <f>'0362 table 2'!F166</f>
        <v>380</v>
      </c>
      <c r="E804">
        <f>'0362 table 2'!G166</f>
        <v>446.83</v>
      </c>
      <c r="G804">
        <v>9000000</v>
      </c>
    </row>
    <row r="805" spans="1:7" x14ac:dyDescent="0.35">
      <c r="A805">
        <v>362</v>
      </c>
      <c r="B805">
        <v>2</v>
      </c>
      <c r="C805">
        <f>'0362 table 2'!E167</f>
        <v>8500000</v>
      </c>
      <c r="D805">
        <f>'0362 table 2'!F167</f>
        <v>380</v>
      </c>
      <c r="E805">
        <f>'0362 table 2'!G167</f>
        <v>444.1</v>
      </c>
      <c r="G805">
        <v>8500000</v>
      </c>
    </row>
    <row r="806" spans="1:7" x14ac:dyDescent="0.35">
      <c r="A806">
        <v>362</v>
      </c>
      <c r="B806">
        <v>2</v>
      </c>
      <c r="C806">
        <f>'0362 table 2'!E168</f>
        <v>8000000</v>
      </c>
      <c r="D806">
        <f>'0362 table 2'!F168</f>
        <v>380</v>
      </c>
      <c r="E806">
        <f>'0362 table 2'!G168</f>
        <v>441.24</v>
      </c>
      <c r="G806">
        <v>8000000</v>
      </c>
    </row>
    <row r="807" spans="1:7" x14ac:dyDescent="0.35">
      <c r="A807">
        <v>362</v>
      </c>
      <c r="B807">
        <v>2</v>
      </c>
      <c r="C807">
        <f>'0362 table 2'!E169</f>
        <v>7500000</v>
      </c>
      <c r="D807">
        <f>'0362 table 2'!F169</f>
        <v>380</v>
      </c>
      <c r="E807">
        <f>'0362 table 2'!G169</f>
        <v>438.18</v>
      </c>
      <c r="G807">
        <v>7500000</v>
      </c>
    </row>
    <row r="808" spans="1:7" x14ac:dyDescent="0.35">
      <c r="A808">
        <v>362</v>
      </c>
      <c r="B808">
        <v>2</v>
      </c>
      <c r="C808">
        <f>'0362 table 2'!E170</f>
        <v>7200000</v>
      </c>
      <c r="D808">
        <f>'0362 table 2'!F170</f>
        <v>380</v>
      </c>
      <c r="E808">
        <f>'0362 table 2'!G170</f>
        <v>436.23</v>
      </c>
      <c r="G808">
        <v>7200000</v>
      </c>
    </row>
    <row r="809" spans="1:7" x14ac:dyDescent="0.35">
      <c r="A809">
        <v>362</v>
      </c>
      <c r="B809">
        <v>2</v>
      </c>
      <c r="C809">
        <f>'0362 table 2'!E171</f>
        <v>17000000</v>
      </c>
      <c r="D809">
        <f>'0362 table 2'!F171</f>
        <v>390</v>
      </c>
      <c r="E809">
        <f>'0362 table 2'!G171</f>
        <v>452.35</v>
      </c>
      <c r="G809">
        <v>17000000</v>
      </c>
    </row>
    <row r="810" spans="1:7" x14ac:dyDescent="0.35">
      <c r="A810">
        <v>362</v>
      </c>
      <c r="B810">
        <v>2</v>
      </c>
      <c r="C810">
        <f>'0362 table 2'!E172</f>
        <v>16000000</v>
      </c>
      <c r="D810">
        <f>'0362 table 2'!F172</f>
        <v>390</v>
      </c>
      <c r="E810">
        <f>'0362 table 2'!G172</f>
        <v>448.4</v>
      </c>
      <c r="G810">
        <v>16000000</v>
      </c>
    </row>
    <row r="811" spans="1:7" x14ac:dyDescent="0.35">
      <c r="A811">
        <v>362</v>
      </c>
      <c r="B811">
        <v>2</v>
      </c>
      <c r="C811">
        <f>'0362 table 2'!E173</f>
        <v>15000000</v>
      </c>
      <c r="D811">
        <f>'0362 table 2'!F173</f>
        <v>390</v>
      </c>
      <c r="E811">
        <f>'0362 table 2'!G173</f>
        <v>444.1</v>
      </c>
      <c r="G811">
        <v>15000000</v>
      </c>
    </row>
    <row r="812" spans="1:7" x14ac:dyDescent="0.35">
      <c r="A812">
        <v>362</v>
      </c>
      <c r="B812">
        <v>2</v>
      </c>
      <c r="C812">
        <f>'0362 table 2'!E174</f>
        <v>14000000</v>
      </c>
      <c r="D812">
        <f>'0362 table 2'!F174</f>
        <v>390</v>
      </c>
      <c r="E812">
        <f>'0362 table 2'!G174</f>
        <v>439.45</v>
      </c>
      <c r="G812">
        <v>14000000</v>
      </c>
    </row>
    <row r="813" spans="1:7" x14ac:dyDescent="0.35">
      <c r="A813">
        <v>362</v>
      </c>
      <c r="B813">
        <v>2</v>
      </c>
      <c r="C813">
        <f>'0362 table 2'!E175</f>
        <v>13000000</v>
      </c>
      <c r="D813">
        <f>'0362 table 2'!F175</f>
        <v>390</v>
      </c>
      <c r="E813">
        <f>'0362 table 2'!G175</f>
        <v>434.3</v>
      </c>
      <c r="G813">
        <v>13000000</v>
      </c>
    </row>
    <row r="814" spans="1:7" x14ac:dyDescent="0.35">
      <c r="A814">
        <v>362</v>
      </c>
      <c r="B814">
        <v>2</v>
      </c>
      <c r="C814">
        <f>'0362 table 2'!E176</f>
        <v>12000000</v>
      </c>
      <c r="D814">
        <f>'0362 table 2'!F176</f>
        <v>390</v>
      </c>
      <c r="E814">
        <f>'0362 table 2'!G176</f>
        <v>428.54</v>
      </c>
      <c r="G814">
        <v>12000000</v>
      </c>
    </row>
    <row r="815" spans="1:7" x14ac:dyDescent="0.35">
      <c r="A815">
        <v>362</v>
      </c>
      <c r="B815">
        <v>2</v>
      </c>
      <c r="C815">
        <f>'0362 table 2'!E177</f>
        <v>11000000</v>
      </c>
      <c r="D815">
        <f>'0362 table 2'!F177</f>
        <v>390</v>
      </c>
      <c r="E815">
        <f>'0362 table 2'!G177</f>
        <v>421.93</v>
      </c>
      <c r="G815">
        <v>11000000</v>
      </c>
    </row>
    <row r="816" spans="1:7" x14ac:dyDescent="0.35">
      <c r="A816">
        <v>362</v>
      </c>
      <c r="B816">
        <v>2</v>
      </c>
      <c r="C816">
        <f>'0362 table 2'!E178</f>
        <v>10000000</v>
      </c>
      <c r="D816">
        <f>'0362 table 2'!F178</f>
        <v>390</v>
      </c>
      <c r="E816">
        <f>'0362 table 2'!G178</f>
        <v>414.06</v>
      </c>
      <c r="G816">
        <v>10000000</v>
      </c>
    </row>
    <row r="817" spans="1:7" x14ac:dyDescent="0.35">
      <c r="A817">
        <v>362</v>
      </c>
      <c r="B817">
        <v>2</v>
      </c>
      <c r="C817">
        <f>'0362 table 2'!E179</f>
        <v>9000000</v>
      </c>
      <c r="D817">
        <f>'0362 table 2'!F179</f>
        <v>390</v>
      </c>
      <c r="E817">
        <f>'0362 table 2'!G179</f>
        <v>404.32</v>
      </c>
      <c r="G817">
        <v>9000000</v>
      </c>
    </row>
    <row r="818" spans="1:7" x14ac:dyDescent="0.35">
      <c r="A818">
        <v>362</v>
      </c>
      <c r="B818">
        <v>2</v>
      </c>
      <c r="C818">
        <f>'0362 table 2'!E180</f>
        <v>17000000</v>
      </c>
      <c r="D818">
        <f>'0362 table 2'!F180</f>
        <v>390</v>
      </c>
      <c r="E818">
        <f>'0362 table 2'!G180</f>
        <v>452.26</v>
      </c>
      <c r="G818">
        <v>17000000</v>
      </c>
    </row>
    <row r="819" spans="1:7" x14ac:dyDescent="0.35">
      <c r="A819">
        <v>362</v>
      </c>
      <c r="B819">
        <v>2</v>
      </c>
      <c r="C819">
        <f>'0362 table 2'!E181</f>
        <v>16000000</v>
      </c>
      <c r="D819">
        <f>'0362 table 2'!F181</f>
        <v>390</v>
      </c>
      <c r="E819">
        <f>'0362 table 2'!G181</f>
        <v>448.27</v>
      </c>
      <c r="G819">
        <v>16000000</v>
      </c>
    </row>
    <row r="820" spans="1:7" x14ac:dyDescent="0.35">
      <c r="A820">
        <v>362</v>
      </c>
      <c r="B820">
        <v>2</v>
      </c>
      <c r="C820">
        <f>'0362 table 2'!E182</f>
        <v>15000000</v>
      </c>
      <c r="D820">
        <f>'0362 table 2'!F182</f>
        <v>390</v>
      </c>
      <c r="E820">
        <f>'0362 table 2'!G182</f>
        <v>443.99</v>
      </c>
      <c r="G820">
        <v>15000000</v>
      </c>
    </row>
    <row r="821" spans="1:7" x14ac:dyDescent="0.35">
      <c r="A821">
        <v>362</v>
      </c>
      <c r="B821">
        <v>2</v>
      </c>
      <c r="C821">
        <f>'0362 table 2'!E183</f>
        <v>14000000</v>
      </c>
      <c r="D821">
        <f>'0362 table 2'!F183</f>
        <v>390</v>
      </c>
      <c r="E821">
        <f>'0362 table 2'!G183</f>
        <v>439.29</v>
      </c>
      <c r="G821">
        <v>14000000</v>
      </c>
    </row>
    <row r="822" spans="1:7" x14ac:dyDescent="0.35">
      <c r="A822">
        <v>362</v>
      </c>
      <c r="B822">
        <v>2</v>
      </c>
      <c r="C822">
        <f>'0362 table 2'!E184</f>
        <v>13000000</v>
      </c>
      <c r="D822">
        <f>'0362 table 2'!F184</f>
        <v>390</v>
      </c>
      <c r="E822">
        <f>'0362 table 2'!G184</f>
        <v>434.16</v>
      </c>
      <c r="G822">
        <v>13000000</v>
      </c>
    </row>
    <row r="823" spans="1:7" x14ac:dyDescent="0.35">
      <c r="A823">
        <v>362</v>
      </c>
      <c r="B823">
        <v>2</v>
      </c>
      <c r="C823">
        <f>'0362 table 2'!E185</f>
        <v>12000000</v>
      </c>
      <c r="D823">
        <f>'0362 table 2'!F185</f>
        <v>390</v>
      </c>
      <c r="E823">
        <f>'0362 table 2'!G185</f>
        <v>428.41</v>
      </c>
      <c r="G823">
        <v>12000000</v>
      </c>
    </row>
    <row r="824" spans="1:7" x14ac:dyDescent="0.35">
      <c r="A824">
        <v>362</v>
      </c>
      <c r="B824">
        <v>2</v>
      </c>
      <c r="C824">
        <f>'0362 table 2'!E186</f>
        <v>11000000</v>
      </c>
      <c r="D824">
        <f>'0362 table 2'!F186</f>
        <v>390</v>
      </c>
      <c r="E824">
        <f>'0362 table 2'!G186</f>
        <v>421.77</v>
      </c>
      <c r="G824">
        <v>11000000</v>
      </c>
    </row>
    <row r="825" spans="1:7" x14ac:dyDescent="0.35">
      <c r="A825">
        <v>362</v>
      </c>
      <c r="B825">
        <v>2</v>
      </c>
      <c r="C825">
        <f>'0362 table 2'!E187</f>
        <v>10500000</v>
      </c>
      <c r="D825">
        <f>'0362 table 2'!F187</f>
        <v>390</v>
      </c>
      <c r="E825">
        <f>'0362 table 2'!G187</f>
        <v>418.04</v>
      </c>
      <c r="G825">
        <v>10500000</v>
      </c>
    </row>
    <row r="826" spans="1:7" x14ac:dyDescent="0.35">
      <c r="A826">
        <v>362</v>
      </c>
      <c r="B826">
        <v>2</v>
      </c>
      <c r="C826">
        <f>'0362 table 2'!E188</f>
        <v>10000000</v>
      </c>
      <c r="D826">
        <f>'0362 table 2'!F188</f>
        <v>390</v>
      </c>
      <c r="E826">
        <f>'0362 table 2'!G188</f>
        <v>413.92</v>
      </c>
      <c r="G826">
        <v>10000000</v>
      </c>
    </row>
    <row r="827" spans="1:7" x14ac:dyDescent="0.35">
      <c r="A827">
        <v>362</v>
      </c>
      <c r="B827">
        <v>2</v>
      </c>
      <c r="C827">
        <f>'0362 table 2'!E189</f>
        <v>9500000</v>
      </c>
      <c r="D827">
        <f>'0362 table 2'!F189</f>
        <v>390</v>
      </c>
      <c r="E827">
        <f>'0362 table 2'!G189</f>
        <v>409.36</v>
      </c>
      <c r="G827">
        <v>9500000</v>
      </c>
    </row>
    <row r="828" spans="1:7" x14ac:dyDescent="0.35">
      <c r="A828">
        <v>362</v>
      </c>
      <c r="B828">
        <v>2</v>
      </c>
      <c r="C828">
        <f>'0362 table 2'!E190</f>
        <v>9000000</v>
      </c>
      <c r="D828">
        <f>'0362 table 2'!F190</f>
        <v>390</v>
      </c>
      <c r="E828">
        <f>'0362 table 2'!G190</f>
        <v>404.17</v>
      </c>
      <c r="G828">
        <v>9000000</v>
      </c>
    </row>
    <row r="829" spans="1:7" x14ac:dyDescent="0.35">
      <c r="A829">
        <v>362</v>
      </c>
      <c r="B829">
        <v>2</v>
      </c>
      <c r="C829">
        <f>'0362 table 2'!E191</f>
        <v>8800000</v>
      </c>
      <c r="D829">
        <f>'0362 table 2'!F191</f>
        <v>390</v>
      </c>
      <c r="E829">
        <f>'0362 table 2'!G191</f>
        <v>401.82</v>
      </c>
      <c r="G829">
        <v>8800000</v>
      </c>
    </row>
    <row r="830" spans="1:7" x14ac:dyDescent="0.35">
      <c r="A830">
        <v>362</v>
      </c>
      <c r="B830">
        <v>2</v>
      </c>
      <c r="C830">
        <f>'0362 table 2'!E192</f>
        <v>17000000</v>
      </c>
      <c r="D830">
        <f>'0362 table 2'!F192</f>
        <v>400</v>
      </c>
      <c r="E830">
        <f>'0362 table 2'!G192</f>
        <v>422.98</v>
      </c>
      <c r="G830">
        <v>17000000</v>
      </c>
    </row>
    <row r="831" spans="1:7" x14ac:dyDescent="0.35">
      <c r="A831">
        <v>362</v>
      </c>
      <c r="B831">
        <v>2</v>
      </c>
      <c r="C831">
        <f>'0362 table 2'!E193</f>
        <v>16000000</v>
      </c>
      <c r="D831">
        <f>'0362 table 2'!F193</f>
        <v>400</v>
      </c>
      <c r="E831">
        <f>'0362 table 2'!G193</f>
        <v>417.21</v>
      </c>
      <c r="G831">
        <v>16000000</v>
      </c>
    </row>
    <row r="832" spans="1:7" x14ac:dyDescent="0.35">
      <c r="A832">
        <v>362</v>
      </c>
      <c r="B832">
        <v>2</v>
      </c>
      <c r="C832">
        <f>'0362 table 2'!E194</f>
        <v>15000000</v>
      </c>
      <c r="D832">
        <f>'0362 table 2'!F194</f>
        <v>400</v>
      </c>
      <c r="E832">
        <f>'0362 table 2'!G194</f>
        <v>410.62</v>
      </c>
      <c r="G832">
        <v>15000000</v>
      </c>
    </row>
    <row r="833" spans="1:7" x14ac:dyDescent="0.35">
      <c r="A833">
        <v>362</v>
      </c>
      <c r="B833">
        <v>2</v>
      </c>
      <c r="C833">
        <f>'0362 table 2'!E195</f>
        <v>14000000</v>
      </c>
      <c r="D833">
        <f>'0362 table 2'!F195</f>
        <v>400</v>
      </c>
      <c r="E833">
        <f>'0362 table 2'!G195</f>
        <v>403.1</v>
      </c>
      <c r="G833">
        <v>14000000</v>
      </c>
    </row>
    <row r="834" spans="1:7" x14ac:dyDescent="0.35">
      <c r="A834">
        <v>362</v>
      </c>
      <c r="B834">
        <v>2</v>
      </c>
      <c r="C834">
        <f>'0362 table 2'!E196</f>
        <v>13000000</v>
      </c>
      <c r="D834">
        <f>'0362 table 2'!F196</f>
        <v>400</v>
      </c>
      <c r="E834">
        <f>'0362 table 2'!G196</f>
        <v>394.01</v>
      </c>
      <c r="G834">
        <v>13000000</v>
      </c>
    </row>
    <row r="835" spans="1:7" x14ac:dyDescent="0.35">
      <c r="A835">
        <v>362</v>
      </c>
      <c r="B835">
        <v>2</v>
      </c>
      <c r="C835">
        <f>'0362 table 2'!E197</f>
        <v>12500000</v>
      </c>
      <c r="D835">
        <f>'0362 table 2'!F197</f>
        <v>400</v>
      </c>
      <c r="E835">
        <f>'0362 table 2'!G197</f>
        <v>388.47</v>
      </c>
      <c r="G835">
        <v>12500000</v>
      </c>
    </row>
    <row r="836" spans="1:7" x14ac:dyDescent="0.35">
      <c r="A836">
        <v>362</v>
      </c>
      <c r="B836">
        <v>2</v>
      </c>
      <c r="C836">
        <f>'0362 table 2'!E198</f>
        <v>12000000</v>
      </c>
      <c r="D836">
        <f>'0362 table 2'!F198</f>
        <v>400</v>
      </c>
      <c r="E836">
        <f>'0362 table 2'!G198</f>
        <v>382.36</v>
      </c>
      <c r="G836">
        <v>12000000</v>
      </c>
    </row>
    <row r="837" spans="1:7" x14ac:dyDescent="0.35">
      <c r="A837">
        <v>362</v>
      </c>
      <c r="B837">
        <v>2</v>
      </c>
      <c r="C837">
        <f>'0362 table 2'!E199</f>
        <v>11500000</v>
      </c>
      <c r="D837">
        <f>'0362 table 2'!F199</f>
        <v>400</v>
      </c>
      <c r="E837">
        <f>'0362 table 2'!G199</f>
        <v>374.92</v>
      </c>
      <c r="G837">
        <v>11500000</v>
      </c>
    </row>
    <row r="838" spans="1:7" x14ac:dyDescent="0.35">
      <c r="A838">
        <v>362</v>
      </c>
      <c r="B838">
        <v>2</v>
      </c>
      <c r="C838">
        <f>'0362 table 2'!E200</f>
        <v>11000000</v>
      </c>
      <c r="D838">
        <f>'0362 table 2'!F200</f>
        <v>400</v>
      </c>
      <c r="E838">
        <f>'0362 table 2'!G200</f>
        <v>365.46</v>
      </c>
      <c r="G838">
        <v>11000000</v>
      </c>
    </row>
    <row r="839" spans="1:7" x14ac:dyDescent="0.35">
      <c r="A839">
        <v>362</v>
      </c>
      <c r="B839">
        <v>2</v>
      </c>
      <c r="C839">
        <f>'0362 table 2'!E201</f>
        <v>10500000</v>
      </c>
      <c r="D839">
        <f>'0362 table 2'!F201</f>
        <v>400</v>
      </c>
      <c r="E839">
        <f>'0362 table 2'!G201</f>
        <v>351.71</v>
      </c>
      <c r="G839">
        <v>10500000</v>
      </c>
    </row>
    <row r="840" spans="1:7" x14ac:dyDescent="0.35">
      <c r="A840">
        <v>362</v>
      </c>
      <c r="B840">
        <v>2</v>
      </c>
      <c r="C840">
        <f>'0362 table 2'!E202</f>
        <v>10400000</v>
      </c>
      <c r="D840">
        <f>'0362 table 2'!F202</f>
        <v>400</v>
      </c>
      <c r="E840">
        <f>'0362 table 2'!G202</f>
        <v>347.32</v>
      </c>
      <c r="G840">
        <v>10400000</v>
      </c>
    </row>
    <row r="841" spans="1:7" x14ac:dyDescent="0.35">
      <c r="A841">
        <v>362</v>
      </c>
      <c r="B841">
        <v>2</v>
      </c>
      <c r="C841">
        <f>'0362 table 2'!E203</f>
        <v>10350000</v>
      </c>
      <c r="D841">
        <f>'0362 table 2'!F203</f>
        <v>400</v>
      </c>
      <c r="E841">
        <f>'0362 table 2'!G203</f>
        <v>345.56</v>
      </c>
      <c r="G841">
        <v>10350000</v>
      </c>
    </row>
    <row r="842" spans="1:7" x14ac:dyDescent="0.35">
      <c r="A842">
        <v>363</v>
      </c>
      <c r="B842">
        <v>1</v>
      </c>
      <c r="C842">
        <f>'0363 table1'!E2</f>
        <v>104567400</v>
      </c>
      <c r="D842">
        <f>'0363 table1'!F2</f>
        <v>302.98999999999995</v>
      </c>
      <c r="E842">
        <f>'0363 table1'!G2</f>
        <v>666.66666666666663</v>
      </c>
      <c r="G842">
        <v>156851100</v>
      </c>
    </row>
    <row r="843" spans="1:7" x14ac:dyDescent="0.35">
      <c r="A843">
        <v>363</v>
      </c>
      <c r="B843">
        <v>1</v>
      </c>
      <c r="C843">
        <f>'0363 table1'!E3</f>
        <v>115071425.00000001</v>
      </c>
      <c r="D843">
        <f>'0363 table1'!F3</f>
        <v>308.01</v>
      </c>
      <c r="E843">
        <f>'0363 table1'!G3</f>
        <v>666.66666666666663</v>
      </c>
      <c r="G843">
        <v>172607137.5</v>
      </c>
    </row>
    <row r="844" spans="1:7" x14ac:dyDescent="0.35">
      <c r="A844">
        <v>363</v>
      </c>
      <c r="B844">
        <v>1</v>
      </c>
      <c r="C844">
        <f>'0363 table1'!E4</f>
        <v>66233864.516129039</v>
      </c>
      <c r="D844">
        <f>'0363 table1'!F4</f>
        <v>302.98999999999995</v>
      </c>
      <c r="E844">
        <f>'0363 table1'!G4</f>
        <v>645.16129032258061</v>
      </c>
      <c r="G844">
        <v>102662490</v>
      </c>
    </row>
    <row r="845" spans="1:7" x14ac:dyDescent="0.35">
      <c r="A845">
        <v>363</v>
      </c>
      <c r="B845">
        <v>1</v>
      </c>
      <c r="C845">
        <f>'0363 table1'!E5</f>
        <v>75895693.548387095</v>
      </c>
      <c r="D845">
        <f>'0363 table1'!F5</f>
        <v>308.01</v>
      </c>
      <c r="E845">
        <f>'0363 table1'!G5</f>
        <v>645.16129032258061</v>
      </c>
      <c r="G845">
        <v>117638325</v>
      </c>
    </row>
    <row r="846" spans="1:7" x14ac:dyDescent="0.35">
      <c r="A846">
        <v>363</v>
      </c>
      <c r="B846">
        <v>1</v>
      </c>
      <c r="C846">
        <f>'0363 table1'!E6</f>
        <v>86747274.193548381</v>
      </c>
      <c r="D846">
        <f>'0363 table1'!F6</f>
        <v>317.95999999999998</v>
      </c>
      <c r="E846">
        <f>'0363 table1'!G6</f>
        <v>645.16129032258061</v>
      </c>
      <c r="G846">
        <v>134458275</v>
      </c>
    </row>
    <row r="847" spans="1:7" x14ac:dyDescent="0.35">
      <c r="A847">
        <v>363</v>
      </c>
      <c r="B847">
        <v>1</v>
      </c>
      <c r="C847">
        <f>'0363 table1'!E7</f>
        <v>103024645.16129032</v>
      </c>
      <c r="D847">
        <f>'0363 table1'!F7</f>
        <v>322.97999999999996</v>
      </c>
      <c r="E847">
        <f>'0363 table1'!G7</f>
        <v>645.16129032258061</v>
      </c>
      <c r="G847">
        <v>159688200</v>
      </c>
    </row>
    <row r="848" spans="1:7" x14ac:dyDescent="0.35">
      <c r="A848">
        <v>363</v>
      </c>
      <c r="B848">
        <v>1</v>
      </c>
      <c r="C848">
        <f>'0363 table1'!E8</f>
        <v>104855032.25806451</v>
      </c>
      <c r="D848">
        <f>'0363 table1'!F8</f>
        <v>328.03</v>
      </c>
      <c r="E848">
        <f>'0363 table1'!G8</f>
        <v>645.16129032258061</v>
      </c>
      <c r="G848">
        <v>162525300</v>
      </c>
    </row>
    <row r="849" spans="1:7" x14ac:dyDescent="0.35">
      <c r="A849">
        <v>363</v>
      </c>
      <c r="B849">
        <v>1</v>
      </c>
      <c r="C849">
        <f>'0363 table1'!E9</f>
        <v>34653150</v>
      </c>
      <c r="D849">
        <f>'0363 table1'!F9</f>
        <v>302.98999999999995</v>
      </c>
      <c r="E849">
        <f>'0363 table1'!G9</f>
        <v>625</v>
      </c>
      <c r="G849">
        <v>55445040.000000007</v>
      </c>
    </row>
    <row r="850" spans="1:7" x14ac:dyDescent="0.35">
      <c r="A850">
        <v>363</v>
      </c>
      <c r="B850">
        <v>1</v>
      </c>
      <c r="C850">
        <f>'0363 table1'!E10</f>
        <v>43158117.1875</v>
      </c>
      <c r="D850">
        <f>'0363 table1'!F10</f>
        <v>308.01</v>
      </c>
      <c r="E850">
        <f>'0363 table1'!G10</f>
        <v>625</v>
      </c>
      <c r="G850">
        <v>69052987.5</v>
      </c>
    </row>
    <row r="851" spans="1:7" x14ac:dyDescent="0.35">
      <c r="A851">
        <v>363</v>
      </c>
      <c r="B851">
        <v>1</v>
      </c>
      <c r="C851">
        <f>'0363 table1'!E11</f>
        <v>56045390.625</v>
      </c>
      <c r="D851">
        <f>'0363 table1'!F11</f>
        <v>317.95999999999998</v>
      </c>
      <c r="E851">
        <f>'0363 table1'!G11</f>
        <v>625</v>
      </c>
      <c r="G851">
        <v>89672625</v>
      </c>
    </row>
    <row r="852" spans="1:7" x14ac:dyDescent="0.35">
      <c r="A852">
        <v>363</v>
      </c>
      <c r="B852">
        <v>1</v>
      </c>
      <c r="C852">
        <f>'0363 table1'!E12</f>
        <v>70040906.25</v>
      </c>
      <c r="D852">
        <f>'0363 table1'!F12</f>
        <v>322.97999999999996</v>
      </c>
      <c r="E852">
        <f>'0363 table1'!G12</f>
        <v>625</v>
      </c>
      <c r="G852">
        <v>112065450</v>
      </c>
    </row>
    <row r="853" spans="1:7" x14ac:dyDescent="0.35">
      <c r="A853">
        <v>363</v>
      </c>
      <c r="B853">
        <v>1</v>
      </c>
      <c r="C853">
        <f>'0363 table1'!E13</f>
        <v>72827343.75</v>
      </c>
      <c r="D853">
        <f>'0363 table1'!F13</f>
        <v>328.03</v>
      </c>
      <c r="E853">
        <f>'0363 table1'!G13</f>
        <v>625</v>
      </c>
      <c r="G853">
        <v>116523750</v>
      </c>
    </row>
    <row r="854" spans="1:7" x14ac:dyDescent="0.35">
      <c r="A854">
        <v>363</v>
      </c>
      <c r="B854">
        <v>1</v>
      </c>
      <c r="C854">
        <f>'0363 table1'!E14</f>
        <v>86822859.375</v>
      </c>
      <c r="D854">
        <f>'0363 table1'!F14</f>
        <v>338.03</v>
      </c>
      <c r="E854">
        <f>'0363 table1'!G14</f>
        <v>625</v>
      </c>
      <c r="G854">
        <v>138916575</v>
      </c>
    </row>
    <row r="855" spans="1:7" x14ac:dyDescent="0.35">
      <c r="A855">
        <v>363</v>
      </c>
      <c r="B855">
        <v>1</v>
      </c>
      <c r="C855">
        <f>'0363 table1'!E15</f>
        <v>105124687.5</v>
      </c>
      <c r="D855">
        <f>'0363 table1'!F15</f>
        <v>348.21499999999997</v>
      </c>
      <c r="E855">
        <f>'0363 table1'!G15</f>
        <v>625</v>
      </c>
      <c r="G855">
        <v>168199500</v>
      </c>
    </row>
    <row r="856" spans="1:7" x14ac:dyDescent="0.35">
      <c r="A856">
        <v>363</v>
      </c>
      <c r="B856">
        <v>1</v>
      </c>
      <c r="C856">
        <f>'0363 table1'!E16</f>
        <v>10685181.818181818</v>
      </c>
      <c r="D856">
        <f>'0363 table1'!F16</f>
        <v>302.98999999999995</v>
      </c>
      <c r="E856">
        <f>'0363 table1'!G16</f>
        <v>606.06060606060601</v>
      </c>
      <c r="G856">
        <v>17630550</v>
      </c>
    </row>
    <row r="857" spans="1:7" x14ac:dyDescent="0.35">
      <c r="A857">
        <v>363</v>
      </c>
      <c r="B857">
        <v>1</v>
      </c>
      <c r="C857">
        <f>'0363 table1'!E17</f>
        <v>18920140.90909091</v>
      </c>
      <c r="D857">
        <f>'0363 table1'!F17</f>
        <v>308.01</v>
      </c>
      <c r="E857">
        <f>'0363 table1'!G17</f>
        <v>606.06060606060601</v>
      </c>
      <c r="G857">
        <v>31218232.500000004</v>
      </c>
    </row>
    <row r="858" spans="1:7" x14ac:dyDescent="0.35">
      <c r="A858">
        <v>363</v>
      </c>
      <c r="B858">
        <v>1</v>
      </c>
      <c r="C858">
        <f>'0363 table1'!E18</f>
        <v>32301181.81818182</v>
      </c>
      <c r="D858">
        <f>'0363 table1'!F18</f>
        <v>317.95999999999998</v>
      </c>
      <c r="E858">
        <f>'0363 table1'!G18</f>
        <v>606.06060606060601</v>
      </c>
      <c r="G858">
        <v>53296950</v>
      </c>
    </row>
    <row r="859" spans="1:7" x14ac:dyDescent="0.35">
      <c r="A859">
        <v>363</v>
      </c>
      <c r="B859">
        <v>1</v>
      </c>
      <c r="C859">
        <f>'0363 table1'!E19</f>
        <v>43459213.63636364</v>
      </c>
      <c r="D859">
        <f>'0363 table1'!F19</f>
        <v>322.97999999999996</v>
      </c>
      <c r="E859">
        <f>'0363 table1'!G19</f>
        <v>606.06060606060601</v>
      </c>
      <c r="G859">
        <v>71707702.5</v>
      </c>
    </row>
    <row r="860" spans="1:7" x14ac:dyDescent="0.35">
      <c r="A860">
        <v>363</v>
      </c>
      <c r="B860">
        <v>1</v>
      </c>
      <c r="C860">
        <f>'0363 table1'!E20</f>
        <v>46855136.363636367</v>
      </c>
      <c r="D860">
        <f>'0363 table1'!F20</f>
        <v>328.03</v>
      </c>
      <c r="E860">
        <f>'0363 table1'!G20</f>
        <v>606.06060606060601</v>
      </c>
      <c r="G860">
        <v>77310975</v>
      </c>
    </row>
    <row r="861" spans="1:7" x14ac:dyDescent="0.35">
      <c r="A861">
        <v>363</v>
      </c>
      <c r="B861">
        <v>1</v>
      </c>
      <c r="C861">
        <f>'0363 table1'!E21</f>
        <v>60549363.63636364</v>
      </c>
      <c r="D861">
        <f>'0363 table1'!F21</f>
        <v>338.03</v>
      </c>
      <c r="E861">
        <f>'0363 table1'!G21</f>
        <v>606.06060606060601</v>
      </c>
      <c r="G861">
        <v>99906450</v>
      </c>
    </row>
    <row r="862" spans="1:7" x14ac:dyDescent="0.35">
      <c r="A862">
        <v>363</v>
      </c>
      <c r="B862">
        <v>1</v>
      </c>
      <c r="C862">
        <f>'0363 table1'!E22</f>
        <v>77559681.818181828</v>
      </c>
      <c r="D862">
        <f>'0363 table1'!F22</f>
        <v>348.21499999999997</v>
      </c>
      <c r="E862">
        <f>'0363 table1'!G22</f>
        <v>606.06060606060601</v>
      </c>
      <c r="G862">
        <v>127973475</v>
      </c>
    </row>
    <row r="863" spans="1:7" x14ac:dyDescent="0.35">
      <c r="A863">
        <v>363</v>
      </c>
      <c r="B863">
        <v>1</v>
      </c>
      <c r="C863">
        <f>'0363 table1'!E23</f>
        <v>93311113.63636364</v>
      </c>
      <c r="D863">
        <f>'0363 table1'!F23</f>
        <v>358.35999999999996</v>
      </c>
      <c r="E863">
        <f>'0363 table1'!G23</f>
        <v>606.06060606060601</v>
      </c>
      <c r="G863">
        <v>153963337.5</v>
      </c>
    </row>
    <row r="864" spans="1:7" x14ac:dyDescent="0.35">
      <c r="A864">
        <v>363</v>
      </c>
      <c r="B864">
        <v>1</v>
      </c>
      <c r="C864">
        <f>'0363 table1'!E24</f>
        <v>108571272.72727272</v>
      </c>
      <c r="D864">
        <f>'0363 table1'!F24</f>
        <v>368.60999999999996</v>
      </c>
      <c r="E864">
        <f>'0363 table1'!G24</f>
        <v>606.06060606060601</v>
      </c>
      <c r="G864">
        <v>179142600</v>
      </c>
    </row>
    <row r="865" spans="1:7" x14ac:dyDescent="0.35">
      <c r="A865">
        <v>363</v>
      </c>
      <c r="B865">
        <v>1</v>
      </c>
      <c r="C865">
        <f>'0363 table1'!E25</f>
        <v>113668227.2727273</v>
      </c>
      <c r="D865">
        <f>'0363 table1'!F25</f>
        <v>373.45599999999996</v>
      </c>
      <c r="E865">
        <f>'0363 table1'!G25</f>
        <v>606.06060606060601</v>
      </c>
      <c r="G865">
        <v>187552575</v>
      </c>
    </row>
    <row r="866" spans="1:7" x14ac:dyDescent="0.35">
      <c r="A866">
        <v>363</v>
      </c>
      <c r="B866">
        <v>1</v>
      </c>
      <c r="C866">
        <f>'0363 table1'!E26</f>
        <v>119563500</v>
      </c>
      <c r="D866">
        <f>'0363 table1'!F26</f>
        <v>378.15999999999997</v>
      </c>
      <c r="E866">
        <f>'0363 table1'!G26</f>
        <v>606.06060606060601</v>
      </c>
      <c r="G866">
        <v>197279775</v>
      </c>
    </row>
    <row r="867" spans="1:7" x14ac:dyDescent="0.35">
      <c r="A867">
        <v>363</v>
      </c>
      <c r="B867">
        <v>1</v>
      </c>
      <c r="C867">
        <f>'0363 table1'!E27</f>
        <v>1847691.1764705882</v>
      </c>
      <c r="D867">
        <f>'0363 table1'!F27</f>
        <v>308.01</v>
      </c>
      <c r="E867">
        <f>'0363 table1'!G27</f>
        <v>588.23529411764707</v>
      </c>
      <c r="G867">
        <v>3141075</v>
      </c>
    </row>
    <row r="868" spans="1:7" x14ac:dyDescent="0.35">
      <c r="A868">
        <v>363</v>
      </c>
      <c r="B868">
        <v>1</v>
      </c>
      <c r="C868">
        <f>'0363 table1'!E28</f>
        <v>14006691.176470589</v>
      </c>
      <c r="D868">
        <f>'0363 table1'!F28</f>
        <v>317.95999999999998</v>
      </c>
      <c r="E868">
        <f>'0363 table1'!G28</f>
        <v>588.23529411764707</v>
      </c>
      <c r="G868">
        <v>23811375</v>
      </c>
    </row>
    <row r="869" spans="1:7" x14ac:dyDescent="0.35">
      <c r="A869">
        <v>363</v>
      </c>
      <c r="B869">
        <v>1</v>
      </c>
      <c r="C869">
        <f>'0363 table1'!E29</f>
        <v>22947132.352941178</v>
      </c>
      <c r="D869">
        <f>'0363 table1'!F29</f>
        <v>322.97999999999996</v>
      </c>
      <c r="E869">
        <f>'0363 table1'!G29</f>
        <v>588.23529411764707</v>
      </c>
      <c r="G869">
        <v>39010125</v>
      </c>
    </row>
    <row r="870" spans="1:7" x14ac:dyDescent="0.35">
      <c r="A870">
        <v>363</v>
      </c>
      <c r="B870">
        <v>1</v>
      </c>
      <c r="C870">
        <f>'0363 table1'!E30</f>
        <v>27554439.705882352</v>
      </c>
      <c r="D870">
        <f>'0363 table1'!F30</f>
        <v>328.03</v>
      </c>
      <c r="E870">
        <f>'0363 table1'!G30</f>
        <v>588.23529411764707</v>
      </c>
      <c r="G870">
        <v>46842547.5</v>
      </c>
    </row>
    <row r="871" spans="1:7" x14ac:dyDescent="0.35">
      <c r="A871">
        <v>363</v>
      </c>
      <c r="B871">
        <v>1</v>
      </c>
      <c r="C871">
        <f>'0363 table1'!E31</f>
        <v>40291588.235294119</v>
      </c>
      <c r="D871">
        <f>'0363 table1'!F31</f>
        <v>338.03</v>
      </c>
      <c r="E871">
        <f>'0363 table1'!G31</f>
        <v>588.23529411764707</v>
      </c>
      <c r="G871">
        <v>68495700</v>
      </c>
    </row>
    <row r="872" spans="1:7" x14ac:dyDescent="0.35">
      <c r="A872">
        <v>363</v>
      </c>
      <c r="B872">
        <v>1</v>
      </c>
      <c r="C872">
        <f>'0363 table1'!E32</f>
        <v>55788352.941176474</v>
      </c>
      <c r="D872">
        <f>'0363 table1'!F32</f>
        <v>348.21499999999997</v>
      </c>
      <c r="E872">
        <f>'0363 table1'!G32</f>
        <v>588.23529411764707</v>
      </c>
      <c r="G872">
        <v>94840200</v>
      </c>
    </row>
    <row r="873" spans="1:7" x14ac:dyDescent="0.35">
      <c r="A873">
        <v>363</v>
      </c>
      <c r="B873">
        <v>1</v>
      </c>
      <c r="C873">
        <f>'0363 table1'!E33</f>
        <v>70093058.823529407</v>
      </c>
      <c r="D873">
        <f>'0363 table1'!F33</f>
        <v>358.35999999999996</v>
      </c>
      <c r="E873">
        <f>'0363 table1'!G33</f>
        <v>588.23529411764707</v>
      </c>
      <c r="G873">
        <v>119158200</v>
      </c>
    </row>
    <row r="874" spans="1:7" x14ac:dyDescent="0.35">
      <c r="A874">
        <v>363</v>
      </c>
      <c r="B874">
        <v>1</v>
      </c>
      <c r="C874">
        <f>'0363 table1'!E34</f>
        <v>86483867.647058815</v>
      </c>
      <c r="D874">
        <f>'0363 table1'!F34</f>
        <v>368.60999999999996</v>
      </c>
      <c r="E874">
        <f>'0363 table1'!G34</f>
        <v>588.23529411764707</v>
      </c>
      <c r="G874">
        <v>147022575</v>
      </c>
    </row>
    <row r="875" spans="1:7" x14ac:dyDescent="0.35">
      <c r="A875">
        <v>363</v>
      </c>
      <c r="B875">
        <v>1</v>
      </c>
      <c r="C875">
        <f>'0363 table1'!E35</f>
        <v>91609720.588235289</v>
      </c>
      <c r="D875">
        <f>'0363 table1'!F35</f>
        <v>373.45599999999996</v>
      </c>
      <c r="E875">
        <f>'0363 table1'!G35</f>
        <v>588.23529411764707</v>
      </c>
      <c r="G875">
        <v>155736525</v>
      </c>
    </row>
    <row r="876" spans="1:7" x14ac:dyDescent="0.35">
      <c r="A876">
        <v>363</v>
      </c>
      <c r="B876">
        <v>1</v>
      </c>
      <c r="C876">
        <f>'0363 table1'!E36</f>
        <v>98404455.882352948</v>
      </c>
      <c r="D876">
        <f>'0363 table1'!F36</f>
        <v>378.15999999999997</v>
      </c>
      <c r="E876">
        <f>'0363 table1'!G36</f>
        <v>588.23529411764707</v>
      </c>
      <c r="G876">
        <v>167287575</v>
      </c>
    </row>
    <row r="877" spans="1:7" x14ac:dyDescent="0.35">
      <c r="A877">
        <v>363</v>
      </c>
      <c r="B877">
        <v>1</v>
      </c>
      <c r="C877">
        <f>'0363 table1'!E37</f>
        <v>112291941.17647059</v>
      </c>
      <c r="D877">
        <f>'0363 table1'!F37</f>
        <v>388.15999999999997</v>
      </c>
      <c r="E877">
        <f>'0363 table1'!G37</f>
        <v>588.23529411764707</v>
      </c>
      <c r="G877">
        <v>190896300</v>
      </c>
    </row>
    <row r="878" spans="1:7" x14ac:dyDescent="0.35">
      <c r="A878">
        <v>363</v>
      </c>
      <c r="B878">
        <v>1</v>
      </c>
      <c r="C878">
        <f>'0363 table1'!E38</f>
        <v>8048100</v>
      </c>
      <c r="D878">
        <f>'0363 table1'!F38</f>
        <v>322.97999999999996</v>
      </c>
      <c r="E878">
        <f>'0363 table1'!G38</f>
        <v>571.42857142857133</v>
      </c>
      <c r="G878">
        <v>14084175</v>
      </c>
    </row>
    <row r="879" spans="1:7" x14ac:dyDescent="0.35">
      <c r="A879">
        <v>363</v>
      </c>
      <c r="B879">
        <v>1</v>
      </c>
      <c r="C879">
        <f>'0363 table1'!E39</f>
        <v>13230150.000000002</v>
      </c>
      <c r="D879">
        <f>'0363 table1'!F39</f>
        <v>328.03</v>
      </c>
      <c r="E879">
        <f>'0363 table1'!G39</f>
        <v>571.42857142857133</v>
      </c>
      <c r="G879">
        <v>23152762.5</v>
      </c>
    </row>
    <row r="880" spans="1:7" x14ac:dyDescent="0.35">
      <c r="A880">
        <v>363</v>
      </c>
      <c r="B880">
        <v>1</v>
      </c>
      <c r="C880">
        <f>'0363 table1'!E40</f>
        <v>24578550</v>
      </c>
      <c r="D880">
        <f>'0363 table1'!F40</f>
        <v>338.03</v>
      </c>
      <c r="E880">
        <f>'0363 table1'!G40</f>
        <v>571.42857142857133</v>
      </c>
      <c r="G880">
        <v>43012462.5</v>
      </c>
    </row>
    <row r="881" spans="1:7" x14ac:dyDescent="0.35">
      <c r="A881">
        <v>363</v>
      </c>
      <c r="B881">
        <v>1</v>
      </c>
      <c r="C881">
        <f>'0363 table1'!E41</f>
        <v>38850900</v>
      </c>
      <c r="D881">
        <f>'0363 table1'!F41</f>
        <v>348.21499999999997</v>
      </c>
      <c r="E881">
        <f>'0363 table1'!G41</f>
        <v>571.42857142857133</v>
      </c>
      <c r="G881">
        <v>67989075</v>
      </c>
    </row>
    <row r="882" spans="1:7" x14ac:dyDescent="0.35">
      <c r="A882">
        <v>363</v>
      </c>
      <c r="B882">
        <v>1</v>
      </c>
      <c r="C882">
        <f>'0363 table1'!E42</f>
        <v>51820500</v>
      </c>
      <c r="D882">
        <f>'0363 table1'!F42</f>
        <v>358.35999999999996</v>
      </c>
      <c r="E882">
        <f>'0363 table1'!G42</f>
        <v>571.42857142857133</v>
      </c>
      <c r="G882">
        <v>90685875</v>
      </c>
    </row>
    <row r="883" spans="1:7" x14ac:dyDescent="0.35">
      <c r="A883">
        <v>363</v>
      </c>
      <c r="B883">
        <v>1</v>
      </c>
      <c r="C883">
        <f>'0363 table1'!E43</f>
        <v>66758700</v>
      </c>
      <c r="D883">
        <f>'0363 table1'!F43</f>
        <v>368.60999999999996</v>
      </c>
      <c r="E883">
        <f>'0363 table1'!G43</f>
        <v>571.42857142857133</v>
      </c>
      <c r="G883">
        <v>116827725</v>
      </c>
    </row>
    <row r="884" spans="1:7" x14ac:dyDescent="0.35">
      <c r="A884">
        <v>363</v>
      </c>
      <c r="B884">
        <v>1</v>
      </c>
      <c r="C884">
        <f>'0363 table1'!E44</f>
        <v>72085500</v>
      </c>
      <c r="D884">
        <f>'0363 table1'!F44</f>
        <v>373.45599999999996</v>
      </c>
      <c r="E884">
        <f>'0363 table1'!G44</f>
        <v>571.42857142857133</v>
      </c>
      <c r="G884">
        <v>126149625</v>
      </c>
    </row>
    <row r="885" spans="1:7" x14ac:dyDescent="0.35">
      <c r="A885">
        <v>363</v>
      </c>
      <c r="B885">
        <v>1</v>
      </c>
      <c r="C885">
        <f>'0363 table1'!E45</f>
        <v>78917700</v>
      </c>
      <c r="D885">
        <f>'0363 table1'!F45</f>
        <v>378.15999999999997</v>
      </c>
      <c r="E885">
        <f>'0363 table1'!G45</f>
        <v>571.42857142857133</v>
      </c>
      <c r="G885">
        <v>138105975</v>
      </c>
    </row>
    <row r="886" spans="1:7" x14ac:dyDescent="0.35">
      <c r="A886">
        <v>363</v>
      </c>
      <c r="B886">
        <v>1</v>
      </c>
      <c r="C886">
        <f>'0363 table1'!E46</f>
        <v>93219000</v>
      </c>
      <c r="D886">
        <f>'0363 table1'!F46</f>
        <v>388.15999999999997</v>
      </c>
      <c r="E886">
        <f>'0363 table1'!G46</f>
        <v>571.42857142857133</v>
      </c>
      <c r="G886">
        <v>163133250</v>
      </c>
    </row>
    <row r="887" spans="1:7" x14ac:dyDescent="0.35">
      <c r="A887">
        <v>363</v>
      </c>
      <c r="B887">
        <v>1</v>
      </c>
      <c r="C887">
        <f>'0363 table1'!E47</f>
        <v>107636100</v>
      </c>
      <c r="D887">
        <f>'0363 table1'!F47</f>
        <v>403.01199999999994</v>
      </c>
      <c r="E887">
        <f>'0363 table1'!G47</f>
        <v>571.42857142857133</v>
      </c>
      <c r="G887">
        <v>188363175</v>
      </c>
    </row>
    <row r="888" spans="1:7" x14ac:dyDescent="0.35">
      <c r="A888">
        <v>363</v>
      </c>
      <c r="B888">
        <v>1</v>
      </c>
      <c r="C888">
        <f>'0363 table1'!E48</f>
        <v>2504979.1666666665</v>
      </c>
      <c r="D888">
        <f>'0363 table1'!F48</f>
        <v>328.03</v>
      </c>
      <c r="E888">
        <f>'0363 table1'!G48</f>
        <v>555.55555555555554</v>
      </c>
      <c r="G888">
        <v>4508962.5</v>
      </c>
    </row>
    <row r="889" spans="1:7" x14ac:dyDescent="0.35">
      <c r="A889">
        <v>363</v>
      </c>
      <c r="B889">
        <v>1</v>
      </c>
      <c r="C889">
        <f>'0363 table1'!E49</f>
        <v>12496750</v>
      </c>
      <c r="D889">
        <f>'0363 table1'!F49</f>
        <v>338.03</v>
      </c>
      <c r="E889">
        <f>'0363 table1'!G49</f>
        <v>555.55555555555554</v>
      </c>
      <c r="G889">
        <v>22494150</v>
      </c>
    </row>
    <row r="890" spans="1:7" x14ac:dyDescent="0.35">
      <c r="A890">
        <v>363</v>
      </c>
      <c r="B890">
        <v>1</v>
      </c>
      <c r="C890">
        <f>'0363 table1'!E50</f>
        <v>25528270.833333332</v>
      </c>
      <c r="D890">
        <f>'0363 table1'!F50</f>
        <v>348.21499999999997</v>
      </c>
      <c r="E890">
        <f>'0363 table1'!G50</f>
        <v>555.55555555555554</v>
      </c>
      <c r="G890">
        <v>45950887.5</v>
      </c>
    </row>
    <row r="891" spans="1:7" x14ac:dyDescent="0.35">
      <c r="A891">
        <v>363</v>
      </c>
      <c r="B891">
        <v>1</v>
      </c>
      <c r="C891">
        <f>'0363 table1'!E51</f>
        <v>37715416.666666664</v>
      </c>
      <c r="D891">
        <f>'0363 table1'!F51</f>
        <v>358.35999999999996</v>
      </c>
      <c r="E891">
        <f>'0363 table1'!G51</f>
        <v>555.55555555555554</v>
      </c>
      <c r="G891">
        <v>67887750</v>
      </c>
    </row>
    <row r="892" spans="1:7" x14ac:dyDescent="0.35">
      <c r="A892">
        <v>363</v>
      </c>
      <c r="B892">
        <v>1</v>
      </c>
      <c r="C892">
        <f>'0363 table1'!E52</f>
        <v>50887666.666666664</v>
      </c>
      <c r="D892">
        <f>'0363 table1'!F52</f>
        <v>368.60999999999996</v>
      </c>
      <c r="E892">
        <f>'0363 table1'!G52</f>
        <v>555.55555555555554</v>
      </c>
      <c r="G892">
        <v>91597800</v>
      </c>
    </row>
    <row r="893" spans="1:7" x14ac:dyDescent="0.35">
      <c r="A893">
        <v>363</v>
      </c>
      <c r="B893">
        <v>1</v>
      </c>
      <c r="C893">
        <f>'0363 table1'!E53</f>
        <v>55796299.999999993</v>
      </c>
      <c r="D893">
        <f>'0363 table1'!F53</f>
        <v>373.45599999999996</v>
      </c>
      <c r="E893">
        <f>'0363 table1'!G53</f>
        <v>555.55555555555554</v>
      </c>
      <c r="G893">
        <v>100433340</v>
      </c>
    </row>
    <row r="894" spans="1:7" x14ac:dyDescent="0.35">
      <c r="A894">
        <v>363</v>
      </c>
      <c r="B894">
        <v>1</v>
      </c>
      <c r="C894">
        <f>'0363 table1'!E54</f>
        <v>62314875</v>
      </c>
      <c r="D894">
        <f>'0363 table1'!F54</f>
        <v>378.15999999999997</v>
      </c>
      <c r="E894">
        <f>'0363 table1'!G54</f>
        <v>555.55555555555554</v>
      </c>
      <c r="G894">
        <v>112166775</v>
      </c>
    </row>
    <row r="895" spans="1:7" x14ac:dyDescent="0.35">
      <c r="A895">
        <v>363</v>
      </c>
      <c r="B895">
        <v>1</v>
      </c>
      <c r="C895">
        <f>'0363 table1'!E55</f>
        <v>75712291.666666657</v>
      </c>
      <c r="D895">
        <f>'0363 table1'!F55</f>
        <v>388.15999999999997</v>
      </c>
      <c r="E895">
        <f>'0363 table1'!G55</f>
        <v>555.55555555555554</v>
      </c>
      <c r="G895">
        <v>136282125</v>
      </c>
    </row>
    <row r="896" spans="1:7" x14ac:dyDescent="0.35">
      <c r="A896">
        <v>363</v>
      </c>
      <c r="B896">
        <v>1</v>
      </c>
      <c r="C896">
        <f>'0363 table1'!E56</f>
        <v>92093166.666666672</v>
      </c>
      <c r="D896">
        <f>'0363 table1'!F56</f>
        <v>403.01199999999994</v>
      </c>
      <c r="E896">
        <f>'0363 table1'!G56</f>
        <v>555.55555555555554</v>
      </c>
      <c r="G896">
        <v>165767700</v>
      </c>
    </row>
    <row r="897" spans="1:7" x14ac:dyDescent="0.35">
      <c r="A897">
        <v>363</v>
      </c>
      <c r="B897">
        <v>1</v>
      </c>
      <c r="C897">
        <f>'0363 table1'!E57</f>
        <v>102338250</v>
      </c>
      <c r="D897">
        <f>'0363 table1'!F57</f>
        <v>412.65999999999997</v>
      </c>
      <c r="E897">
        <f>'0363 table1'!G57</f>
        <v>555.55555555555554</v>
      </c>
      <c r="G897">
        <v>184208850</v>
      </c>
    </row>
    <row r="898" spans="1:7" x14ac:dyDescent="0.35">
      <c r="A898">
        <v>363</v>
      </c>
      <c r="B898">
        <v>1</v>
      </c>
      <c r="C898">
        <f>'0363 table1'!E58</f>
        <v>3532682.4324324322</v>
      </c>
      <c r="D898">
        <f>'0363 table1'!F58</f>
        <v>338.03</v>
      </c>
      <c r="E898">
        <f>'0363 table1'!G58</f>
        <v>540.54054054054041</v>
      </c>
      <c r="G898">
        <v>6535462.5</v>
      </c>
    </row>
    <row r="899" spans="1:7" x14ac:dyDescent="0.35">
      <c r="A899">
        <v>363</v>
      </c>
      <c r="B899">
        <v>1</v>
      </c>
      <c r="C899">
        <f>'0363 table1'!E59</f>
        <v>15653343.243243244</v>
      </c>
      <c r="D899">
        <f>'0363 table1'!F59</f>
        <v>348.21499999999997</v>
      </c>
      <c r="E899">
        <f>'0363 table1'!G59</f>
        <v>540.54054054054041</v>
      </c>
      <c r="G899">
        <v>28958685</v>
      </c>
    </row>
    <row r="900" spans="1:7" x14ac:dyDescent="0.35">
      <c r="A900">
        <v>363</v>
      </c>
      <c r="B900">
        <v>1</v>
      </c>
      <c r="C900">
        <f>'0363 table1'!E60</f>
        <v>26443086.486486487</v>
      </c>
      <c r="D900">
        <f>'0363 table1'!F60</f>
        <v>358.35999999999996</v>
      </c>
      <c r="E900">
        <f>'0363 table1'!G60</f>
        <v>540.54054054054041</v>
      </c>
      <c r="G900">
        <v>48919710</v>
      </c>
    </row>
    <row r="901" spans="1:7" x14ac:dyDescent="0.35">
      <c r="A901">
        <v>363</v>
      </c>
      <c r="B901">
        <v>1</v>
      </c>
      <c r="C901">
        <f>'0363 table1'!E61</f>
        <v>38881414.864864863</v>
      </c>
      <c r="D901">
        <f>'0363 table1'!F61</f>
        <v>368.60999999999996</v>
      </c>
      <c r="E901">
        <f>'0363 table1'!G61</f>
        <v>540.54054054054041</v>
      </c>
      <c r="G901">
        <v>71930617.5</v>
      </c>
    </row>
    <row r="902" spans="1:7" x14ac:dyDescent="0.35">
      <c r="A902">
        <v>363</v>
      </c>
      <c r="B902">
        <v>1</v>
      </c>
      <c r="C902">
        <f>'0363 table1'!E62</f>
        <v>43323283.783783779</v>
      </c>
      <c r="D902">
        <f>'0363 table1'!F62</f>
        <v>373.45599999999996</v>
      </c>
      <c r="E902">
        <f>'0363 table1'!G62</f>
        <v>540.54054054054041</v>
      </c>
      <c r="G902">
        <v>80148075</v>
      </c>
    </row>
    <row r="903" spans="1:7" x14ac:dyDescent="0.35">
      <c r="A903">
        <v>363</v>
      </c>
      <c r="B903">
        <v>1</v>
      </c>
      <c r="C903">
        <f>'0363 table1'!E63</f>
        <v>48937236.486486487</v>
      </c>
      <c r="D903">
        <f>'0363 table1'!F63</f>
        <v>378.15999999999997</v>
      </c>
      <c r="E903">
        <f>'0363 table1'!G63</f>
        <v>540.54054054054041</v>
      </c>
      <c r="G903">
        <v>90533887.5</v>
      </c>
    </row>
    <row r="904" spans="1:7" x14ac:dyDescent="0.35">
      <c r="A904">
        <v>363</v>
      </c>
      <c r="B904">
        <v>1</v>
      </c>
      <c r="C904">
        <f>'0363 table1'!E64</f>
        <v>61452243.24324324</v>
      </c>
      <c r="D904">
        <f>'0363 table1'!F64</f>
        <v>388.15999999999997</v>
      </c>
      <c r="E904">
        <f>'0363 table1'!G64</f>
        <v>540.54054054054041</v>
      </c>
      <c r="G904">
        <v>113686650</v>
      </c>
    </row>
    <row r="905" spans="1:7" x14ac:dyDescent="0.35">
      <c r="A905">
        <v>363</v>
      </c>
      <c r="B905">
        <v>1</v>
      </c>
      <c r="C905">
        <f>'0363 table1'!E65</f>
        <v>77938094.594594598</v>
      </c>
      <c r="D905">
        <f>'0363 table1'!F65</f>
        <v>403.01199999999994</v>
      </c>
      <c r="E905">
        <f>'0363 table1'!G65</f>
        <v>540.54054054054041</v>
      </c>
      <c r="G905">
        <v>144185475</v>
      </c>
    </row>
    <row r="906" spans="1:7" x14ac:dyDescent="0.35">
      <c r="A906">
        <v>363</v>
      </c>
      <c r="B906">
        <v>1</v>
      </c>
      <c r="C906">
        <f>'0363 table1'!E66</f>
        <v>88125364.864864856</v>
      </c>
      <c r="D906">
        <f>'0363 table1'!F66</f>
        <v>412.65999999999997</v>
      </c>
      <c r="E906">
        <f>'0363 table1'!G66</f>
        <v>540.54054054054041</v>
      </c>
      <c r="G906">
        <v>163031925</v>
      </c>
    </row>
    <row r="907" spans="1:7" x14ac:dyDescent="0.35">
      <c r="A907">
        <v>363</v>
      </c>
      <c r="B907">
        <v>1</v>
      </c>
      <c r="C907">
        <f>'0363 table1'!E67</f>
        <v>7919348.6842105268</v>
      </c>
      <c r="D907">
        <f>'0363 table1'!F67</f>
        <v>348.21499999999997</v>
      </c>
      <c r="E907">
        <f>'0363 table1'!G67</f>
        <v>526.31578947368416</v>
      </c>
      <c r="G907">
        <v>15046762.5</v>
      </c>
    </row>
    <row r="908" spans="1:7" x14ac:dyDescent="0.35">
      <c r="A908">
        <v>363</v>
      </c>
      <c r="B908">
        <v>1</v>
      </c>
      <c r="C908">
        <f>'0363 table1'!E68</f>
        <v>17961189.47368421</v>
      </c>
      <c r="D908">
        <f>'0363 table1'!F68</f>
        <v>358.35999999999996</v>
      </c>
      <c r="E908">
        <f>'0363 table1'!G68</f>
        <v>526.31578947368416</v>
      </c>
      <c r="G908">
        <v>34126260</v>
      </c>
    </row>
    <row r="909" spans="1:7" x14ac:dyDescent="0.35">
      <c r="A909">
        <v>363</v>
      </c>
      <c r="B909">
        <v>1</v>
      </c>
      <c r="C909">
        <f>'0363 table1'!E69</f>
        <v>29277592.105263162</v>
      </c>
      <c r="D909">
        <f>'0363 table1'!F69</f>
        <v>368.60999999999996</v>
      </c>
      <c r="E909">
        <f>'0363 table1'!G69</f>
        <v>526.31578947368416</v>
      </c>
      <c r="G909">
        <v>55627425</v>
      </c>
    </row>
    <row r="910" spans="1:7" x14ac:dyDescent="0.35">
      <c r="A910">
        <v>363</v>
      </c>
      <c r="B910">
        <v>1</v>
      </c>
      <c r="C910">
        <f>'0363 table1'!E70</f>
        <v>33383921.052631583</v>
      </c>
      <c r="D910">
        <f>'0363 table1'!F70</f>
        <v>373.45599999999996</v>
      </c>
      <c r="E910">
        <f>'0363 table1'!G70</f>
        <v>526.31578947368416</v>
      </c>
      <c r="G910">
        <v>63429450</v>
      </c>
    </row>
    <row r="911" spans="1:7" x14ac:dyDescent="0.35">
      <c r="A911">
        <v>363</v>
      </c>
      <c r="B911">
        <v>1</v>
      </c>
      <c r="C911">
        <f>'0363 table1'!E71</f>
        <v>38610157.894736849</v>
      </c>
      <c r="D911">
        <f>'0363 table1'!F71</f>
        <v>378.15999999999997</v>
      </c>
      <c r="E911">
        <f>'0363 table1'!G71</f>
        <v>526.31578947368416</v>
      </c>
      <c r="G911">
        <v>73359300</v>
      </c>
    </row>
    <row r="912" spans="1:7" x14ac:dyDescent="0.35">
      <c r="A912">
        <v>363</v>
      </c>
      <c r="B912">
        <v>1</v>
      </c>
      <c r="C912">
        <f>'0363 table1'!E72</f>
        <v>50022552.631578952</v>
      </c>
      <c r="D912">
        <f>'0363 table1'!F72</f>
        <v>388.15999999999997</v>
      </c>
      <c r="E912">
        <f>'0363 table1'!G72</f>
        <v>526.31578947368416</v>
      </c>
      <c r="G912">
        <v>95042850</v>
      </c>
    </row>
    <row r="913" spans="1:7" x14ac:dyDescent="0.35">
      <c r="A913">
        <v>363</v>
      </c>
      <c r="B913">
        <v>1</v>
      </c>
      <c r="C913">
        <f>'0363 table1'!E73</f>
        <v>65434618.421052627</v>
      </c>
      <c r="D913">
        <f>'0363 table1'!F73</f>
        <v>403.01199999999994</v>
      </c>
      <c r="E913">
        <f>'0363 table1'!G73</f>
        <v>526.31578947368416</v>
      </c>
      <c r="G913">
        <v>124325775</v>
      </c>
    </row>
    <row r="914" spans="1:7" x14ac:dyDescent="0.35">
      <c r="A914">
        <v>363</v>
      </c>
      <c r="B914">
        <v>1</v>
      </c>
      <c r="C914">
        <f>'0363 table1'!E74</f>
        <v>75567118.421052635</v>
      </c>
      <c r="D914">
        <f>'0363 table1'!F74</f>
        <v>412.65999999999997</v>
      </c>
      <c r="E914">
        <f>'0363 table1'!G74</f>
        <v>526.31578947368416</v>
      </c>
      <c r="G914">
        <v>143577525</v>
      </c>
    </row>
    <row r="915" spans="1:7" x14ac:dyDescent="0.35">
      <c r="A915">
        <v>363</v>
      </c>
      <c r="B915">
        <v>1</v>
      </c>
      <c r="C915">
        <f>'0363 table1'!E75</f>
        <v>95565473.684210539</v>
      </c>
      <c r="D915">
        <f>'0363 table1'!F75</f>
        <v>433.43599999999998</v>
      </c>
      <c r="E915">
        <f>'0363 table1'!G75</f>
        <v>526.31578947368416</v>
      </c>
      <c r="G915">
        <v>181574400</v>
      </c>
    </row>
    <row r="916" spans="1:7" x14ac:dyDescent="0.35">
      <c r="A916">
        <v>363</v>
      </c>
      <c r="B916">
        <v>1</v>
      </c>
      <c r="C916">
        <f>'0363 table1'!E76</f>
        <v>114283934.2105263</v>
      </c>
      <c r="D916">
        <f>'0363 table1'!F76</f>
        <v>453.85899999999998</v>
      </c>
      <c r="E916">
        <f>'0363 table1'!G76</f>
        <v>526.31578947368416</v>
      </c>
      <c r="G916">
        <v>217139475</v>
      </c>
    </row>
    <row r="917" spans="1:7" x14ac:dyDescent="0.35">
      <c r="A917">
        <v>363</v>
      </c>
      <c r="B917">
        <v>1</v>
      </c>
      <c r="C917">
        <f>'0363 table1'!E77</f>
        <v>11535461.53846154</v>
      </c>
      <c r="D917">
        <f>'0363 table1'!F77</f>
        <v>358.35999999999996</v>
      </c>
      <c r="E917">
        <f>'0363 table1'!G77</f>
        <v>512.82051282051293</v>
      </c>
      <c r="G917">
        <v>22494150</v>
      </c>
    </row>
    <row r="918" spans="1:7" x14ac:dyDescent="0.35">
      <c r="A918">
        <v>363</v>
      </c>
      <c r="B918">
        <v>1</v>
      </c>
      <c r="C918">
        <f>'0363 table1'!E78</f>
        <v>21719923.076923076</v>
      </c>
      <c r="D918">
        <f>'0363 table1'!F78</f>
        <v>368.60999999999996</v>
      </c>
      <c r="E918">
        <f>'0363 table1'!G78</f>
        <v>512.82051282051293</v>
      </c>
      <c r="G918">
        <v>42353850</v>
      </c>
    </row>
    <row r="919" spans="1:7" x14ac:dyDescent="0.35">
      <c r="A919">
        <v>363</v>
      </c>
      <c r="B919">
        <v>1</v>
      </c>
      <c r="C919">
        <f>'0363 table1'!E79</f>
        <v>25575469.230769232</v>
      </c>
      <c r="D919">
        <f>'0363 table1'!F79</f>
        <v>373.45599999999996</v>
      </c>
      <c r="E919">
        <f>'0363 table1'!G79</f>
        <v>512.82051282051293</v>
      </c>
      <c r="G919">
        <v>49872165</v>
      </c>
    </row>
    <row r="920" spans="1:7" x14ac:dyDescent="0.35">
      <c r="A920">
        <v>363</v>
      </c>
      <c r="B920">
        <v>1</v>
      </c>
      <c r="C920">
        <f>'0363 table1'!E80</f>
        <v>30293576.923076928</v>
      </c>
      <c r="D920">
        <f>'0363 table1'!F80</f>
        <v>378.15999999999997</v>
      </c>
      <c r="E920">
        <f>'0363 table1'!G80</f>
        <v>512.82051282051293</v>
      </c>
      <c r="G920">
        <v>59072475</v>
      </c>
    </row>
    <row r="921" spans="1:7" x14ac:dyDescent="0.35">
      <c r="A921">
        <v>363</v>
      </c>
      <c r="B921">
        <v>1</v>
      </c>
      <c r="C921">
        <f>'0363 table1'!E81</f>
        <v>40945692.307692304</v>
      </c>
      <c r="D921">
        <f>'0363 table1'!F81</f>
        <v>388.15999999999997</v>
      </c>
      <c r="E921">
        <f>'0363 table1'!G81</f>
        <v>512.82051282051293</v>
      </c>
      <c r="G921">
        <v>79844100</v>
      </c>
    </row>
    <row r="922" spans="1:7" x14ac:dyDescent="0.35">
      <c r="A922">
        <v>363</v>
      </c>
      <c r="B922">
        <v>1</v>
      </c>
      <c r="C922">
        <f>'0363 table1'!E82</f>
        <v>55079230.769230776</v>
      </c>
      <c r="D922">
        <f>'0363 table1'!F82</f>
        <v>403.01199999999994</v>
      </c>
      <c r="E922">
        <f>'0363 table1'!G82</f>
        <v>512.82051282051293</v>
      </c>
      <c r="G922">
        <v>107404500</v>
      </c>
    </row>
    <row r="923" spans="1:7" x14ac:dyDescent="0.35">
      <c r="A923">
        <v>363</v>
      </c>
      <c r="B923">
        <v>1</v>
      </c>
      <c r="C923">
        <f>'0363 table1'!E83</f>
        <v>64951923.076923072</v>
      </c>
      <c r="D923">
        <f>'0363 table1'!F83</f>
        <v>412.65999999999997</v>
      </c>
      <c r="E923">
        <f>'0363 table1'!G83</f>
        <v>512.82051282051293</v>
      </c>
      <c r="G923">
        <v>126656250</v>
      </c>
    </row>
    <row r="924" spans="1:7" x14ac:dyDescent="0.35">
      <c r="A924">
        <v>363</v>
      </c>
      <c r="B924">
        <v>1</v>
      </c>
      <c r="C924">
        <f>'0363 table1'!E84</f>
        <v>84125730.769230768</v>
      </c>
      <c r="D924">
        <f>'0363 table1'!F84</f>
        <v>433.43599999999998</v>
      </c>
      <c r="E924">
        <f>'0363 table1'!G84</f>
        <v>512.82051282051293</v>
      </c>
      <c r="G924">
        <v>164045175</v>
      </c>
    </row>
    <row r="925" spans="1:7" x14ac:dyDescent="0.35">
      <c r="A925">
        <v>363</v>
      </c>
      <c r="B925">
        <v>1</v>
      </c>
      <c r="C925">
        <f>'0363 table1'!E85</f>
        <v>102624038.46153846</v>
      </c>
      <c r="D925">
        <f>'0363 table1'!F85</f>
        <v>453.85899999999998</v>
      </c>
      <c r="E925">
        <f>'0363 table1'!G85</f>
        <v>512.82051282051293</v>
      </c>
      <c r="G925">
        <v>200116875</v>
      </c>
    </row>
    <row r="926" spans="1:7" x14ac:dyDescent="0.35">
      <c r="A926">
        <v>363</v>
      </c>
      <c r="B926">
        <v>1</v>
      </c>
      <c r="C926">
        <f>'0363 table1'!E86</f>
        <v>119199769.23076923</v>
      </c>
      <c r="D926">
        <f>'0363 table1'!F86</f>
        <v>473.86</v>
      </c>
      <c r="E926">
        <f>'0363 table1'!G86</f>
        <v>512.82051282051293</v>
      </c>
      <c r="G926">
        <v>232439550</v>
      </c>
    </row>
    <row r="927" spans="1:7" x14ac:dyDescent="0.35">
      <c r="A927">
        <v>363</v>
      </c>
      <c r="B927">
        <v>1</v>
      </c>
      <c r="C927">
        <f>'0363 table1'!E87</f>
        <v>6408806.25</v>
      </c>
      <c r="D927">
        <f>'0363 table1'!F87</f>
        <v>358.35999999999996</v>
      </c>
      <c r="E927">
        <f>'0363 table1'!G87</f>
        <v>500</v>
      </c>
      <c r="G927">
        <v>12817612.5</v>
      </c>
    </row>
    <row r="928" spans="1:7" x14ac:dyDescent="0.35">
      <c r="A928">
        <v>363</v>
      </c>
      <c r="B928">
        <v>1</v>
      </c>
      <c r="C928">
        <f>'0363 table1'!E88</f>
        <v>15654712.5</v>
      </c>
      <c r="D928">
        <f>'0363 table1'!F88</f>
        <v>368.60999999999996</v>
      </c>
      <c r="E928">
        <f>'0363 table1'!G88</f>
        <v>500</v>
      </c>
      <c r="G928">
        <v>31309425</v>
      </c>
    </row>
    <row r="929" spans="1:7" x14ac:dyDescent="0.35">
      <c r="A929">
        <v>363</v>
      </c>
      <c r="B929">
        <v>1</v>
      </c>
      <c r="C929">
        <f>'0363 table1'!E89</f>
        <v>19454400</v>
      </c>
      <c r="D929">
        <f>'0363 table1'!F89</f>
        <v>373.45599999999996</v>
      </c>
      <c r="E929">
        <f>'0363 table1'!G89</f>
        <v>500</v>
      </c>
      <c r="G929">
        <v>38908800</v>
      </c>
    </row>
    <row r="930" spans="1:7" x14ac:dyDescent="0.35">
      <c r="A930">
        <v>363</v>
      </c>
      <c r="B930">
        <v>1</v>
      </c>
      <c r="C930">
        <f>'0363 table1'!E90</f>
        <v>23912700</v>
      </c>
      <c r="D930">
        <f>'0363 table1'!F90</f>
        <v>378.15999999999997</v>
      </c>
      <c r="E930">
        <f>'0363 table1'!G90</f>
        <v>500</v>
      </c>
      <c r="G930">
        <v>47825400</v>
      </c>
    </row>
    <row r="931" spans="1:7" x14ac:dyDescent="0.35">
      <c r="A931">
        <v>363</v>
      </c>
      <c r="B931">
        <v>1</v>
      </c>
      <c r="C931">
        <f>'0363 table1'!E91</f>
        <v>33498045.000000004</v>
      </c>
      <c r="D931">
        <f>'0363 table1'!F91</f>
        <v>388.15999999999997</v>
      </c>
      <c r="E931">
        <f>'0363 table1'!G91</f>
        <v>500</v>
      </c>
      <c r="G931">
        <v>66996090.000000007</v>
      </c>
    </row>
    <row r="932" spans="1:7" x14ac:dyDescent="0.35">
      <c r="A932">
        <v>363</v>
      </c>
      <c r="B932">
        <v>1</v>
      </c>
      <c r="C932">
        <f>'0363 table1'!E92</f>
        <v>46518307.5</v>
      </c>
      <c r="D932">
        <f>'0363 table1'!F92</f>
        <v>403.01199999999994</v>
      </c>
      <c r="E932">
        <f>'0363 table1'!G92</f>
        <v>500</v>
      </c>
      <c r="G932">
        <v>93036615</v>
      </c>
    </row>
    <row r="933" spans="1:7" x14ac:dyDescent="0.35">
      <c r="A933">
        <v>363</v>
      </c>
      <c r="B933">
        <v>1</v>
      </c>
      <c r="C933">
        <f>'0363 table1'!E93</f>
        <v>56032725</v>
      </c>
      <c r="D933">
        <f>'0363 table1'!F93</f>
        <v>412.65999999999997</v>
      </c>
      <c r="E933">
        <f>'0363 table1'!G93</f>
        <v>500</v>
      </c>
      <c r="G933">
        <v>112065450</v>
      </c>
    </row>
    <row r="934" spans="1:7" x14ac:dyDescent="0.35">
      <c r="A934">
        <v>363</v>
      </c>
      <c r="B934">
        <v>1</v>
      </c>
      <c r="C934">
        <f>'0363 table1'!E94</f>
        <v>74271225</v>
      </c>
      <c r="D934">
        <f>'0363 table1'!F94</f>
        <v>433.43599999999998</v>
      </c>
      <c r="E934">
        <f>'0363 table1'!G94</f>
        <v>500</v>
      </c>
      <c r="G934">
        <v>148542450</v>
      </c>
    </row>
    <row r="935" spans="1:7" x14ac:dyDescent="0.35">
      <c r="A935">
        <v>363</v>
      </c>
      <c r="B935">
        <v>1</v>
      </c>
      <c r="C935">
        <f>'0363 table1'!E95</f>
        <v>92155087.5</v>
      </c>
      <c r="D935">
        <f>'0363 table1'!F95</f>
        <v>453.85899999999998</v>
      </c>
      <c r="E935">
        <f>'0363 table1'!G95</f>
        <v>500</v>
      </c>
      <c r="G935">
        <v>184310175</v>
      </c>
    </row>
    <row r="936" spans="1:7" x14ac:dyDescent="0.35">
      <c r="A936">
        <v>363</v>
      </c>
      <c r="B936">
        <v>1</v>
      </c>
      <c r="C936">
        <f>'0363 table1'!E96</f>
        <v>108417750</v>
      </c>
      <c r="D936">
        <f>'0363 table1'!F96</f>
        <v>473.86</v>
      </c>
      <c r="E936">
        <f>'0363 table1'!G96</f>
        <v>500</v>
      </c>
      <c r="G936">
        <v>216835500</v>
      </c>
    </row>
    <row r="937" spans="1:7" x14ac:dyDescent="0.35">
      <c r="A937">
        <v>363</v>
      </c>
      <c r="B937">
        <v>1</v>
      </c>
      <c r="C937">
        <f>'0363 table1'!E97</f>
        <v>10824475.609756099</v>
      </c>
      <c r="D937">
        <f>'0363 table1'!F97</f>
        <v>368.60999999999996</v>
      </c>
      <c r="E937">
        <f>'0363 table1'!G97</f>
        <v>487.80487804878055</v>
      </c>
      <c r="G937">
        <v>22190175</v>
      </c>
    </row>
    <row r="938" spans="1:7" x14ac:dyDescent="0.35">
      <c r="A938">
        <v>363</v>
      </c>
      <c r="B938">
        <v>1</v>
      </c>
      <c r="C938">
        <f>'0363 table1'!E98</f>
        <v>14679768.292682929</v>
      </c>
      <c r="D938">
        <f>'0363 table1'!F98</f>
        <v>373.45599999999996</v>
      </c>
      <c r="E938">
        <f>'0363 table1'!G98</f>
        <v>487.80487804878055</v>
      </c>
      <c r="G938">
        <v>30093525</v>
      </c>
    </row>
    <row r="939" spans="1:7" x14ac:dyDescent="0.35">
      <c r="A939">
        <v>363</v>
      </c>
      <c r="B939">
        <v>1</v>
      </c>
      <c r="C939">
        <f>'0363 table1'!E99</f>
        <v>18881048.780487806</v>
      </c>
      <c r="D939">
        <f>'0363 table1'!F99</f>
        <v>378.15999999999997</v>
      </c>
      <c r="E939">
        <f>'0363 table1'!G99</f>
        <v>487.80487804878055</v>
      </c>
      <c r="G939">
        <v>38706150</v>
      </c>
    </row>
    <row r="940" spans="1:7" x14ac:dyDescent="0.35">
      <c r="A940">
        <v>363</v>
      </c>
      <c r="B940">
        <v>1</v>
      </c>
      <c r="C940">
        <f>'0363 table1'!E100</f>
        <v>27565342.682926837</v>
      </c>
      <c r="D940">
        <f>'0363 table1'!F100</f>
        <v>388.15999999999997</v>
      </c>
      <c r="E940">
        <f>'0363 table1'!G100</f>
        <v>487.80487804878055</v>
      </c>
      <c r="G940">
        <v>56508952.500000007</v>
      </c>
    </row>
    <row r="941" spans="1:7" x14ac:dyDescent="0.35">
      <c r="A941">
        <v>363</v>
      </c>
      <c r="B941">
        <v>1</v>
      </c>
      <c r="C941">
        <f>'0363 table1'!E101</f>
        <v>39665030.487804882</v>
      </c>
      <c r="D941">
        <f>'0363 table1'!F101</f>
        <v>403.01199999999994</v>
      </c>
      <c r="E941">
        <f>'0363 table1'!G101</f>
        <v>487.80487804878055</v>
      </c>
      <c r="G941">
        <v>81313312.5</v>
      </c>
    </row>
    <row r="942" spans="1:7" x14ac:dyDescent="0.35">
      <c r="A942">
        <v>363</v>
      </c>
      <c r="B942">
        <v>1</v>
      </c>
      <c r="C942">
        <f>'0363 table1'!E102</f>
        <v>48685426.829268299</v>
      </c>
      <c r="D942">
        <f>'0363 table1'!F102</f>
        <v>412.65999999999997</v>
      </c>
      <c r="E942">
        <f>'0363 table1'!G102</f>
        <v>487.80487804878055</v>
      </c>
      <c r="G942">
        <v>99805125</v>
      </c>
    </row>
    <row r="943" spans="1:7" x14ac:dyDescent="0.35">
      <c r="A943">
        <v>363</v>
      </c>
      <c r="B943">
        <v>1</v>
      </c>
      <c r="C943">
        <f>'0363 table1'!E103</f>
        <v>66133097.560975619</v>
      </c>
      <c r="D943">
        <f>'0363 table1'!F103</f>
        <v>433.43599999999998</v>
      </c>
      <c r="E943">
        <f>'0363 table1'!G103</f>
        <v>487.80487804878055</v>
      </c>
      <c r="G943">
        <v>135572850</v>
      </c>
    </row>
    <row r="944" spans="1:7" x14ac:dyDescent="0.35">
      <c r="A944">
        <v>363</v>
      </c>
      <c r="B944">
        <v>1</v>
      </c>
      <c r="C944">
        <f>'0363 table1'!E104</f>
        <v>83135926.829268306</v>
      </c>
      <c r="D944">
        <f>'0363 table1'!F104</f>
        <v>453.85899999999998</v>
      </c>
      <c r="E944">
        <f>'0363 table1'!G104</f>
        <v>487.80487804878055</v>
      </c>
      <c r="G944">
        <v>170428650</v>
      </c>
    </row>
    <row r="945" spans="1:7" x14ac:dyDescent="0.35">
      <c r="A945">
        <v>363</v>
      </c>
      <c r="B945">
        <v>1</v>
      </c>
      <c r="C945">
        <f>'0363 table1'!E105</f>
        <v>98952512.195121959</v>
      </c>
      <c r="D945">
        <f>'0363 table1'!F105</f>
        <v>473.851</v>
      </c>
      <c r="E945">
        <f>'0363 table1'!G105</f>
        <v>487.80487804878055</v>
      </c>
      <c r="G945">
        <v>202852650</v>
      </c>
    </row>
    <row r="946" spans="1:7" x14ac:dyDescent="0.35">
      <c r="A946">
        <v>363</v>
      </c>
      <c r="B946">
        <v>1</v>
      </c>
      <c r="C946">
        <f>'0363 table1'!E106</f>
        <v>6972125</v>
      </c>
      <c r="D946">
        <f>'0363 table1'!F106</f>
        <v>368.60999999999996</v>
      </c>
      <c r="E946">
        <f>'0363 table1'!G106</f>
        <v>476.1904761904762</v>
      </c>
      <c r="G946">
        <v>14641462.5</v>
      </c>
    </row>
    <row r="947" spans="1:7" x14ac:dyDescent="0.35">
      <c r="A947">
        <v>363</v>
      </c>
      <c r="B947">
        <v>1</v>
      </c>
      <c r="C947">
        <f>'0363 table1'!E107</f>
        <v>10832125</v>
      </c>
      <c r="D947">
        <f>'0363 table1'!F107</f>
        <v>373.45599999999996</v>
      </c>
      <c r="E947">
        <f>'0363 table1'!G107</f>
        <v>476.1904761904762</v>
      </c>
      <c r="G947">
        <v>22747462.5</v>
      </c>
    </row>
    <row r="948" spans="1:7" x14ac:dyDescent="0.35">
      <c r="A948">
        <v>363</v>
      </c>
      <c r="B948">
        <v>1</v>
      </c>
      <c r="C948">
        <f>'0363 table1'!E108</f>
        <v>14957500</v>
      </c>
      <c r="D948">
        <f>'0363 table1'!F108</f>
        <v>378.15999999999997</v>
      </c>
      <c r="E948">
        <f>'0363 table1'!G108</f>
        <v>476.1904761904762</v>
      </c>
      <c r="G948">
        <v>31410750</v>
      </c>
    </row>
    <row r="949" spans="1:7" x14ac:dyDescent="0.35">
      <c r="A949">
        <v>363</v>
      </c>
      <c r="B949">
        <v>1</v>
      </c>
      <c r="C949">
        <f>'0363 table1'!E109</f>
        <v>22889800</v>
      </c>
      <c r="D949">
        <f>'0363 table1'!F109</f>
        <v>388.15999999999997</v>
      </c>
      <c r="E949">
        <f>'0363 table1'!G109</f>
        <v>476.1904761904762</v>
      </c>
      <c r="G949">
        <v>48068580</v>
      </c>
    </row>
    <row r="950" spans="1:7" x14ac:dyDescent="0.35">
      <c r="A950">
        <v>363</v>
      </c>
      <c r="B950">
        <v>1</v>
      </c>
      <c r="C950">
        <f>'0363 table1'!E110</f>
        <v>34161000</v>
      </c>
      <c r="D950">
        <f>'0363 table1'!F110</f>
        <v>403.01199999999994</v>
      </c>
      <c r="E950">
        <f>'0363 table1'!G110</f>
        <v>476.1904761904762</v>
      </c>
      <c r="G950">
        <v>71738100</v>
      </c>
    </row>
    <row r="951" spans="1:7" x14ac:dyDescent="0.35">
      <c r="A951">
        <v>363</v>
      </c>
      <c r="B951">
        <v>1</v>
      </c>
      <c r="C951">
        <f>'0363 table1'!E111</f>
        <v>42652999.999999993</v>
      </c>
      <c r="D951">
        <f>'0363 table1'!F111</f>
        <v>412.65999999999997</v>
      </c>
      <c r="E951">
        <f>'0363 table1'!G111</f>
        <v>476.1904761904762</v>
      </c>
      <c r="G951">
        <v>89571300</v>
      </c>
    </row>
    <row r="952" spans="1:7" x14ac:dyDescent="0.35">
      <c r="A952">
        <v>363</v>
      </c>
      <c r="B952">
        <v>1</v>
      </c>
      <c r="C952">
        <f>'0363 table1'!E112</f>
        <v>59202749.999999993</v>
      </c>
      <c r="D952">
        <f>'0363 table1'!F112</f>
        <v>433.43599999999998</v>
      </c>
      <c r="E952">
        <f>'0363 table1'!G112</f>
        <v>476.1904761904762</v>
      </c>
      <c r="G952">
        <v>124325775</v>
      </c>
    </row>
    <row r="953" spans="1:7" x14ac:dyDescent="0.35">
      <c r="A953">
        <v>363</v>
      </c>
      <c r="B953">
        <v>1</v>
      </c>
      <c r="C953">
        <f>'0363 table1'!E113</f>
        <v>75559500</v>
      </c>
      <c r="D953">
        <f>'0363 table1'!F113</f>
        <v>453.85899999999998</v>
      </c>
      <c r="E953">
        <f>'0363 table1'!G113</f>
        <v>476.1904761904762</v>
      </c>
      <c r="G953">
        <v>158674950</v>
      </c>
    </row>
    <row r="954" spans="1:7" x14ac:dyDescent="0.35">
      <c r="A954">
        <v>363</v>
      </c>
      <c r="B954">
        <v>1</v>
      </c>
      <c r="C954">
        <f>'0363 table1'!E114</f>
        <v>90565250</v>
      </c>
      <c r="D954">
        <f>'0363 table1'!F114</f>
        <v>473.851</v>
      </c>
      <c r="E954">
        <f>'0363 table1'!G114</f>
        <v>476.1904761904762</v>
      </c>
      <c r="G954">
        <v>190187025</v>
      </c>
    </row>
    <row r="955" spans="1:7" x14ac:dyDescent="0.35">
      <c r="A955">
        <v>363</v>
      </c>
      <c r="B955">
        <v>1</v>
      </c>
      <c r="C955">
        <f>'0363 table1'!E115</f>
        <v>15077160.000000002</v>
      </c>
      <c r="D955">
        <f>'0363 table1'!F115</f>
        <v>403.01199999999994</v>
      </c>
      <c r="E955">
        <f>'0363 table1'!G115</f>
        <v>400</v>
      </c>
      <c r="G955">
        <v>37692900</v>
      </c>
    </row>
    <row r="956" spans="1:7" x14ac:dyDescent="0.35">
      <c r="A956">
        <v>363</v>
      </c>
      <c r="B956">
        <v>1</v>
      </c>
      <c r="C956">
        <f>'0363 table1'!E116</f>
        <v>19981290</v>
      </c>
      <c r="D956">
        <f>'0363 table1'!F116</f>
        <v>412.65999999999997</v>
      </c>
      <c r="E956">
        <f>'0363 table1'!G116</f>
        <v>400</v>
      </c>
      <c r="G956">
        <v>49953225</v>
      </c>
    </row>
    <row r="957" spans="1:7" x14ac:dyDescent="0.35">
      <c r="A957">
        <v>363</v>
      </c>
      <c r="B957">
        <v>1</v>
      </c>
      <c r="C957">
        <f>'0363 table1'!E117</f>
        <v>30823065</v>
      </c>
      <c r="D957">
        <f>'0363 table1'!F117</f>
        <v>433.43599999999998</v>
      </c>
      <c r="E957">
        <f>'0363 table1'!G117</f>
        <v>400</v>
      </c>
      <c r="G957">
        <v>77057662.5</v>
      </c>
    </row>
    <row r="958" spans="1:7" x14ac:dyDescent="0.35">
      <c r="A958">
        <v>363</v>
      </c>
      <c r="B958">
        <v>1</v>
      </c>
      <c r="C958">
        <f>'0363 table1'!E118</f>
        <v>41826960</v>
      </c>
      <c r="D958">
        <f>'0363 table1'!F118</f>
        <v>453.85899999999998</v>
      </c>
      <c r="E958">
        <f>'0363 table1'!G118</f>
        <v>400</v>
      </c>
      <c r="G958">
        <v>104567400</v>
      </c>
    </row>
    <row r="959" spans="1:7" x14ac:dyDescent="0.35">
      <c r="A959">
        <v>363</v>
      </c>
      <c r="B959">
        <v>1</v>
      </c>
      <c r="C959">
        <f>'0363 table1'!E119</f>
        <v>52770059.999999993</v>
      </c>
      <c r="D959">
        <f>'0363 table1'!F119</f>
        <v>473.851</v>
      </c>
      <c r="E959">
        <f>'0363 table1'!G119</f>
        <v>400</v>
      </c>
      <c r="G959">
        <v>131925150</v>
      </c>
    </row>
    <row r="960" spans="1:7" x14ac:dyDescent="0.35">
      <c r="A960">
        <v>363</v>
      </c>
      <c r="B960">
        <v>1</v>
      </c>
      <c r="C960">
        <f>'0363 table1'!E120</f>
        <v>11010650</v>
      </c>
      <c r="D960">
        <f>'0363 table1'!F120</f>
        <v>403.01199999999994</v>
      </c>
      <c r="E960">
        <f>'0363 table1'!G120</f>
        <v>333.33333333333331</v>
      </c>
      <c r="G960">
        <v>33031950</v>
      </c>
    </row>
    <row r="961" spans="1:7" x14ac:dyDescent="0.35">
      <c r="A961">
        <v>363</v>
      </c>
      <c r="B961">
        <v>1</v>
      </c>
      <c r="C961">
        <f>'0363 table1'!E121</f>
        <v>14465832.500000002</v>
      </c>
      <c r="D961">
        <f>'0363 table1'!F121</f>
        <v>412.65999999999997</v>
      </c>
      <c r="E961">
        <f>'0363 table1'!G121</f>
        <v>333.33333333333331</v>
      </c>
      <c r="G961">
        <v>43397497.5</v>
      </c>
    </row>
    <row r="962" spans="1:7" x14ac:dyDescent="0.35">
      <c r="A962">
        <v>363</v>
      </c>
      <c r="B962">
        <v>1</v>
      </c>
      <c r="C962">
        <f>'0363 table1'!E122</f>
        <v>21845670</v>
      </c>
      <c r="D962">
        <f>'0363 table1'!F122</f>
        <v>433.43599999999998</v>
      </c>
      <c r="E962">
        <f>'0363 table1'!G122</f>
        <v>333.33333333333331</v>
      </c>
      <c r="G962">
        <v>65537009.999999993</v>
      </c>
    </row>
    <row r="963" spans="1:7" x14ac:dyDescent="0.35">
      <c r="A963">
        <v>363</v>
      </c>
      <c r="B963">
        <v>1</v>
      </c>
      <c r="C963">
        <f>'0363 table1'!E123</f>
        <v>29391005</v>
      </c>
      <c r="D963">
        <f>'0363 table1'!F123</f>
        <v>453.85899999999998</v>
      </c>
      <c r="E963">
        <f>'0363 table1'!G123</f>
        <v>333.33333333333331</v>
      </c>
      <c r="G963">
        <v>881730150</v>
      </c>
    </row>
    <row r="964" spans="1:7" x14ac:dyDescent="0.35">
      <c r="A964">
        <v>363</v>
      </c>
      <c r="B964">
        <v>1</v>
      </c>
      <c r="C964">
        <f>'0363 table1'!E124</f>
        <v>36983625</v>
      </c>
      <c r="D964">
        <f>'0363 table1'!F124</f>
        <v>473.851</v>
      </c>
      <c r="E964">
        <f>'0363 table1'!G124</f>
        <v>333.33333333333331</v>
      </c>
      <c r="G964">
        <v>110950875</v>
      </c>
    </row>
    <row r="965" spans="1:7" x14ac:dyDescent="0.35">
      <c r="A965">
        <v>363</v>
      </c>
      <c r="B965">
        <v>1</v>
      </c>
      <c r="C965">
        <f>'0363 table1'!E125</f>
        <v>13120140</v>
      </c>
      <c r="D965">
        <f>'0363 table1'!F125</f>
        <v>412.65999999999997</v>
      </c>
      <c r="E965">
        <f>'0363 table1'!G125</f>
        <v>285.71428571428567</v>
      </c>
      <c r="G965">
        <v>45920490</v>
      </c>
    </row>
    <row r="966" spans="1:7" x14ac:dyDescent="0.35">
      <c r="A966">
        <v>363</v>
      </c>
      <c r="B966">
        <v>1</v>
      </c>
      <c r="C966">
        <f>'0363 table1'!E126</f>
        <v>18817500</v>
      </c>
      <c r="D966">
        <f>'0363 table1'!F126</f>
        <v>433.43599999999998</v>
      </c>
      <c r="E966">
        <f>'0363 table1'!G126</f>
        <v>285.71428571428567</v>
      </c>
      <c r="G966">
        <v>65861250</v>
      </c>
    </row>
    <row r="967" spans="1:7" x14ac:dyDescent="0.35">
      <c r="A967">
        <v>363</v>
      </c>
      <c r="B967">
        <v>1</v>
      </c>
      <c r="C967">
        <f>'0363 table1'!E127</f>
        <v>24650925</v>
      </c>
      <c r="D967">
        <f>'0363 table1'!F127</f>
        <v>453.85899999999998</v>
      </c>
      <c r="E967">
        <f>'0363 table1'!G127</f>
        <v>285.71428571428567</v>
      </c>
      <c r="G967">
        <v>86278237.5</v>
      </c>
    </row>
    <row r="968" spans="1:7" x14ac:dyDescent="0.35">
      <c r="A968">
        <v>363</v>
      </c>
      <c r="B968">
        <v>1</v>
      </c>
      <c r="C968">
        <f>'0363 table1'!E128</f>
        <v>30542250</v>
      </c>
      <c r="D968">
        <f>'0363 table1'!F128</f>
        <v>473.851</v>
      </c>
      <c r="E968">
        <f>'0363 table1'!G128</f>
        <v>285.71428571428567</v>
      </c>
      <c r="G968">
        <v>106897875</v>
      </c>
    </row>
    <row r="969" spans="1:7" x14ac:dyDescent="0.35">
      <c r="A969">
        <v>363</v>
      </c>
      <c r="B969">
        <v>1</v>
      </c>
      <c r="C969">
        <f>'0363 table1'!E129</f>
        <v>12888540</v>
      </c>
      <c r="D969">
        <f>'0363 table1'!F129</f>
        <v>412.65999999999997</v>
      </c>
      <c r="E969">
        <f>'0363 table1'!G129</f>
        <v>250</v>
      </c>
      <c r="G969">
        <v>51554160</v>
      </c>
    </row>
    <row r="970" spans="1:7" x14ac:dyDescent="0.35">
      <c r="A970">
        <v>363</v>
      </c>
      <c r="B970">
        <v>1</v>
      </c>
      <c r="C970">
        <f>'0363 table1'!E130</f>
        <v>17668546.875</v>
      </c>
      <c r="D970">
        <f>'0363 table1'!F130</f>
        <v>433.43599999999998</v>
      </c>
      <c r="E970">
        <f>'0363 table1'!G130</f>
        <v>250</v>
      </c>
      <c r="G970">
        <v>70674187.5</v>
      </c>
    </row>
    <row r="971" spans="1:7" x14ac:dyDescent="0.35">
      <c r="A971">
        <v>363</v>
      </c>
      <c r="B971">
        <v>1</v>
      </c>
      <c r="C971">
        <f>'0363 table1'!E131</f>
        <v>22418156.25</v>
      </c>
      <c r="D971">
        <f>'0363 table1'!F131</f>
        <v>453.85899999999998</v>
      </c>
      <c r="E971">
        <f>'0363 table1'!G131</f>
        <v>250</v>
      </c>
      <c r="G971">
        <v>89672625</v>
      </c>
    </row>
    <row r="972" spans="1:7" x14ac:dyDescent="0.35">
      <c r="A972">
        <v>363</v>
      </c>
      <c r="B972">
        <v>1</v>
      </c>
      <c r="C972">
        <f>'0363 table1'!E132</f>
        <v>27205762.5</v>
      </c>
      <c r="D972">
        <f>'0363 table1'!F132</f>
        <v>473.851</v>
      </c>
      <c r="E972">
        <f>'0363 table1'!G132</f>
        <v>250</v>
      </c>
      <c r="G972">
        <v>108823050</v>
      </c>
    </row>
    <row r="973" spans="1:7" x14ac:dyDescent="0.35">
      <c r="A973">
        <v>363</v>
      </c>
      <c r="B973">
        <v>1</v>
      </c>
      <c r="C973">
        <f>'0363 table1'!E133</f>
        <v>12703903.333333336</v>
      </c>
      <c r="D973">
        <f>'0363 table1'!F133</f>
        <v>412.65999999999997</v>
      </c>
      <c r="E973">
        <f>'0363 table1'!G133</f>
        <v>222.2222222222222</v>
      </c>
      <c r="G973">
        <v>57167565.000000007</v>
      </c>
    </row>
    <row r="974" spans="1:7" x14ac:dyDescent="0.35">
      <c r="A974">
        <v>363</v>
      </c>
      <c r="B974">
        <v>1</v>
      </c>
      <c r="C974">
        <f>'0363 table1'!E134</f>
        <v>16853725</v>
      </c>
      <c r="D974">
        <f>'0363 table1'!F134</f>
        <v>433.43599999999998</v>
      </c>
      <c r="E974">
        <f>'0363 table1'!G134</f>
        <v>222.2222222222222</v>
      </c>
      <c r="G974">
        <v>75841762.5</v>
      </c>
    </row>
    <row r="975" spans="1:7" x14ac:dyDescent="0.35">
      <c r="A975">
        <v>363</v>
      </c>
      <c r="B975">
        <v>1</v>
      </c>
      <c r="C975">
        <f>'0363 table1'!E135</f>
        <v>20990036.666666668</v>
      </c>
      <c r="D975">
        <f>'0363 table1'!F135</f>
        <v>453.85899999999998</v>
      </c>
      <c r="E975">
        <f>'0363 table1'!G135</f>
        <v>222.2222222222222</v>
      </c>
      <c r="G975">
        <v>94455165</v>
      </c>
    </row>
    <row r="976" spans="1:7" x14ac:dyDescent="0.35">
      <c r="A976">
        <v>363</v>
      </c>
      <c r="B976">
        <v>1</v>
      </c>
      <c r="C976">
        <f>'0363 table1'!E136</f>
        <v>25038533.333333332</v>
      </c>
      <c r="D976">
        <f>'0363 table1'!F136</f>
        <v>473.851</v>
      </c>
      <c r="E976">
        <f>'0363 table1'!G136</f>
        <v>222.2222222222222</v>
      </c>
      <c r="G976">
        <v>112673400</v>
      </c>
    </row>
    <row r="977" spans="1:7" x14ac:dyDescent="0.35">
      <c r="A977">
        <v>363</v>
      </c>
      <c r="B977">
        <v>1</v>
      </c>
      <c r="C977">
        <f>'0363 table1'!E137</f>
        <v>12564300</v>
      </c>
      <c r="D977">
        <f>'0363 table1'!F137</f>
        <v>412.65999999999997</v>
      </c>
      <c r="E977">
        <f>'0363 table1'!G137</f>
        <v>200</v>
      </c>
      <c r="G977">
        <v>62821500</v>
      </c>
    </row>
    <row r="978" spans="1:7" x14ac:dyDescent="0.35">
      <c r="A978">
        <v>363</v>
      </c>
      <c r="B978">
        <v>1</v>
      </c>
      <c r="C978">
        <f>'0363 table1'!E138</f>
        <v>16293060.000000002</v>
      </c>
      <c r="D978">
        <f>'0363 table1'!F138</f>
        <v>433.43599999999998</v>
      </c>
      <c r="E978">
        <f>'0363 table1'!G138</f>
        <v>200</v>
      </c>
      <c r="G978">
        <v>81465300</v>
      </c>
    </row>
    <row r="979" spans="1:7" x14ac:dyDescent="0.35">
      <c r="A979">
        <v>363</v>
      </c>
      <c r="B979">
        <v>1</v>
      </c>
      <c r="C979">
        <f>'0363 table1'!E139</f>
        <v>19900230</v>
      </c>
      <c r="D979">
        <f>'0363 table1'!F139</f>
        <v>453.85899999999998</v>
      </c>
      <c r="E979">
        <f>'0363 table1'!G139</f>
        <v>200</v>
      </c>
      <c r="G979">
        <v>99501150</v>
      </c>
    </row>
    <row r="980" spans="1:7" x14ac:dyDescent="0.35">
      <c r="A980">
        <v>363</v>
      </c>
      <c r="B980">
        <v>1</v>
      </c>
      <c r="C980">
        <f>'0363 table1'!E140</f>
        <v>23466870</v>
      </c>
      <c r="D980">
        <f>'0363 table1'!F140</f>
        <v>473.851</v>
      </c>
      <c r="E980">
        <f>'0363 table1'!G140</f>
        <v>200</v>
      </c>
      <c r="G980">
        <v>117334350</v>
      </c>
    </row>
    <row r="981" spans="1:7" x14ac:dyDescent="0.35">
      <c r="A981">
        <v>363</v>
      </c>
      <c r="B981">
        <v>1</v>
      </c>
      <c r="C981">
        <f>'0363 table1'!E141</f>
        <v>12453763.636363637</v>
      </c>
      <c r="D981">
        <f>'0363 table1'!F141</f>
        <v>412.65999999999997</v>
      </c>
      <c r="E981">
        <f>'0363 table1'!G141</f>
        <v>181.81818181818184</v>
      </c>
      <c r="G981">
        <v>68495700</v>
      </c>
    </row>
    <row r="982" spans="1:7" x14ac:dyDescent="0.35">
      <c r="A982">
        <v>363</v>
      </c>
      <c r="B982">
        <v>1</v>
      </c>
      <c r="C982">
        <f>'0363 table1'!E142</f>
        <v>15843545.454545455</v>
      </c>
      <c r="D982">
        <f>'0363 table1'!F142</f>
        <v>433.43599999999998</v>
      </c>
      <c r="E982">
        <f>'0363 table1'!G142</f>
        <v>181.81818181818184</v>
      </c>
      <c r="G982">
        <v>87139500</v>
      </c>
    </row>
    <row r="983" spans="1:7" x14ac:dyDescent="0.35">
      <c r="A983">
        <v>363</v>
      </c>
      <c r="B983">
        <v>1</v>
      </c>
      <c r="C983">
        <f>'0363 table1'!E143</f>
        <v>19012254.545454543</v>
      </c>
      <c r="D983">
        <f>'0363 table1'!F143</f>
        <v>453.85899999999998</v>
      </c>
      <c r="E983">
        <f>'0363 table1'!G143</f>
        <v>181.81818181818184</v>
      </c>
      <c r="G983">
        <v>104567400</v>
      </c>
    </row>
    <row r="984" spans="1:7" x14ac:dyDescent="0.35">
      <c r="A984">
        <v>363</v>
      </c>
      <c r="B984">
        <v>1</v>
      </c>
      <c r="C984">
        <f>'0363 table1'!E144</f>
        <v>22217809.09090909</v>
      </c>
      <c r="D984">
        <f>'0363 table1'!F144</f>
        <v>473.851</v>
      </c>
      <c r="E984">
        <f>'0363 table1'!G144</f>
        <v>181.81818181818184</v>
      </c>
      <c r="G984">
        <v>122197950</v>
      </c>
    </row>
    <row r="985" spans="1:7" x14ac:dyDescent="0.35">
      <c r="A985">
        <v>363</v>
      </c>
      <c r="B985">
        <v>1</v>
      </c>
      <c r="C985">
        <f>'0363 table1'!E145</f>
        <v>12358272.499999998</v>
      </c>
      <c r="D985">
        <f>'0363 table1'!F145</f>
        <v>412.65999999999997</v>
      </c>
      <c r="E985">
        <f>'0363 table1'!G145</f>
        <v>166.66666666666666</v>
      </c>
      <c r="G985">
        <v>74149635</v>
      </c>
    </row>
    <row r="986" spans="1:7" x14ac:dyDescent="0.35">
      <c r="A986">
        <v>363</v>
      </c>
      <c r="B986">
        <v>1</v>
      </c>
      <c r="C986">
        <f>'0363 table1'!E146</f>
        <v>15421665.000000002</v>
      </c>
      <c r="D986">
        <f>'0363 table1'!F146</f>
        <v>433.43599999999998</v>
      </c>
      <c r="E986">
        <f>'0363 table1'!G146</f>
        <v>166.66666666666666</v>
      </c>
      <c r="G986">
        <v>92529990</v>
      </c>
    </row>
    <row r="987" spans="1:7" x14ac:dyDescent="0.35">
      <c r="A987">
        <v>363</v>
      </c>
      <c r="B987">
        <v>1</v>
      </c>
      <c r="C987">
        <f>'0363 table1'!E147</f>
        <v>18272275</v>
      </c>
      <c r="D987">
        <f>'0363 table1'!F147</f>
        <v>453.85899999999998</v>
      </c>
      <c r="E987">
        <f>'0363 table1'!G147</f>
        <v>166.66666666666666</v>
      </c>
      <c r="G987">
        <v>109633650</v>
      </c>
    </row>
    <row r="988" spans="1:7" x14ac:dyDescent="0.35">
      <c r="A988">
        <v>363</v>
      </c>
      <c r="B988">
        <v>1</v>
      </c>
      <c r="C988">
        <f>'0363 table1'!E148</f>
        <v>21176925</v>
      </c>
      <c r="D988">
        <f>'0363 table1'!F148</f>
        <v>473.851</v>
      </c>
      <c r="E988">
        <f>'0363 table1'!G148</f>
        <v>166.66666666666666</v>
      </c>
      <c r="G988">
        <v>127061550</v>
      </c>
    </row>
    <row r="989" spans="1:7" x14ac:dyDescent="0.35">
      <c r="A989">
        <v>363</v>
      </c>
      <c r="B989">
        <v>2</v>
      </c>
      <c r="C989">
        <f>'0363 table 2'!E2</f>
        <v>10132500</v>
      </c>
      <c r="D989">
        <f>'0363 table 2'!F2</f>
        <v>283.14999999999998</v>
      </c>
      <c r="E989">
        <f>'0363 table 2'!G2</f>
        <v>630.91482649842271</v>
      </c>
      <c r="G989">
        <v>10132500</v>
      </c>
    </row>
    <row r="990" spans="1:7" x14ac:dyDescent="0.35">
      <c r="A990">
        <v>363</v>
      </c>
      <c r="B990">
        <v>2</v>
      </c>
      <c r="C990">
        <f>'0363 table 2'!E3</f>
        <v>10132500</v>
      </c>
      <c r="D990">
        <f>'0363 table 2'!F3</f>
        <v>293.14999999999998</v>
      </c>
      <c r="E990">
        <f>'0363 table 2'!G3</f>
        <v>617.28395061728395</v>
      </c>
      <c r="G990">
        <v>10132500</v>
      </c>
    </row>
    <row r="991" spans="1:7" x14ac:dyDescent="0.35">
      <c r="A991">
        <v>363</v>
      </c>
      <c r="B991">
        <v>2</v>
      </c>
      <c r="C991">
        <f>'0363 table 2'!E4</f>
        <v>10132500</v>
      </c>
      <c r="D991">
        <f>'0363 table 2'!F4</f>
        <v>303.14999999999998</v>
      </c>
      <c r="E991">
        <f>'0363 table 2'!G4</f>
        <v>603.13630880579012</v>
      </c>
      <c r="G991">
        <v>10132500</v>
      </c>
    </row>
    <row r="992" spans="1:7" x14ac:dyDescent="0.35">
      <c r="A992">
        <v>363</v>
      </c>
      <c r="B992">
        <v>2</v>
      </c>
      <c r="C992">
        <f>'0363 table 2'!E5</f>
        <v>10132500</v>
      </c>
      <c r="D992">
        <f>'0363 table 2'!F5</f>
        <v>313.14999999999998</v>
      </c>
      <c r="E992">
        <f>'0363 table 2'!G5</f>
        <v>591.01654846335703</v>
      </c>
      <c r="G992">
        <v>10132500</v>
      </c>
    </row>
    <row r="993" spans="1:7" x14ac:dyDescent="0.35">
      <c r="A993">
        <v>363</v>
      </c>
      <c r="B993">
        <v>2</v>
      </c>
      <c r="C993">
        <f>'0363 table 2'!E6</f>
        <v>10132500</v>
      </c>
      <c r="D993">
        <f>'0363 table 2'!F6</f>
        <v>323.14999999999998</v>
      </c>
      <c r="E993">
        <f>'0363 table 2'!G6</f>
        <v>578.03468208092477</v>
      </c>
      <c r="G993">
        <v>10132500</v>
      </c>
    </row>
    <row r="994" spans="1:7" x14ac:dyDescent="0.35">
      <c r="A994">
        <v>363</v>
      </c>
      <c r="B994">
        <v>2</v>
      </c>
      <c r="C994">
        <f>'0363 table 2'!E7</f>
        <v>10132500</v>
      </c>
      <c r="D994">
        <f>'0363 table 2'!F7</f>
        <v>333.15</v>
      </c>
      <c r="E994">
        <f>'0363 table 2'!G7</f>
        <v>561.79775280898866</v>
      </c>
      <c r="G994">
        <v>10132500</v>
      </c>
    </row>
    <row r="995" spans="1:7" x14ac:dyDescent="0.35">
      <c r="A995">
        <v>363</v>
      </c>
      <c r="B995">
        <v>2</v>
      </c>
      <c r="C995">
        <f>'0363 table 2'!E8</f>
        <v>10132500</v>
      </c>
      <c r="D995">
        <f>'0363 table 2'!F8</f>
        <v>343.15</v>
      </c>
      <c r="E995">
        <f>'0363 table 2'!G8</f>
        <v>544.36581382689178</v>
      </c>
      <c r="G995">
        <v>10132500</v>
      </c>
    </row>
    <row r="996" spans="1:7" x14ac:dyDescent="0.35">
      <c r="A996">
        <v>363</v>
      </c>
      <c r="B996">
        <v>2</v>
      </c>
      <c r="C996">
        <f>'0363 table 2'!E9</f>
        <v>10132500</v>
      </c>
      <c r="D996">
        <f>'0363 table 2'!F9</f>
        <v>353.15</v>
      </c>
      <c r="E996">
        <f>'0363 table 2'!G9</f>
        <v>526.31578947368428</v>
      </c>
      <c r="G996">
        <v>10132500</v>
      </c>
    </row>
    <row r="997" spans="1:7" x14ac:dyDescent="0.35">
      <c r="A997">
        <v>363</v>
      </c>
      <c r="B997">
        <v>2</v>
      </c>
      <c r="C997">
        <f>'0363 table 2'!E10</f>
        <v>10132500</v>
      </c>
      <c r="D997">
        <f>'0363 table 2'!F10</f>
        <v>363.15</v>
      </c>
      <c r="E997">
        <f>'0363 table 2'!G10</f>
        <v>502.51256281407041</v>
      </c>
      <c r="G997">
        <v>10132500</v>
      </c>
    </row>
    <row r="998" spans="1:7" x14ac:dyDescent="0.35">
      <c r="A998">
        <v>363</v>
      </c>
      <c r="B998">
        <v>2</v>
      </c>
      <c r="C998">
        <f>'0363 table 2'!E11</f>
        <v>10132500</v>
      </c>
      <c r="D998">
        <f>'0363 table 2'!F11</f>
        <v>373.15</v>
      </c>
      <c r="E998">
        <f>'0363 table 2'!G11</f>
        <v>480.3073967339098</v>
      </c>
      <c r="G998">
        <v>10132500</v>
      </c>
    </row>
    <row r="999" spans="1:7" x14ac:dyDescent="0.35">
      <c r="A999">
        <v>363</v>
      </c>
      <c r="B999">
        <v>2</v>
      </c>
      <c r="C999">
        <f>'0363 table 2'!E12</f>
        <v>10132500</v>
      </c>
      <c r="D999">
        <f>'0363 table 2'!F12</f>
        <v>383.15</v>
      </c>
      <c r="E999">
        <f>'0363 table 2'!G12</f>
        <v>447.42729306487689</v>
      </c>
      <c r="G999">
        <v>10132500</v>
      </c>
    </row>
    <row r="1000" spans="1:7" x14ac:dyDescent="0.35">
      <c r="A1000">
        <v>363</v>
      </c>
      <c r="B1000">
        <v>2</v>
      </c>
      <c r="C1000">
        <f>'0363 table 2'!E13</f>
        <v>20265000</v>
      </c>
      <c r="D1000">
        <f>'0363 table 2'!F13</f>
        <v>283.14999999999998</v>
      </c>
      <c r="E1000">
        <f>'0363 table 2'!G13</f>
        <v>627.94348508634221</v>
      </c>
      <c r="G1000">
        <v>20265000</v>
      </c>
    </row>
    <row r="1001" spans="1:7" x14ac:dyDescent="0.35">
      <c r="A1001">
        <v>363</v>
      </c>
      <c r="B1001">
        <v>2</v>
      </c>
      <c r="C1001">
        <f>'0363 table 2'!E14</f>
        <v>20265000</v>
      </c>
      <c r="D1001">
        <f>'0363 table 2'!F14</f>
        <v>293.14999999999998</v>
      </c>
      <c r="E1001">
        <f>'0363 table 2'!G14</f>
        <v>621.11801242236027</v>
      </c>
      <c r="G1001">
        <v>20265000</v>
      </c>
    </row>
    <row r="1002" spans="1:7" x14ac:dyDescent="0.35">
      <c r="A1002">
        <v>363</v>
      </c>
      <c r="B1002">
        <v>2</v>
      </c>
      <c r="C1002">
        <f>'0363 table 2'!E15</f>
        <v>20265000</v>
      </c>
      <c r="D1002">
        <f>'0363 table 2'!F15</f>
        <v>303.14999999999998</v>
      </c>
      <c r="E1002">
        <f>'0363 table 2'!G15</f>
        <v>610.6870229007634</v>
      </c>
      <c r="G1002">
        <v>20265000</v>
      </c>
    </row>
    <row r="1003" spans="1:7" x14ac:dyDescent="0.35">
      <c r="A1003">
        <v>363</v>
      </c>
      <c r="B1003">
        <v>2</v>
      </c>
      <c r="C1003">
        <f>'0363 table 2'!E16</f>
        <v>20265000</v>
      </c>
      <c r="D1003">
        <f>'0363 table 2'!F16</f>
        <v>313.14999999999998</v>
      </c>
      <c r="E1003">
        <f>'0363 table 2'!G16</f>
        <v>600.24009603841546</v>
      </c>
      <c r="G1003">
        <v>20265000</v>
      </c>
    </row>
    <row r="1004" spans="1:7" x14ac:dyDescent="0.35">
      <c r="A1004">
        <v>363</v>
      </c>
      <c r="B1004">
        <v>2</v>
      </c>
      <c r="C1004">
        <f>'0363 table 2'!E17</f>
        <v>20265000</v>
      </c>
      <c r="D1004">
        <f>'0363 table 2'!F17</f>
        <v>323.14999999999998</v>
      </c>
      <c r="E1004">
        <f>'0363 table 2'!G17</f>
        <v>587.0267097152921</v>
      </c>
      <c r="G1004">
        <v>20265000</v>
      </c>
    </row>
    <row r="1005" spans="1:7" x14ac:dyDescent="0.35">
      <c r="A1005">
        <v>363</v>
      </c>
      <c r="B1005">
        <v>2</v>
      </c>
      <c r="C1005">
        <f>'0363 table 2'!E18</f>
        <v>20265000</v>
      </c>
      <c r="D1005">
        <f>'0363 table 2'!F18</f>
        <v>333.15</v>
      </c>
      <c r="E1005">
        <f>'0363 table 2'!G18</f>
        <v>572.73768613974812</v>
      </c>
      <c r="G1005">
        <v>20265000</v>
      </c>
    </row>
    <row r="1006" spans="1:7" x14ac:dyDescent="0.35">
      <c r="A1006">
        <v>363</v>
      </c>
      <c r="B1006">
        <v>2</v>
      </c>
      <c r="C1006">
        <f>'0363 table 2'!E19</f>
        <v>20265000</v>
      </c>
      <c r="D1006">
        <f>'0363 table 2'!F19</f>
        <v>343.15</v>
      </c>
      <c r="E1006">
        <f>'0363 table 2'!G19</f>
        <v>557.10306406685243</v>
      </c>
      <c r="G1006">
        <v>20265000</v>
      </c>
    </row>
    <row r="1007" spans="1:7" x14ac:dyDescent="0.35">
      <c r="A1007">
        <v>363</v>
      </c>
      <c r="B1007">
        <v>2</v>
      </c>
      <c r="C1007">
        <f>'0363 table 2'!E20</f>
        <v>20265000</v>
      </c>
      <c r="D1007">
        <f>'0363 table 2'!F20</f>
        <v>353.15</v>
      </c>
      <c r="E1007">
        <f>'0363 table 2'!G20</f>
        <v>539.51982735365527</v>
      </c>
      <c r="G1007">
        <v>20265000</v>
      </c>
    </row>
    <row r="1008" spans="1:7" x14ac:dyDescent="0.35">
      <c r="A1008">
        <v>363</v>
      </c>
      <c r="B1008">
        <v>2</v>
      </c>
      <c r="C1008">
        <f>'0363 table 2'!E21</f>
        <v>20265000</v>
      </c>
      <c r="D1008">
        <f>'0363 table 2'!F21</f>
        <v>363.15</v>
      </c>
      <c r="E1008">
        <f>'0363 table 2'!G21</f>
        <v>520.56220718375846</v>
      </c>
      <c r="G1008">
        <v>20265000</v>
      </c>
    </row>
    <row r="1009" spans="1:7" x14ac:dyDescent="0.35">
      <c r="A1009">
        <v>363</v>
      </c>
      <c r="B1009">
        <v>2</v>
      </c>
      <c r="C1009">
        <f>'0363 table 2'!E22</f>
        <v>20265000</v>
      </c>
      <c r="D1009">
        <f>'0363 table 2'!F22</f>
        <v>373.15</v>
      </c>
      <c r="E1009">
        <f>'0363 table 2'!G22</f>
        <v>500.62578222778473</v>
      </c>
      <c r="G1009">
        <v>20265000</v>
      </c>
    </row>
    <row r="1010" spans="1:7" x14ac:dyDescent="0.35">
      <c r="A1010">
        <v>363</v>
      </c>
      <c r="B1010">
        <v>2</v>
      </c>
      <c r="C1010">
        <f>'0363 table 2'!E23</f>
        <v>20265000</v>
      </c>
      <c r="D1010">
        <f>'0363 table 2'!F23</f>
        <v>383.15</v>
      </c>
      <c r="E1010">
        <f>'0363 table 2'!G23</f>
        <v>480.76923076923077</v>
      </c>
      <c r="G1010">
        <v>20265000</v>
      </c>
    </row>
    <row r="1011" spans="1:7" x14ac:dyDescent="0.35">
      <c r="A1011">
        <v>363</v>
      </c>
      <c r="B1011">
        <v>2</v>
      </c>
      <c r="C1011">
        <f>'0363 table 2'!E24</f>
        <v>20265000</v>
      </c>
      <c r="D1011">
        <f>'0363 table 2'!F24</f>
        <v>393.15</v>
      </c>
      <c r="E1011">
        <f>'0363 table 2'!G24</f>
        <v>458.71559633027533</v>
      </c>
      <c r="G1011">
        <v>20265000</v>
      </c>
    </row>
    <row r="1012" spans="1:7" x14ac:dyDescent="0.35">
      <c r="A1012">
        <v>363</v>
      </c>
      <c r="B1012">
        <v>2</v>
      </c>
      <c r="C1012">
        <f>'0363 table 2'!E25</f>
        <v>20265000</v>
      </c>
      <c r="D1012">
        <f>'0363 table 2'!F25</f>
        <v>403.15</v>
      </c>
      <c r="E1012">
        <f>'0363 table 2'!G25</f>
        <v>432.90043290043297</v>
      </c>
      <c r="G1012">
        <v>20265000</v>
      </c>
    </row>
    <row r="1013" spans="1:7" x14ac:dyDescent="0.35">
      <c r="A1013">
        <v>363</v>
      </c>
      <c r="B1013">
        <v>2</v>
      </c>
      <c r="C1013">
        <f>'0363 table 2'!E26</f>
        <v>20265000</v>
      </c>
      <c r="D1013">
        <f>'0363 table 2'!F26</f>
        <v>413.15</v>
      </c>
      <c r="E1013">
        <f>'0363 table 2'!G26</f>
        <v>401.20361083249747</v>
      </c>
      <c r="G1013">
        <v>20265000</v>
      </c>
    </row>
    <row r="1014" spans="1:7" x14ac:dyDescent="0.35">
      <c r="A1014">
        <v>363</v>
      </c>
      <c r="B1014">
        <v>2</v>
      </c>
      <c r="C1014">
        <f>'0363 table 2'!E27</f>
        <v>20265000</v>
      </c>
      <c r="D1014">
        <f>'0363 table 2'!F27</f>
        <v>423.15</v>
      </c>
      <c r="E1014">
        <f>'0363 table 2'!G27</f>
        <v>361.01083032490976</v>
      </c>
      <c r="G1014">
        <v>20265000</v>
      </c>
    </row>
    <row r="1015" spans="1:7" x14ac:dyDescent="0.35">
      <c r="A1015">
        <v>363</v>
      </c>
      <c r="B1015">
        <v>2</v>
      </c>
      <c r="C1015">
        <f>'0363 table 2'!E28</f>
        <v>20265000</v>
      </c>
      <c r="D1015">
        <f>'0363 table 2'!F28</f>
        <v>433.15</v>
      </c>
      <c r="E1015">
        <f>'0363 table 2'!G28</f>
        <v>313.47962382445138</v>
      </c>
      <c r="G1015">
        <v>20265000</v>
      </c>
    </row>
    <row r="1016" spans="1:7" x14ac:dyDescent="0.35">
      <c r="A1016">
        <v>363</v>
      </c>
      <c r="B1016">
        <v>2</v>
      </c>
      <c r="C1016">
        <f>'0363 table 2'!E29</f>
        <v>20265000</v>
      </c>
      <c r="D1016">
        <f>'0363 table 2'!F29</f>
        <v>443.15</v>
      </c>
      <c r="E1016">
        <f>'0363 table 2'!G29</f>
        <v>267.37967914438497</v>
      </c>
      <c r="G1016">
        <v>20265000</v>
      </c>
    </row>
    <row r="1017" spans="1:7" x14ac:dyDescent="0.35">
      <c r="A1017">
        <v>363</v>
      </c>
      <c r="B1017">
        <v>2</v>
      </c>
      <c r="C1017">
        <f>'0363 table 2'!E30</f>
        <v>20265000</v>
      </c>
      <c r="D1017">
        <f>'0363 table 2'!F30</f>
        <v>453.15</v>
      </c>
      <c r="E1017">
        <f>'0363 table 2'!G30</f>
        <v>225.47914317925594</v>
      </c>
      <c r="G1017">
        <v>20265000</v>
      </c>
    </row>
    <row r="1018" spans="1:7" x14ac:dyDescent="0.35">
      <c r="A1018">
        <v>363</v>
      </c>
      <c r="B1018">
        <v>2</v>
      </c>
      <c r="C1018">
        <f>'0363 table 2'!E31</f>
        <v>20265000</v>
      </c>
      <c r="D1018">
        <f>'0363 table 2'!F31</f>
        <v>463.15</v>
      </c>
      <c r="E1018">
        <f>'0363 table 2'!G31</f>
        <v>189.57345971563981</v>
      </c>
      <c r="G1018">
        <v>20265000</v>
      </c>
    </row>
    <row r="1019" spans="1:7" x14ac:dyDescent="0.35">
      <c r="A1019">
        <v>363</v>
      </c>
      <c r="B1019">
        <v>2</v>
      </c>
      <c r="C1019">
        <f>'0363 table 2'!E32</f>
        <v>20265000</v>
      </c>
      <c r="D1019">
        <f>'0363 table 2'!F32</f>
        <v>473.15</v>
      </c>
      <c r="E1019">
        <f>'0363 table 2'!G32</f>
        <v>159.36254980079681</v>
      </c>
      <c r="G1019">
        <v>20265000</v>
      </c>
    </row>
    <row r="1020" spans="1:7" x14ac:dyDescent="0.35">
      <c r="A1020">
        <v>363</v>
      </c>
      <c r="B1020">
        <v>2</v>
      </c>
      <c r="C1020">
        <f>'0363 table 2'!E33</f>
        <v>30397500</v>
      </c>
      <c r="D1020">
        <f>'0363 table 2'!F33</f>
        <v>283.14999999999998</v>
      </c>
      <c r="E1020">
        <f>'0363 table 2'!G33</f>
        <v>643.77682403433471</v>
      </c>
      <c r="G1020">
        <v>30397500</v>
      </c>
    </row>
    <row r="1021" spans="1:7" x14ac:dyDescent="0.35">
      <c r="A1021">
        <v>363</v>
      </c>
      <c r="B1021">
        <v>2</v>
      </c>
      <c r="C1021">
        <f>'0363 table 2'!E34</f>
        <v>30397500</v>
      </c>
      <c r="D1021">
        <f>'0363 table 2'!F34</f>
        <v>293.14999999999998</v>
      </c>
      <c r="E1021">
        <f>'0363 table 2'!G34</f>
        <v>632.77789495886941</v>
      </c>
      <c r="G1021">
        <v>30397500</v>
      </c>
    </row>
    <row r="1022" spans="1:7" x14ac:dyDescent="0.35">
      <c r="A1022">
        <v>363</v>
      </c>
      <c r="B1022">
        <v>2</v>
      </c>
      <c r="C1022">
        <f>'0363 table 2'!E35</f>
        <v>30397500</v>
      </c>
      <c r="D1022">
        <f>'0363 table 2'!F35</f>
        <v>303.14999999999998</v>
      </c>
      <c r="E1022">
        <f>'0363 table 2'!G35</f>
        <v>621.76165803108802</v>
      </c>
      <c r="G1022">
        <v>30397500</v>
      </c>
    </row>
    <row r="1023" spans="1:7" x14ac:dyDescent="0.35">
      <c r="A1023">
        <v>363</v>
      </c>
      <c r="B1023">
        <v>2</v>
      </c>
      <c r="C1023">
        <f>'0363 table 2'!E36</f>
        <v>30397500</v>
      </c>
      <c r="D1023">
        <f>'0363 table 2'!F36</f>
        <v>313.14999999999998</v>
      </c>
      <c r="E1023">
        <f>'0363 table 2'!G36</f>
        <v>609.50832994717609</v>
      </c>
      <c r="G1023">
        <v>30397500</v>
      </c>
    </row>
    <row r="1024" spans="1:7" x14ac:dyDescent="0.35">
      <c r="A1024">
        <v>363</v>
      </c>
      <c r="B1024">
        <v>2</v>
      </c>
      <c r="C1024">
        <f>'0363 table 2'!E37</f>
        <v>30397500</v>
      </c>
      <c r="D1024">
        <f>'0363 table 2'!F37</f>
        <v>323.14999999999998</v>
      </c>
      <c r="E1024">
        <f>'0363 table 2'!G37</f>
        <v>595.47439460103215</v>
      </c>
      <c r="G1024">
        <v>30397500</v>
      </c>
    </row>
    <row r="1025" spans="1:7" x14ac:dyDescent="0.35">
      <c r="A1025">
        <v>363</v>
      </c>
      <c r="B1025">
        <v>2</v>
      </c>
      <c r="C1025">
        <f>'0363 table 2'!E38</f>
        <v>30397500</v>
      </c>
      <c r="D1025">
        <f>'0363 table 2'!F38</f>
        <v>333.15</v>
      </c>
      <c r="E1025">
        <f>'0363 table 2'!G38</f>
        <v>581.39534883720933</v>
      </c>
      <c r="G1025">
        <v>30397500</v>
      </c>
    </row>
    <row r="1026" spans="1:7" x14ac:dyDescent="0.35">
      <c r="A1026">
        <v>363</v>
      </c>
      <c r="B1026">
        <v>2</v>
      </c>
      <c r="C1026">
        <f>'0363 table 2'!E39</f>
        <v>30397500</v>
      </c>
      <c r="D1026">
        <f>'0363 table 2'!F39</f>
        <v>343.15</v>
      </c>
      <c r="E1026">
        <f>'0363 table 2'!G39</f>
        <v>566.8934240362812</v>
      </c>
      <c r="G1026">
        <v>30397500</v>
      </c>
    </row>
    <row r="1027" spans="1:7" x14ac:dyDescent="0.35">
      <c r="A1027">
        <v>363</v>
      </c>
      <c r="B1027">
        <v>2</v>
      </c>
      <c r="C1027">
        <f>'0363 table 2'!E40</f>
        <v>30397500</v>
      </c>
      <c r="D1027">
        <f>'0363 table 2'!F40</f>
        <v>353.15</v>
      </c>
      <c r="E1027">
        <f>'0363 table 2'!G40</f>
        <v>552.28276877761402</v>
      </c>
      <c r="G1027">
        <v>30397500</v>
      </c>
    </row>
    <row r="1028" spans="1:7" x14ac:dyDescent="0.35">
      <c r="A1028">
        <v>363</v>
      </c>
      <c r="B1028">
        <v>2</v>
      </c>
      <c r="C1028">
        <f>'0363 table 2'!E41</f>
        <v>30397500</v>
      </c>
      <c r="D1028">
        <f>'0363 table 2'!F41</f>
        <v>363.15</v>
      </c>
      <c r="E1028">
        <f>'0363 table 2'!G41</f>
        <v>536.96080186146412</v>
      </c>
      <c r="G1028">
        <v>30397500</v>
      </c>
    </row>
    <row r="1029" spans="1:7" x14ac:dyDescent="0.35">
      <c r="A1029">
        <v>363</v>
      </c>
      <c r="B1029">
        <v>2</v>
      </c>
      <c r="C1029">
        <f>'0363 table 2'!E42</f>
        <v>30397500</v>
      </c>
      <c r="D1029">
        <f>'0363 table 2'!F42</f>
        <v>373.15</v>
      </c>
      <c r="E1029">
        <f>'0363 table 2'!G42</f>
        <v>521.01424105592218</v>
      </c>
      <c r="G1029">
        <v>30397500</v>
      </c>
    </row>
    <row r="1030" spans="1:7" x14ac:dyDescent="0.35">
      <c r="A1030">
        <v>363</v>
      </c>
      <c r="B1030">
        <v>2</v>
      </c>
      <c r="C1030">
        <f>'0363 table 2'!E43</f>
        <v>30397500</v>
      </c>
      <c r="D1030">
        <f>'0363 table 2'!F43</f>
        <v>383.15</v>
      </c>
      <c r="E1030">
        <f>'0363 table 2'!G43</f>
        <v>504.3712172158709</v>
      </c>
      <c r="G1030">
        <v>30397500</v>
      </c>
    </row>
    <row r="1031" spans="1:7" x14ac:dyDescent="0.35">
      <c r="A1031">
        <v>363</v>
      </c>
      <c r="B1031">
        <v>2</v>
      </c>
      <c r="C1031">
        <f>'0363 table 2'!E44</f>
        <v>30397500</v>
      </c>
      <c r="D1031">
        <f>'0363 table 2'!F44</f>
        <v>393.15</v>
      </c>
      <c r="E1031">
        <f>'0363 table 2'!G44</f>
        <v>486.06610499027857</v>
      </c>
      <c r="G1031">
        <v>30397500</v>
      </c>
    </row>
    <row r="1032" spans="1:7" x14ac:dyDescent="0.35">
      <c r="A1032">
        <v>363</v>
      </c>
      <c r="B1032">
        <v>2</v>
      </c>
      <c r="C1032">
        <f>'0363 table 2'!E45</f>
        <v>30397500</v>
      </c>
      <c r="D1032">
        <f>'0363 table 2'!F45</f>
        <v>403.15</v>
      </c>
      <c r="E1032">
        <f>'0363 table 2'!G45</f>
        <v>466.20046620046622</v>
      </c>
      <c r="G1032">
        <v>30397500</v>
      </c>
    </row>
    <row r="1033" spans="1:7" x14ac:dyDescent="0.35">
      <c r="A1033">
        <v>363</v>
      </c>
      <c r="B1033">
        <v>2</v>
      </c>
      <c r="C1033">
        <f>'0363 table 2'!E46</f>
        <v>30397500</v>
      </c>
      <c r="D1033">
        <f>'0363 table 2'!F46</f>
        <v>413.15</v>
      </c>
      <c r="E1033">
        <f>'0363 table 2'!G46</f>
        <v>445.10385756676561</v>
      </c>
      <c r="G1033">
        <v>30397500</v>
      </c>
    </row>
    <row r="1034" spans="1:7" x14ac:dyDescent="0.35">
      <c r="A1034">
        <v>363</v>
      </c>
      <c r="B1034">
        <v>2</v>
      </c>
      <c r="C1034">
        <f>'0363 table 2'!E47</f>
        <v>30397500</v>
      </c>
      <c r="D1034">
        <f>'0363 table 2'!F47</f>
        <v>423.15</v>
      </c>
      <c r="E1034">
        <f>'0363 table 2'!G47</f>
        <v>422.35675066873154</v>
      </c>
      <c r="G1034">
        <v>30397500</v>
      </c>
    </row>
    <row r="1035" spans="1:7" x14ac:dyDescent="0.35">
      <c r="A1035">
        <v>363</v>
      </c>
      <c r="B1035">
        <v>2</v>
      </c>
      <c r="C1035">
        <f>'0363 table 2'!E48</f>
        <v>30397500</v>
      </c>
      <c r="D1035">
        <f>'0363 table 2'!F48</f>
        <v>433.15</v>
      </c>
      <c r="E1035">
        <f>'0363 table 2'!G48</f>
        <v>399.09538379672739</v>
      </c>
      <c r="G1035">
        <v>30397500</v>
      </c>
    </row>
    <row r="1036" spans="1:7" x14ac:dyDescent="0.35">
      <c r="A1036">
        <v>363</v>
      </c>
      <c r="B1036">
        <v>2</v>
      </c>
      <c r="C1036">
        <f>'0363 table 2'!E49</f>
        <v>30397500</v>
      </c>
      <c r="D1036">
        <f>'0363 table 2'!F49</f>
        <v>443.15</v>
      </c>
      <c r="E1036">
        <f>'0363 table 2'!G49</f>
        <v>372.6708074534161</v>
      </c>
      <c r="G1036">
        <v>30397500</v>
      </c>
    </row>
    <row r="1037" spans="1:7" x14ac:dyDescent="0.35">
      <c r="A1037">
        <v>363</v>
      </c>
      <c r="B1037">
        <v>2</v>
      </c>
      <c r="C1037">
        <f>'0363 table 2'!E50</f>
        <v>30397500</v>
      </c>
      <c r="D1037">
        <f>'0363 table 2'!F50</f>
        <v>453.15</v>
      </c>
      <c r="E1037">
        <f>'0363 table 2'!G50</f>
        <v>345.22439585730723</v>
      </c>
      <c r="G1037">
        <v>30397500</v>
      </c>
    </row>
    <row r="1038" spans="1:7" x14ac:dyDescent="0.35">
      <c r="A1038">
        <v>363</v>
      </c>
      <c r="B1038">
        <v>2</v>
      </c>
      <c r="C1038">
        <f>'0363 table 2'!E51</f>
        <v>30397500</v>
      </c>
      <c r="D1038">
        <f>'0363 table 2'!F51</f>
        <v>463.15</v>
      </c>
      <c r="E1038">
        <f>'0363 table 2'!G51</f>
        <v>315.78947368421052</v>
      </c>
      <c r="G1038">
        <v>30397500</v>
      </c>
    </row>
    <row r="1039" spans="1:7" x14ac:dyDescent="0.35">
      <c r="A1039">
        <v>363</v>
      </c>
      <c r="B1039">
        <v>2</v>
      </c>
      <c r="C1039">
        <f>'0363 table 2'!E52</f>
        <v>30397500</v>
      </c>
      <c r="D1039">
        <f>'0363 table 2'!F52</f>
        <v>473.15</v>
      </c>
      <c r="E1039">
        <f>'0363 table 2'!G52</f>
        <v>285.17110266159693</v>
      </c>
      <c r="G1039">
        <v>30397500</v>
      </c>
    </row>
    <row r="1040" spans="1:7" x14ac:dyDescent="0.35">
      <c r="A1040">
        <v>363</v>
      </c>
      <c r="B1040">
        <v>2</v>
      </c>
      <c r="C1040">
        <f>'0363 table 2'!E53</f>
        <v>40530000</v>
      </c>
      <c r="D1040">
        <f>'0363 table 2'!F53</f>
        <v>283.14999999999998</v>
      </c>
      <c r="E1040">
        <f>'0363 table 2'!G53</f>
        <v>645.89052155659624</v>
      </c>
      <c r="G1040">
        <v>40530000</v>
      </c>
    </row>
    <row r="1041" spans="1:7" x14ac:dyDescent="0.35">
      <c r="A1041">
        <v>363</v>
      </c>
      <c r="B1041">
        <v>2</v>
      </c>
      <c r="C1041">
        <f>'0363 table 2'!E54</f>
        <v>40530000</v>
      </c>
      <c r="D1041">
        <f>'0363 table 2'!F54</f>
        <v>293.14999999999998</v>
      </c>
      <c r="E1041">
        <f>'0363 table 2'!G54</f>
        <v>637.04411530498498</v>
      </c>
      <c r="G1041">
        <v>40530000</v>
      </c>
    </row>
    <row r="1042" spans="1:7" x14ac:dyDescent="0.35">
      <c r="A1042">
        <v>363</v>
      </c>
      <c r="B1042">
        <v>2</v>
      </c>
      <c r="C1042">
        <f>'0363 table 2'!E55</f>
        <v>40530000</v>
      </c>
      <c r="D1042">
        <f>'0363 table 2'!F55</f>
        <v>303.14999999999998</v>
      </c>
      <c r="E1042">
        <f>'0363 table 2'!G55</f>
        <v>627.94348508634221</v>
      </c>
      <c r="G1042">
        <v>40530000</v>
      </c>
    </row>
    <row r="1043" spans="1:7" x14ac:dyDescent="0.35">
      <c r="A1043">
        <v>363</v>
      </c>
      <c r="B1043">
        <v>2</v>
      </c>
      <c r="C1043">
        <f>'0363 table 2'!E56</f>
        <v>40530000</v>
      </c>
      <c r="D1043">
        <f>'0363 table 2'!F56</f>
        <v>313.14999999999998</v>
      </c>
      <c r="E1043">
        <f>'0363 table 2'!G56</f>
        <v>617.28395061728395</v>
      </c>
      <c r="G1043">
        <v>40530000</v>
      </c>
    </row>
    <row r="1044" spans="1:7" x14ac:dyDescent="0.35">
      <c r="A1044">
        <v>363</v>
      </c>
      <c r="B1044">
        <v>2</v>
      </c>
      <c r="C1044">
        <f>'0363 table 2'!E57</f>
        <v>40530000</v>
      </c>
      <c r="D1044">
        <f>'0363 table 2'!F57</f>
        <v>323.14999999999998</v>
      </c>
      <c r="E1044">
        <f>'0363 table 2'!G57</f>
        <v>605.60181680545031</v>
      </c>
      <c r="G1044">
        <v>40530000</v>
      </c>
    </row>
    <row r="1045" spans="1:7" x14ac:dyDescent="0.35">
      <c r="A1045">
        <v>363</v>
      </c>
      <c r="B1045">
        <v>2</v>
      </c>
      <c r="C1045">
        <f>'0363 table 2'!E58</f>
        <v>40530000</v>
      </c>
      <c r="D1045">
        <f>'0363 table 2'!F58</f>
        <v>333.15</v>
      </c>
      <c r="E1045">
        <f>'0363 table 2'!G58</f>
        <v>592.59259259259261</v>
      </c>
      <c r="G1045">
        <v>40530000</v>
      </c>
    </row>
    <row r="1046" spans="1:7" x14ac:dyDescent="0.35">
      <c r="A1046">
        <v>363</v>
      </c>
      <c r="B1046">
        <v>2</v>
      </c>
      <c r="C1046">
        <f>'0363 table 2'!E59</f>
        <v>40530000</v>
      </c>
      <c r="D1046">
        <f>'0363 table 2'!F59</f>
        <v>343.15</v>
      </c>
      <c r="E1046">
        <f>'0363 table 2'!G59</f>
        <v>579.71014492753625</v>
      </c>
      <c r="G1046">
        <v>40530000</v>
      </c>
    </row>
    <row r="1047" spans="1:7" x14ac:dyDescent="0.35">
      <c r="A1047">
        <v>363</v>
      </c>
      <c r="B1047">
        <v>2</v>
      </c>
      <c r="C1047">
        <f>'0363 table 2'!E60</f>
        <v>40530000</v>
      </c>
      <c r="D1047">
        <f>'0363 table 2'!F60</f>
        <v>353.15</v>
      </c>
      <c r="E1047">
        <f>'0363 table 2'!G60</f>
        <v>566.17126680820945</v>
      </c>
      <c r="G1047">
        <v>40530000</v>
      </c>
    </row>
    <row r="1048" spans="1:7" x14ac:dyDescent="0.35">
      <c r="A1048">
        <v>363</v>
      </c>
      <c r="B1048">
        <v>2</v>
      </c>
      <c r="C1048">
        <f>'0363 table 2'!E61</f>
        <v>40530000</v>
      </c>
      <c r="D1048">
        <f>'0363 table 2'!F61</f>
        <v>363.15</v>
      </c>
      <c r="E1048">
        <f>'0363 table 2'!G61</f>
        <v>551.57198014340872</v>
      </c>
      <c r="G1048">
        <v>40530000</v>
      </c>
    </row>
    <row r="1049" spans="1:7" x14ac:dyDescent="0.35">
      <c r="A1049">
        <v>363</v>
      </c>
      <c r="B1049">
        <v>2</v>
      </c>
      <c r="C1049">
        <f>'0363 table 2'!E62</f>
        <v>40530000</v>
      </c>
      <c r="D1049">
        <f>'0363 table 2'!F62</f>
        <v>373.15</v>
      </c>
      <c r="E1049">
        <f>'0363 table 2'!G62</f>
        <v>536.48068669527902</v>
      </c>
      <c r="G1049">
        <v>40530000</v>
      </c>
    </row>
    <row r="1050" spans="1:7" x14ac:dyDescent="0.35">
      <c r="A1050">
        <v>363</v>
      </c>
      <c r="B1050">
        <v>2</v>
      </c>
      <c r="C1050">
        <f>'0363 table 2'!E63</f>
        <v>40530000</v>
      </c>
      <c r="D1050">
        <f>'0363 table 2'!F63</f>
        <v>383.15</v>
      </c>
      <c r="E1050">
        <f>'0363 table 2'!G63</f>
        <v>521.37643378519294</v>
      </c>
      <c r="G1050">
        <v>40530000</v>
      </c>
    </row>
    <row r="1051" spans="1:7" x14ac:dyDescent="0.35">
      <c r="A1051">
        <v>363</v>
      </c>
      <c r="B1051">
        <v>2</v>
      </c>
      <c r="C1051">
        <f>'0363 table 2'!E64</f>
        <v>40530000</v>
      </c>
      <c r="D1051">
        <f>'0363 table 2'!F64</f>
        <v>393.15</v>
      </c>
      <c r="E1051">
        <f>'0363 table 2'!G64</f>
        <v>506.00885515496526</v>
      </c>
      <c r="G1051">
        <v>40530000</v>
      </c>
    </row>
    <row r="1052" spans="1:7" x14ac:dyDescent="0.35">
      <c r="A1052">
        <v>363</v>
      </c>
      <c r="B1052">
        <v>2</v>
      </c>
      <c r="C1052">
        <f>'0363 table 2'!E65</f>
        <v>40530000</v>
      </c>
      <c r="D1052">
        <f>'0363 table 2'!F65</f>
        <v>403.15</v>
      </c>
      <c r="E1052">
        <f>'0363 table 2'!G65</f>
        <v>489.11714355588174</v>
      </c>
      <c r="G1052">
        <v>40530000</v>
      </c>
    </row>
    <row r="1053" spans="1:7" x14ac:dyDescent="0.35">
      <c r="A1053">
        <v>363</v>
      </c>
      <c r="B1053">
        <v>2</v>
      </c>
      <c r="C1053">
        <f>'0363 table 2'!E66</f>
        <v>40530000</v>
      </c>
      <c r="D1053">
        <f>'0363 table 2'!F66</f>
        <v>413.15</v>
      </c>
      <c r="E1053">
        <f>'0363 table 2'!G66</f>
        <v>471.69811320754718</v>
      </c>
      <c r="G1053">
        <v>40530000</v>
      </c>
    </row>
    <row r="1054" spans="1:7" x14ac:dyDescent="0.35">
      <c r="A1054">
        <v>363</v>
      </c>
      <c r="B1054">
        <v>2</v>
      </c>
      <c r="C1054">
        <f>'0363 table 2'!E67</f>
        <v>40530000</v>
      </c>
      <c r="D1054">
        <f>'0363 table 2'!F67</f>
        <v>423.15</v>
      </c>
      <c r="E1054">
        <f>'0363 table 2'!G67</f>
        <v>453.61760036289417</v>
      </c>
      <c r="G1054">
        <v>40530000</v>
      </c>
    </row>
    <row r="1055" spans="1:7" x14ac:dyDescent="0.35">
      <c r="A1055">
        <v>363</v>
      </c>
      <c r="B1055">
        <v>2</v>
      </c>
      <c r="C1055">
        <f>'0363 table 2'!E68</f>
        <v>40530000</v>
      </c>
      <c r="D1055">
        <f>'0363 table 2'!F68</f>
        <v>433.15</v>
      </c>
      <c r="E1055">
        <f>'0363 table 2'!G68</f>
        <v>435.16100957354223</v>
      </c>
      <c r="G1055">
        <v>40530000</v>
      </c>
    </row>
    <row r="1056" spans="1:7" x14ac:dyDescent="0.35">
      <c r="A1056">
        <v>363</v>
      </c>
      <c r="B1056">
        <v>2</v>
      </c>
      <c r="C1056">
        <f>'0363 table 2'!E69</f>
        <v>40530000</v>
      </c>
      <c r="D1056">
        <f>'0363 table 2'!F69</f>
        <v>443.15</v>
      </c>
      <c r="E1056">
        <f>'0363 table 2'!G69</f>
        <v>415.71398877572233</v>
      </c>
      <c r="G1056">
        <v>40530000</v>
      </c>
    </row>
    <row r="1057" spans="1:7" x14ac:dyDescent="0.35">
      <c r="A1057">
        <v>363</v>
      </c>
      <c r="B1057">
        <v>2</v>
      </c>
      <c r="C1057">
        <f>'0363 table 2'!E70</f>
        <v>40530000</v>
      </c>
      <c r="D1057">
        <f>'0363 table 2'!F70</f>
        <v>453.15</v>
      </c>
      <c r="E1057">
        <f>'0363 table 2'!G70</f>
        <v>396.03960396039611</v>
      </c>
      <c r="G1057">
        <v>40530000</v>
      </c>
    </row>
    <row r="1058" spans="1:7" x14ac:dyDescent="0.35">
      <c r="A1058">
        <v>363</v>
      </c>
      <c r="B1058">
        <v>2</v>
      </c>
      <c r="C1058">
        <f>'0363 table 2'!E71</f>
        <v>40530000</v>
      </c>
      <c r="D1058">
        <f>'0363 table 2'!F71</f>
        <v>463.15</v>
      </c>
      <c r="E1058">
        <f>'0363 table 2'!G71</f>
        <v>374.53183520599248</v>
      </c>
      <c r="G1058">
        <v>40530000</v>
      </c>
    </row>
    <row r="1059" spans="1:7" x14ac:dyDescent="0.35">
      <c r="A1059">
        <v>363</v>
      </c>
      <c r="B1059">
        <v>2</v>
      </c>
      <c r="C1059">
        <f>'0363 table 2'!E72</f>
        <v>40530000</v>
      </c>
      <c r="D1059">
        <f>'0363 table 2'!F72</f>
        <v>473.15</v>
      </c>
      <c r="E1059">
        <f>'0363 table 2'!G72</f>
        <v>354.6099290780142</v>
      </c>
      <c r="G1059">
        <v>40530000</v>
      </c>
    </row>
    <row r="1060" spans="1:7" x14ac:dyDescent="0.35">
      <c r="A1060">
        <v>363</v>
      </c>
      <c r="B1060">
        <v>2</v>
      </c>
      <c r="C1060">
        <f>'0363 table 2'!E73</f>
        <v>50662500</v>
      </c>
      <c r="D1060">
        <f>'0363 table 2'!F73</f>
        <v>283.14999999999998</v>
      </c>
      <c r="E1060">
        <f>'0363 table 2'!G73</f>
        <v>652.0605112154409</v>
      </c>
      <c r="G1060">
        <v>50662500</v>
      </c>
    </row>
    <row r="1061" spans="1:7" x14ac:dyDescent="0.35">
      <c r="A1061">
        <v>363</v>
      </c>
      <c r="B1061">
        <v>2</v>
      </c>
      <c r="C1061">
        <f>'0363 table 2'!E74</f>
        <v>50662500</v>
      </c>
      <c r="D1061">
        <f>'0363 table 2'!F74</f>
        <v>293.14999999999998</v>
      </c>
      <c r="E1061">
        <f>'0363 table 2'!G74</f>
        <v>643.33504889346375</v>
      </c>
      <c r="G1061">
        <v>50662500</v>
      </c>
    </row>
    <row r="1062" spans="1:7" x14ac:dyDescent="0.35">
      <c r="A1062">
        <v>363</v>
      </c>
      <c r="B1062">
        <v>2</v>
      </c>
      <c r="C1062">
        <f>'0363 table 2'!E75</f>
        <v>50662500</v>
      </c>
      <c r="D1062">
        <f>'0363 table 2'!F75</f>
        <v>303.14999999999998</v>
      </c>
      <c r="E1062">
        <f>'0363 table 2'!G75</f>
        <v>633.87423935091272</v>
      </c>
      <c r="G1062">
        <v>50662500</v>
      </c>
    </row>
    <row r="1063" spans="1:7" x14ac:dyDescent="0.35">
      <c r="A1063">
        <v>363</v>
      </c>
      <c r="B1063">
        <v>2</v>
      </c>
      <c r="C1063">
        <f>'0363 table 2'!E76</f>
        <v>50662500</v>
      </c>
      <c r="D1063">
        <f>'0363 table 2'!F76</f>
        <v>313.14999999999998</v>
      </c>
      <c r="E1063">
        <f>'0363 table 2'!G76</f>
        <v>623.44139650872819</v>
      </c>
      <c r="G1063">
        <v>50662500</v>
      </c>
    </row>
    <row r="1064" spans="1:7" x14ac:dyDescent="0.35">
      <c r="A1064">
        <v>363</v>
      </c>
      <c r="B1064">
        <v>2</v>
      </c>
      <c r="C1064">
        <f>'0363 table 2'!E77</f>
        <v>50662500</v>
      </c>
      <c r="D1064">
        <f>'0363 table 2'!F77</f>
        <v>323.14999999999998</v>
      </c>
      <c r="E1064">
        <f>'0363 table 2'!G77</f>
        <v>612.14495592556318</v>
      </c>
      <c r="G1064">
        <v>50662500</v>
      </c>
    </row>
    <row r="1065" spans="1:7" x14ac:dyDescent="0.35">
      <c r="A1065">
        <v>363</v>
      </c>
      <c r="B1065">
        <v>2</v>
      </c>
      <c r="C1065">
        <f>'0363 table 2'!E78</f>
        <v>50662500</v>
      </c>
      <c r="D1065">
        <f>'0363 table 2'!F78</f>
        <v>333.15</v>
      </c>
      <c r="E1065">
        <f>'0363 table 2'!G78</f>
        <v>600.81711127132894</v>
      </c>
      <c r="G1065">
        <v>50662500</v>
      </c>
    </row>
    <row r="1066" spans="1:7" x14ac:dyDescent="0.35">
      <c r="A1066">
        <v>363</v>
      </c>
      <c r="B1066">
        <v>2</v>
      </c>
      <c r="C1066">
        <f>'0363 table 2'!E79</f>
        <v>50662500</v>
      </c>
      <c r="D1066">
        <f>'0363 table 2'!F79</f>
        <v>343.15</v>
      </c>
      <c r="E1066">
        <f>'0363 table 2'!G79</f>
        <v>588.5815185403178</v>
      </c>
      <c r="G1066">
        <v>50662500</v>
      </c>
    </row>
    <row r="1067" spans="1:7" x14ac:dyDescent="0.35">
      <c r="A1067">
        <v>363</v>
      </c>
      <c r="B1067">
        <v>2</v>
      </c>
      <c r="C1067">
        <f>'0363 table 2'!E80</f>
        <v>50662500</v>
      </c>
      <c r="D1067">
        <f>'0363 table 2'!F80</f>
        <v>353.15</v>
      </c>
      <c r="E1067">
        <f>'0363 table 2'!G80</f>
        <v>575.9041695461874</v>
      </c>
      <c r="G1067">
        <v>50662500</v>
      </c>
    </row>
    <row r="1068" spans="1:7" x14ac:dyDescent="0.35">
      <c r="A1068">
        <v>363</v>
      </c>
      <c r="B1068">
        <v>2</v>
      </c>
      <c r="C1068">
        <f>'0363 table 2'!E81</f>
        <v>50662500</v>
      </c>
      <c r="D1068">
        <f>'0363 table 2'!F81</f>
        <v>363.15</v>
      </c>
      <c r="E1068">
        <f>'0363 table 2'!G81</f>
        <v>562.7462014631401</v>
      </c>
      <c r="G1068">
        <v>50662500</v>
      </c>
    </row>
    <row r="1069" spans="1:7" x14ac:dyDescent="0.35">
      <c r="A1069">
        <v>363</v>
      </c>
      <c r="B1069">
        <v>2</v>
      </c>
      <c r="C1069">
        <f>'0363 table 2'!E82</f>
        <v>50662500</v>
      </c>
      <c r="D1069">
        <f>'0363 table 2'!F82</f>
        <v>373.15</v>
      </c>
      <c r="E1069">
        <f>'0363 table 2'!G82</f>
        <v>549.45054945054949</v>
      </c>
      <c r="G1069">
        <v>50662500</v>
      </c>
    </row>
    <row r="1070" spans="1:7" x14ac:dyDescent="0.35">
      <c r="A1070">
        <v>363</v>
      </c>
      <c r="B1070">
        <v>2</v>
      </c>
      <c r="C1070">
        <f>'0363 table 2'!E83</f>
        <v>50662500</v>
      </c>
      <c r="D1070">
        <f>'0363 table 2'!F83</f>
        <v>383.15</v>
      </c>
      <c r="E1070">
        <f>'0363 table 2'!G83</f>
        <v>535.33190578158462</v>
      </c>
      <c r="G1070">
        <v>50662500</v>
      </c>
    </row>
    <row r="1071" spans="1:7" x14ac:dyDescent="0.35">
      <c r="A1071">
        <v>363</v>
      </c>
      <c r="B1071">
        <v>2</v>
      </c>
      <c r="C1071">
        <f>'0363 table 2'!E84</f>
        <v>50662500</v>
      </c>
      <c r="D1071">
        <f>'0363 table 2'!F84</f>
        <v>393.15</v>
      </c>
      <c r="E1071">
        <f>'0363 table 2'!G84</f>
        <v>520.83333333333337</v>
      </c>
      <c r="G1071">
        <v>50662500</v>
      </c>
    </row>
    <row r="1072" spans="1:7" x14ac:dyDescent="0.35">
      <c r="A1072">
        <v>363</v>
      </c>
      <c r="B1072">
        <v>2</v>
      </c>
      <c r="C1072">
        <f>'0363 table 2'!E85</f>
        <v>50662500</v>
      </c>
      <c r="D1072">
        <f>'0363 table 2'!F85</f>
        <v>403.15</v>
      </c>
      <c r="E1072">
        <f>'0363 table 2'!G85</f>
        <v>505.97045132564256</v>
      </c>
      <c r="G1072">
        <v>50662500</v>
      </c>
    </row>
    <row r="1073" spans="1:7" x14ac:dyDescent="0.35">
      <c r="A1073">
        <v>363</v>
      </c>
      <c r="B1073">
        <v>2</v>
      </c>
      <c r="C1073">
        <f>'0363 table 2'!E86</f>
        <v>50662500</v>
      </c>
      <c r="D1073">
        <f>'0363 table 2'!F86</f>
        <v>413.15</v>
      </c>
      <c r="E1073">
        <f>'0363 table 2'!G86</f>
        <v>491.15913555992148</v>
      </c>
      <c r="G1073">
        <v>50662500</v>
      </c>
    </row>
    <row r="1074" spans="1:7" x14ac:dyDescent="0.35">
      <c r="A1074">
        <v>363</v>
      </c>
      <c r="B1074">
        <v>2</v>
      </c>
      <c r="C1074">
        <f>'0363 table 2'!E87</f>
        <v>50662500</v>
      </c>
      <c r="D1074">
        <f>'0363 table 2'!F87</f>
        <v>423.15</v>
      </c>
      <c r="E1074">
        <f>'0363 table 2'!G87</f>
        <v>476.19047619047615</v>
      </c>
      <c r="G1074">
        <v>50662500</v>
      </c>
    </row>
    <row r="1075" spans="1:7" x14ac:dyDescent="0.35">
      <c r="A1075">
        <v>363</v>
      </c>
      <c r="B1075">
        <v>2</v>
      </c>
      <c r="C1075">
        <f>'0363 table 2'!E88</f>
        <v>50662500</v>
      </c>
      <c r="D1075">
        <f>'0363 table 2'!F88</f>
        <v>433.15</v>
      </c>
      <c r="E1075">
        <f>'0363 table 2'!G88</f>
        <v>460.82949308755758</v>
      </c>
      <c r="G1075">
        <v>50662500</v>
      </c>
    </row>
    <row r="1076" spans="1:7" x14ac:dyDescent="0.35">
      <c r="A1076">
        <v>363</v>
      </c>
      <c r="B1076">
        <v>2</v>
      </c>
      <c r="C1076">
        <f>'0363 table 2'!E89</f>
        <v>50662500</v>
      </c>
      <c r="D1076">
        <f>'0363 table 2'!F89</f>
        <v>443.15</v>
      </c>
      <c r="E1076">
        <f>'0363 table 2'!G89</f>
        <v>444.8398576512455</v>
      </c>
      <c r="G1076">
        <v>50662500</v>
      </c>
    </row>
    <row r="1077" spans="1:7" x14ac:dyDescent="0.35">
      <c r="A1077">
        <v>363</v>
      </c>
      <c r="B1077">
        <v>2</v>
      </c>
      <c r="C1077">
        <f>'0363 table 2'!E90</f>
        <v>50662500</v>
      </c>
      <c r="D1077">
        <f>'0363 table 2'!F90</f>
        <v>453.15</v>
      </c>
      <c r="E1077">
        <f>'0363 table 2'!G90</f>
        <v>428.08219178082186</v>
      </c>
      <c r="G1077">
        <v>50662500</v>
      </c>
    </row>
    <row r="1078" spans="1:7" x14ac:dyDescent="0.35">
      <c r="A1078">
        <v>363</v>
      </c>
      <c r="B1078">
        <v>2</v>
      </c>
      <c r="C1078">
        <f>'0363 table 2'!E91</f>
        <v>50662500</v>
      </c>
      <c r="D1078">
        <f>'0363 table 2'!F91</f>
        <v>463.15</v>
      </c>
      <c r="E1078">
        <f>'0363 table 2'!G91</f>
        <v>410.84634346754319</v>
      </c>
      <c r="G1078">
        <v>50662500</v>
      </c>
    </row>
    <row r="1079" spans="1:7" x14ac:dyDescent="0.35">
      <c r="A1079">
        <v>363</v>
      </c>
      <c r="B1079">
        <v>2</v>
      </c>
      <c r="C1079">
        <f>'0363 table 2'!E92</f>
        <v>50662500</v>
      </c>
      <c r="D1079">
        <f>'0363 table 2'!F92</f>
        <v>473.15</v>
      </c>
      <c r="E1079">
        <f>'0363 table 2'!G92</f>
        <v>394.01103230890465</v>
      </c>
      <c r="G1079">
        <v>50662500</v>
      </c>
    </row>
    <row r="1080" spans="1:7" x14ac:dyDescent="0.35">
      <c r="A1080">
        <v>363</v>
      </c>
      <c r="B1080">
        <v>2</v>
      </c>
      <c r="C1080">
        <f>'0363 table 2'!E93</f>
        <v>60795000</v>
      </c>
      <c r="D1080">
        <f>'0363 table 2'!F93</f>
        <v>283.14999999999998</v>
      </c>
      <c r="E1080">
        <f>'0363 table 2'!G93</f>
        <v>658.6169045005488</v>
      </c>
      <c r="G1080">
        <v>60795000</v>
      </c>
    </row>
    <row r="1081" spans="1:7" x14ac:dyDescent="0.35">
      <c r="A1081">
        <v>363</v>
      </c>
      <c r="B1081">
        <v>2</v>
      </c>
      <c r="C1081">
        <f>'0363 table 2'!E94</f>
        <v>60795000</v>
      </c>
      <c r="D1081">
        <f>'0363 table 2'!F94</f>
        <v>293.14999999999998</v>
      </c>
      <c r="E1081">
        <f>'0363 table 2'!G94</f>
        <v>650.61808718282361</v>
      </c>
      <c r="G1081">
        <v>60795000</v>
      </c>
    </row>
    <row r="1082" spans="1:7" x14ac:dyDescent="0.35">
      <c r="A1082">
        <v>363</v>
      </c>
      <c r="B1082">
        <v>2</v>
      </c>
      <c r="C1082">
        <f>'0363 table 2'!E95</f>
        <v>60795000</v>
      </c>
      <c r="D1082">
        <f>'0363 table 2'!F95</f>
        <v>303.14999999999998</v>
      </c>
      <c r="E1082">
        <f>'0363 table 2'!G95</f>
        <v>641.57399486740792</v>
      </c>
      <c r="G1082">
        <v>60795000</v>
      </c>
    </row>
    <row r="1083" spans="1:7" x14ac:dyDescent="0.35">
      <c r="A1083">
        <v>363</v>
      </c>
      <c r="B1083">
        <v>2</v>
      </c>
      <c r="C1083">
        <f>'0363 table 2'!E96</f>
        <v>60795000</v>
      </c>
      <c r="D1083">
        <f>'0363 table 2'!F96</f>
        <v>313.14999999999998</v>
      </c>
      <c r="E1083">
        <f>'0363 table 2'!G96</f>
        <v>632.11125158027812</v>
      </c>
      <c r="G1083">
        <v>60795000</v>
      </c>
    </row>
    <row r="1084" spans="1:7" x14ac:dyDescent="0.35">
      <c r="A1084">
        <v>363</v>
      </c>
      <c r="B1084">
        <v>2</v>
      </c>
      <c r="C1084">
        <f>'0363 table 2'!E97</f>
        <v>60795000</v>
      </c>
      <c r="D1084">
        <f>'0363 table 2'!F97</f>
        <v>323.14999999999998</v>
      </c>
      <c r="E1084">
        <f>'0363 table 2'!G97</f>
        <v>621.76165803108802</v>
      </c>
      <c r="G1084">
        <v>60795000</v>
      </c>
    </row>
    <row r="1085" spans="1:7" x14ac:dyDescent="0.35">
      <c r="A1085">
        <v>363</v>
      </c>
      <c r="B1085">
        <v>2</v>
      </c>
      <c r="C1085">
        <f>'0363 table 2'!E98</f>
        <v>60795000</v>
      </c>
      <c r="D1085">
        <f>'0363 table 2'!F98</f>
        <v>333.15</v>
      </c>
      <c r="E1085">
        <f>'0363 table 2'!G98</f>
        <v>610.87354917532082</v>
      </c>
      <c r="G1085">
        <v>60795000</v>
      </c>
    </row>
    <row r="1086" spans="1:7" x14ac:dyDescent="0.35">
      <c r="A1086">
        <v>363</v>
      </c>
      <c r="B1086">
        <v>2</v>
      </c>
      <c r="C1086">
        <f>'0363 table 2'!E99</f>
        <v>60795000</v>
      </c>
      <c r="D1086">
        <f>'0363 table 2'!F99</f>
        <v>343.15</v>
      </c>
      <c r="E1086">
        <f>'0363 table 2'!G99</f>
        <v>598.80239520958071</v>
      </c>
      <c r="G1086">
        <v>60795000</v>
      </c>
    </row>
    <row r="1087" spans="1:7" x14ac:dyDescent="0.35">
      <c r="A1087">
        <v>363</v>
      </c>
      <c r="B1087">
        <v>2</v>
      </c>
      <c r="C1087">
        <f>'0363 table 2'!E100</f>
        <v>60795000</v>
      </c>
      <c r="D1087">
        <f>'0363 table 2'!F100</f>
        <v>353.15</v>
      </c>
      <c r="E1087">
        <f>'0363 table 2'!G100</f>
        <v>585.9375</v>
      </c>
      <c r="G1087">
        <v>60795000</v>
      </c>
    </row>
    <row r="1088" spans="1:7" x14ac:dyDescent="0.35">
      <c r="A1088">
        <v>363</v>
      </c>
      <c r="B1088">
        <v>2</v>
      </c>
      <c r="C1088">
        <f>'0363 table 2'!E101</f>
        <v>60795000</v>
      </c>
      <c r="D1088">
        <f>'0363 table 2'!F101</f>
        <v>363.15</v>
      </c>
      <c r="E1088">
        <f>'0363 table 2'!G101</f>
        <v>573.06590257879645</v>
      </c>
      <c r="G1088">
        <v>60795000</v>
      </c>
    </row>
    <row r="1089" spans="1:7" x14ac:dyDescent="0.35">
      <c r="A1089">
        <v>363</v>
      </c>
      <c r="B1089">
        <v>2</v>
      </c>
      <c r="C1089">
        <f>'0363 table 2'!E102</f>
        <v>60795000</v>
      </c>
      <c r="D1089">
        <f>'0363 table 2'!F102</f>
        <v>373.15</v>
      </c>
      <c r="E1089">
        <f>'0363 table 2'!G102</f>
        <v>560.2240896358544</v>
      </c>
      <c r="G1089">
        <v>60795000</v>
      </c>
    </row>
    <row r="1090" spans="1:7" x14ac:dyDescent="0.35">
      <c r="A1090">
        <v>363</v>
      </c>
      <c r="B1090">
        <v>2</v>
      </c>
      <c r="C1090">
        <f>'0363 table 2'!E103</f>
        <v>60795000</v>
      </c>
      <c r="D1090">
        <f>'0363 table 2'!F103</f>
        <v>383.15</v>
      </c>
      <c r="E1090">
        <f>'0363 table 2'!G103</f>
        <v>546.44808743169403</v>
      </c>
      <c r="G1090">
        <v>60795000</v>
      </c>
    </row>
    <row r="1091" spans="1:7" x14ac:dyDescent="0.35">
      <c r="A1091">
        <v>363</v>
      </c>
      <c r="B1091">
        <v>2</v>
      </c>
      <c r="C1091">
        <f>'0363 table 2'!E104</f>
        <v>60795000</v>
      </c>
      <c r="D1091">
        <f>'0363 table 2'!F104</f>
        <v>393.15</v>
      </c>
      <c r="E1091">
        <f>'0363 table 2'!G104</f>
        <v>533.33333333333337</v>
      </c>
      <c r="G1091">
        <v>60795000</v>
      </c>
    </row>
    <row r="1092" spans="1:7" x14ac:dyDescent="0.35">
      <c r="A1092">
        <v>363</v>
      </c>
      <c r="B1092">
        <v>2</v>
      </c>
      <c r="C1092">
        <f>'0363 table 2'!E105</f>
        <v>60795000</v>
      </c>
      <c r="D1092">
        <f>'0363 table 2'!F105</f>
        <v>403.15</v>
      </c>
      <c r="E1092">
        <f>'0363 table 2'!G105</f>
        <v>519.93067590987857</v>
      </c>
      <c r="G1092">
        <v>60795000</v>
      </c>
    </row>
    <row r="1093" spans="1:7" x14ac:dyDescent="0.35">
      <c r="A1093">
        <v>363</v>
      </c>
      <c r="B1093">
        <v>2</v>
      </c>
      <c r="C1093">
        <f>'0363 table 2'!E106</f>
        <v>60795000</v>
      </c>
      <c r="D1093">
        <f>'0363 table 2'!F106</f>
        <v>413.15</v>
      </c>
      <c r="E1093">
        <f>'0363 table 2'!G106</f>
        <v>506.75675675675683</v>
      </c>
      <c r="G1093">
        <v>60795000</v>
      </c>
    </row>
    <row r="1094" spans="1:7" x14ac:dyDescent="0.35">
      <c r="A1094">
        <v>363</v>
      </c>
      <c r="B1094">
        <v>2</v>
      </c>
      <c r="C1094">
        <f>'0363 table 2'!E107</f>
        <v>60795000</v>
      </c>
      <c r="D1094">
        <f>'0363 table 2'!F107</f>
        <v>423.15</v>
      </c>
      <c r="E1094">
        <f>'0363 table 2'!G107</f>
        <v>493.4210526315789</v>
      </c>
      <c r="G1094">
        <v>60795000</v>
      </c>
    </row>
    <row r="1095" spans="1:7" x14ac:dyDescent="0.35">
      <c r="A1095">
        <v>363</v>
      </c>
      <c r="B1095">
        <v>2</v>
      </c>
      <c r="C1095">
        <f>'0363 table 2'!E108</f>
        <v>60795000</v>
      </c>
      <c r="D1095">
        <f>'0363 table 2'!F108</f>
        <v>433.15</v>
      </c>
      <c r="E1095">
        <f>'0363 table 2'!G108</f>
        <v>480.38430744595678</v>
      </c>
      <c r="G1095">
        <v>60795000</v>
      </c>
    </row>
    <row r="1096" spans="1:7" x14ac:dyDescent="0.35">
      <c r="A1096">
        <v>363</v>
      </c>
      <c r="B1096">
        <v>2</v>
      </c>
      <c r="C1096">
        <f>'0363 table 2'!E109</f>
        <v>60795000</v>
      </c>
      <c r="D1096">
        <f>'0363 table 2'!F109</f>
        <v>443.15</v>
      </c>
      <c r="E1096">
        <f>'0363 table 2'!G109</f>
        <v>466.20046620046622</v>
      </c>
      <c r="G1096">
        <v>60795000</v>
      </c>
    </row>
    <row r="1097" spans="1:7" x14ac:dyDescent="0.35">
      <c r="A1097">
        <v>363</v>
      </c>
      <c r="B1097">
        <v>2</v>
      </c>
      <c r="C1097">
        <f>'0363 table 2'!E110</f>
        <v>60795000</v>
      </c>
      <c r="D1097">
        <f>'0363 table 2'!F110</f>
        <v>453.15</v>
      </c>
      <c r="E1097">
        <f>'0363 table 2'!G110</f>
        <v>451.80722891566268</v>
      </c>
      <c r="G1097">
        <v>60795000</v>
      </c>
    </row>
    <row r="1098" spans="1:7" x14ac:dyDescent="0.35">
      <c r="A1098">
        <v>363</v>
      </c>
      <c r="B1098">
        <v>2</v>
      </c>
      <c r="C1098">
        <f>'0363 table 2'!E111</f>
        <v>60795000</v>
      </c>
      <c r="D1098">
        <f>'0363 table 2'!F111</f>
        <v>463.15</v>
      </c>
      <c r="E1098">
        <f>'0363 table 2'!G111</f>
        <v>437.956204379562</v>
      </c>
      <c r="G1098">
        <v>60795000</v>
      </c>
    </row>
    <row r="1099" spans="1:7" x14ac:dyDescent="0.35">
      <c r="A1099">
        <v>363</v>
      </c>
      <c r="B1099">
        <v>2</v>
      </c>
      <c r="C1099">
        <f>'0363 table 2'!E112</f>
        <v>60795000</v>
      </c>
      <c r="D1099">
        <f>'0363 table 2'!F112</f>
        <v>473.15</v>
      </c>
      <c r="E1099">
        <f>'0363 table 2'!G112</f>
        <v>423.72881355932208</v>
      </c>
      <c r="G1099">
        <v>60795000</v>
      </c>
    </row>
    <row r="1100" spans="1:7" x14ac:dyDescent="0.35">
      <c r="A1100">
        <v>363</v>
      </c>
      <c r="B1100">
        <v>2</v>
      </c>
      <c r="C1100">
        <f>'0363 table 2'!E113</f>
        <v>70927500</v>
      </c>
      <c r="D1100">
        <f>'0363 table 2'!F113</f>
        <v>283.14999999999998</v>
      </c>
      <c r="E1100">
        <f>'0363 table 2'!G113</f>
        <v>663.50710900473939</v>
      </c>
      <c r="G1100">
        <v>70927500</v>
      </c>
    </row>
    <row r="1101" spans="1:7" x14ac:dyDescent="0.35">
      <c r="A1101">
        <v>363</v>
      </c>
      <c r="B1101">
        <v>2</v>
      </c>
      <c r="C1101">
        <f>'0363 table 2'!E114</f>
        <v>70927500</v>
      </c>
      <c r="D1101">
        <f>'0363 table 2'!F114</f>
        <v>293.14999999999998</v>
      </c>
      <c r="E1101">
        <f>'0363 table 2'!G114</f>
        <v>656.66041275797375</v>
      </c>
      <c r="G1101">
        <v>70927500</v>
      </c>
    </row>
    <row r="1102" spans="1:7" x14ac:dyDescent="0.35">
      <c r="A1102">
        <v>363</v>
      </c>
      <c r="B1102">
        <v>2</v>
      </c>
      <c r="C1102">
        <f>'0363 table 2'!E115</f>
        <v>70927500</v>
      </c>
      <c r="D1102">
        <f>'0363 table 2'!F115</f>
        <v>303.14999999999998</v>
      </c>
      <c r="E1102">
        <f>'0363 table 2'!G115</f>
        <v>648.14814814814815</v>
      </c>
      <c r="G1102">
        <v>70927500</v>
      </c>
    </row>
    <row r="1103" spans="1:7" x14ac:dyDescent="0.35">
      <c r="A1103">
        <v>363</v>
      </c>
      <c r="B1103">
        <v>2</v>
      </c>
      <c r="C1103">
        <f>'0363 table 2'!E116</f>
        <v>70927500</v>
      </c>
      <c r="D1103">
        <f>'0363 table 2'!F116</f>
        <v>313.14999999999998</v>
      </c>
      <c r="E1103">
        <f>'0363 table 2'!G116</f>
        <v>638.68613138686135</v>
      </c>
      <c r="G1103">
        <v>70927500</v>
      </c>
    </row>
    <row r="1104" spans="1:7" x14ac:dyDescent="0.35">
      <c r="A1104">
        <v>363</v>
      </c>
      <c r="B1104">
        <v>2</v>
      </c>
      <c r="C1104">
        <f>'0363 table 2'!E117</f>
        <v>70927500</v>
      </c>
      <c r="D1104">
        <f>'0363 table 2'!F117</f>
        <v>323.14999999999998</v>
      </c>
      <c r="E1104">
        <f>'0363 table 2'!G117</f>
        <v>627.2401433691756</v>
      </c>
      <c r="G1104">
        <v>70927500</v>
      </c>
    </row>
    <row r="1105" spans="1:7" x14ac:dyDescent="0.35">
      <c r="A1105">
        <v>363</v>
      </c>
      <c r="B1105">
        <v>2</v>
      </c>
      <c r="C1105">
        <f>'0363 table 2'!E118</f>
        <v>70927500</v>
      </c>
      <c r="D1105">
        <f>'0363 table 2'!F118</f>
        <v>333.15</v>
      </c>
      <c r="E1105">
        <f>'0363 table 2'!G118</f>
        <v>616.74008810572695</v>
      </c>
      <c r="G1105">
        <v>70927500</v>
      </c>
    </row>
    <row r="1106" spans="1:7" x14ac:dyDescent="0.35">
      <c r="A1106">
        <v>363</v>
      </c>
      <c r="B1106">
        <v>2</v>
      </c>
      <c r="C1106">
        <f>'0363 table 2'!E119</f>
        <v>70927500</v>
      </c>
      <c r="D1106">
        <f>'0363 table 2'!F119</f>
        <v>343.15</v>
      </c>
      <c r="E1106">
        <f>'0363 table 2'!G119</f>
        <v>605.53633217993081</v>
      </c>
      <c r="G1106">
        <v>70927500</v>
      </c>
    </row>
    <row r="1107" spans="1:7" x14ac:dyDescent="0.35">
      <c r="A1107">
        <v>363</v>
      </c>
      <c r="B1107">
        <v>2</v>
      </c>
      <c r="C1107">
        <f>'0363 table 2'!E120</f>
        <v>70927500</v>
      </c>
      <c r="D1107">
        <f>'0363 table 2'!F120</f>
        <v>353.15</v>
      </c>
      <c r="E1107">
        <f>'0363 table 2'!G120</f>
        <v>593.72349448685327</v>
      </c>
      <c r="G1107">
        <v>70927500</v>
      </c>
    </row>
    <row r="1108" spans="1:7" x14ac:dyDescent="0.35">
      <c r="A1108">
        <v>363</v>
      </c>
      <c r="B1108">
        <v>2</v>
      </c>
      <c r="C1108">
        <f>'0363 table 2'!E121</f>
        <v>70927500</v>
      </c>
      <c r="D1108">
        <f>'0363 table 2'!F121</f>
        <v>363.15</v>
      </c>
      <c r="E1108">
        <f>'0363 table 2'!G121</f>
        <v>581.87863674147968</v>
      </c>
      <c r="G1108">
        <v>70927500</v>
      </c>
    </row>
    <row r="1109" spans="1:7" x14ac:dyDescent="0.35">
      <c r="A1109">
        <v>363</v>
      </c>
      <c r="B1109">
        <v>2</v>
      </c>
      <c r="C1109">
        <f>'0363 table 2'!E122</f>
        <v>70927500</v>
      </c>
      <c r="D1109">
        <f>'0363 table 2'!F122</f>
        <v>373.15</v>
      </c>
      <c r="E1109">
        <f>'0363 table 2'!G122</f>
        <v>570.0325732899023</v>
      </c>
      <c r="G1109">
        <v>70927500</v>
      </c>
    </row>
    <row r="1110" spans="1:7" x14ac:dyDescent="0.35">
      <c r="A1110">
        <v>363</v>
      </c>
      <c r="B1110">
        <v>2</v>
      </c>
      <c r="C1110">
        <f>'0363 table 2'!E123</f>
        <v>70927500</v>
      </c>
      <c r="D1110">
        <f>'0363 table 2'!F123</f>
        <v>383.15</v>
      </c>
      <c r="E1110">
        <f>'0363 table 2'!G123</f>
        <v>557.76892430278895</v>
      </c>
      <c r="G1110">
        <v>70927500</v>
      </c>
    </row>
    <row r="1111" spans="1:7" x14ac:dyDescent="0.35">
      <c r="A1111">
        <v>363</v>
      </c>
      <c r="B1111">
        <v>2</v>
      </c>
      <c r="C1111">
        <f>'0363 table 2'!E124</f>
        <v>70927500</v>
      </c>
      <c r="D1111">
        <f>'0363 table 2'!F124</f>
        <v>393.15</v>
      </c>
      <c r="E1111">
        <f>'0363 table 2'!G124</f>
        <v>545.59625876851135</v>
      </c>
      <c r="G1111">
        <v>70927500</v>
      </c>
    </row>
    <row r="1112" spans="1:7" x14ac:dyDescent="0.35">
      <c r="A1112">
        <v>363</v>
      </c>
      <c r="B1112">
        <v>2</v>
      </c>
      <c r="C1112">
        <f>'0363 table 2'!E125</f>
        <v>70927500</v>
      </c>
      <c r="D1112">
        <f>'0363 table 2'!F125</f>
        <v>403.15</v>
      </c>
      <c r="E1112">
        <f>'0363 table 2'!G125</f>
        <v>533.13023610053312</v>
      </c>
      <c r="G1112">
        <v>70927500</v>
      </c>
    </row>
    <row r="1113" spans="1:7" x14ac:dyDescent="0.35">
      <c r="A1113">
        <v>363</v>
      </c>
      <c r="B1113">
        <v>2</v>
      </c>
      <c r="C1113">
        <f>'0363 table 2'!E126</f>
        <v>70927500</v>
      </c>
      <c r="D1113">
        <f>'0363 table 2'!F126</f>
        <v>413.15</v>
      </c>
      <c r="E1113">
        <f>'0363 table 2'!G126</f>
        <v>520.83333333333337</v>
      </c>
      <c r="G1113">
        <v>70927500</v>
      </c>
    </row>
    <row r="1114" spans="1:7" x14ac:dyDescent="0.35">
      <c r="A1114">
        <v>363</v>
      </c>
      <c r="B1114">
        <v>2</v>
      </c>
      <c r="C1114">
        <f>'0363 table 2'!E127</f>
        <v>70927500</v>
      </c>
      <c r="D1114">
        <f>'0363 table 2'!F127</f>
        <v>423.15</v>
      </c>
      <c r="E1114">
        <f>'0363 table 2'!G127</f>
        <v>508.72093023255809</v>
      </c>
      <c r="G1114">
        <v>70927500</v>
      </c>
    </row>
    <row r="1115" spans="1:7" x14ac:dyDescent="0.35">
      <c r="A1115">
        <v>363</v>
      </c>
      <c r="B1115">
        <v>2</v>
      </c>
      <c r="C1115">
        <f>'0363 table 2'!E128</f>
        <v>70927500</v>
      </c>
      <c r="D1115">
        <f>'0363 table 2'!F128</f>
        <v>433.15</v>
      </c>
      <c r="E1115">
        <f>'0363 table 2'!G128</f>
        <v>496.45390070921985</v>
      </c>
      <c r="G1115">
        <v>70927500</v>
      </c>
    </row>
    <row r="1116" spans="1:7" x14ac:dyDescent="0.35">
      <c r="A1116">
        <v>363</v>
      </c>
      <c r="B1116">
        <v>2</v>
      </c>
      <c r="C1116">
        <f>'0363 table 2'!E129</f>
        <v>70927500</v>
      </c>
      <c r="D1116">
        <f>'0363 table 2'!F129</f>
        <v>443.15</v>
      </c>
      <c r="E1116">
        <f>'0363 table 2'!G129</f>
        <v>484.09405255878283</v>
      </c>
      <c r="G1116">
        <v>70927500</v>
      </c>
    </row>
    <row r="1117" spans="1:7" x14ac:dyDescent="0.35">
      <c r="A1117">
        <v>363</v>
      </c>
      <c r="B1117">
        <v>2</v>
      </c>
      <c r="C1117">
        <f>'0363 table 2'!E130</f>
        <v>70927500</v>
      </c>
      <c r="D1117">
        <f>'0363 table 2'!F130</f>
        <v>453.15</v>
      </c>
      <c r="E1117">
        <f>'0363 table 2'!G130</f>
        <v>472.65361242403782</v>
      </c>
      <c r="G1117">
        <v>70927500</v>
      </c>
    </row>
    <row r="1118" spans="1:7" x14ac:dyDescent="0.35">
      <c r="A1118">
        <v>363</v>
      </c>
      <c r="B1118">
        <v>2</v>
      </c>
      <c r="C1118">
        <f>'0363 table 2'!E131</f>
        <v>70927500</v>
      </c>
      <c r="D1118">
        <f>'0363 table 2'!F131</f>
        <v>463.15</v>
      </c>
      <c r="E1118">
        <f>'0363 table 2'!G131</f>
        <v>461.133069828722</v>
      </c>
      <c r="G1118">
        <v>70927500</v>
      </c>
    </row>
    <row r="1119" spans="1:7" x14ac:dyDescent="0.35">
      <c r="A1119">
        <v>363</v>
      </c>
      <c r="B1119">
        <v>2</v>
      </c>
      <c r="C1119">
        <f>'0363 table 2'!E132</f>
        <v>70927500</v>
      </c>
      <c r="D1119">
        <f>'0363 table 2'!F132</f>
        <v>473.15</v>
      </c>
      <c r="E1119">
        <f>'0363 table 2'!G132</f>
        <v>449.87146529562983</v>
      </c>
      <c r="G1119">
        <v>70927500</v>
      </c>
    </row>
    <row r="1120" spans="1:7" x14ac:dyDescent="0.35">
      <c r="A1120">
        <v>363</v>
      </c>
      <c r="B1120">
        <v>2</v>
      </c>
      <c r="C1120">
        <f>'0363 table 2'!E133</f>
        <v>81060000</v>
      </c>
      <c r="D1120">
        <f>'0363 table 2'!F133</f>
        <v>283.14999999999998</v>
      </c>
      <c r="E1120">
        <f>'0363 table 2'!G133</f>
        <v>666.66666666666674</v>
      </c>
      <c r="G1120">
        <v>81060000</v>
      </c>
    </row>
    <row r="1121" spans="1:7" x14ac:dyDescent="0.35">
      <c r="A1121">
        <v>363</v>
      </c>
      <c r="B1121">
        <v>2</v>
      </c>
      <c r="C1121">
        <f>'0363 table 2'!E134</f>
        <v>81060000</v>
      </c>
      <c r="D1121">
        <f>'0363 table 2'!F134</f>
        <v>293.14999999999998</v>
      </c>
      <c r="E1121">
        <f>'0363 table 2'!G134</f>
        <v>660.61106523534261</v>
      </c>
      <c r="G1121">
        <v>81060000</v>
      </c>
    </row>
    <row r="1122" spans="1:7" x14ac:dyDescent="0.35">
      <c r="A1122">
        <v>363</v>
      </c>
      <c r="B1122">
        <v>2</v>
      </c>
      <c r="C1122">
        <f>'0363 table 2'!E135</f>
        <v>81060000</v>
      </c>
      <c r="D1122">
        <f>'0363 table 2'!F135</f>
        <v>303.14999999999998</v>
      </c>
      <c r="E1122">
        <f>'0363 table 2'!G135</f>
        <v>653.59477124183013</v>
      </c>
      <c r="G1122">
        <v>81060000</v>
      </c>
    </row>
    <row r="1123" spans="1:7" x14ac:dyDescent="0.35">
      <c r="A1123">
        <v>363</v>
      </c>
      <c r="B1123">
        <v>2</v>
      </c>
      <c r="C1123">
        <f>'0363 table 2'!E136</f>
        <v>81060000</v>
      </c>
      <c r="D1123">
        <f>'0363 table 2'!F136</f>
        <v>313.14999999999998</v>
      </c>
      <c r="E1123">
        <f>'0363 table 2'!G136</f>
        <v>645.16129032258061</v>
      </c>
      <c r="G1123">
        <v>81060000</v>
      </c>
    </row>
    <row r="1124" spans="1:7" x14ac:dyDescent="0.35">
      <c r="A1124">
        <v>363</v>
      </c>
      <c r="B1124">
        <v>2</v>
      </c>
      <c r="C1124">
        <f>'0363 table 2'!E137</f>
        <v>81060000</v>
      </c>
      <c r="D1124">
        <f>'0363 table 2'!F137</f>
        <v>323.14999999999998</v>
      </c>
      <c r="E1124">
        <f>'0363 table 2'!G137</f>
        <v>635.42494042891178</v>
      </c>
      <c r="G1124">
        <v>81060000</v>
      </c>
    </row>
    <row r="1125" spans="1:7" x14ac:dyDescent="0.35">
      <c r="A1125">
        <v>363</v>
      </c>
      <c r="B1125">
        <v>2</v>
      </c>
      <c r="C1125">
        <f>'0363 table 2'!E138</f>
        <v>81060000</v>
      </c>
      <c r="D1125">
        <f>'0363 table 2'!F138</f>
        <v>333.15</v>
      </c>
      <c r="E1125">
        <f>'0363 table 2'!G138</f>
        <v>625</v>
      </c>
      <c r="G1125">
        <v>81060000</v>
      </c>
    </row>
    <row r="1126" spans="1:7" x14ac:dyDescent="0.35">
      <c r="A1126">
        <v>363</v>
      </c>
      <c r="B1126">
        <v>2</v>
      </c>
      <c r="C1126">
        <f>'0363 table 2'!E139</f>
        <v>81060000</v>
      </c>
      <c r="D1126">
        <f>'0363 table 2'!F139</f>
        <v>343.15</v>
      </c>
      <c r="E1126">
        <f>'0363 table 2'!G139</f>
        <v>613.96776669224869</v>
      </c>
      <c r="G1126">
        <v>81060000</v>
      </c>
    </row>
    <row r="1127" spans="1:7" x14ac:dyDescent="0.35">
      <c r="A1127">
        <v>363</v>
      </c>
      <c r="B1127">
        <v>2</v>
      </c>
      <c r="C1127">
        <f>'0363 table 2'!E140</f>
        <v>81060000</v>
      </c>
      <c r="D1127">
        <f>'0363 table 2'!F140</f>
        <v>353.15</v>
      </c>
      <c r="E1127">
        <f>'0363 table 2'!G140</f>
        <v>602.40963855421694</v>
      </c>
      <c r="G1127">
        <v>81060000</v>
      </c>
    </row>
    <row r="1128" spans="1:7" x14ac:dyDescent="0.35">
      <c r="A1128">
        <v>363</v>
      </c>
      <c r="B1128">
        <v>2</v>
      </c>
      <c r="C1128">
        <f>'0363 table 2'!E141</f>
        <v>81060000</v>
      </c>
      <c r="D1128">
        <f>'0363 table 2'!F141</f>
        <v>363.15</v>
      </c>
      <c r="E1128">
        <f>'0363 table 2'!G141</f>
        <v>590.84194977843424</v>
      </c>
      <c r="G1128">
        <v>81060000</v>
      </c>
    </row>
    <row r="1129" spans="1:7" x14ac:dyDescent="0.35">
      <c r="A1129">
        <v>363</v>
      </c>
      <c r="B1129">
        <v>2</v>
      </c>
      <c r="C1129">
        <f>'0363 table 2'!E142</f>
        <v>81060000</v>
      </c>
      <c r="D1129">
        <f>'0363 table 2'!F142</f>
        <v>373.15</v>
      </c>
      <c r="E1129">
        <f>'0363 table 2'!G142</f>
        <v>578.87120115774235</v>
      </c>
      <c r="G1129">
        <v>81060000</v>
      </c>
    </row>
    <row r="1130" spans="1:7" x14ac:dyDescent="0.35">
      <c r="A1130">
        <v>363</v>
      </c>
      <c r="B1130">
        <v>2</v>
      </c>
      <c r="C1130">
        <f>'0363 table 2'!E143</f>
        <v>81060000</v>
      </c>
      <c r="D1130">
        <f>'0363 table 2'!F143</f>
        <v>383.15</v>
      </c>
      <c r="E1130">
        <f>'0363 table 2'!G143</f>
        <v>567.3758865248227</v>
      </c>
      <c r="G1130">
        <v>81060000</v>
      </c>
    </row>
    <row r="1131" spans="1:7" x14ac:dyDescent="0.35">
      <c r="A1131">
        <v>363</v>
      </c>
      <c r="B1131">
        <v>2</v>
      </c>
      <c r="C1131">
        <f>'0363 table 2'!E144</f>
        <v>81060000</v>
      </c>
      <c r="D1131">
        <f>'0363 table 2'!F144</f>
        <v>393.15</v>
      </c>
      <c r="E1131">
        <f>'0363 table 2'!G144</f>
        <v>555.55555555555566</v>
      </c>
      <c r="G1131">
        <v>81060000</v>
      </c>
    </row>
    <row r="1132" spans="1:7" x14ac:dyDescent="0.35">
      <c r="A1132">
        <v>363</v>
      </c>
      <c r="B1132">
        <v>2</v>
      </c>
      <c r="C1132">
        <f>'0363 table 2'!E145</f>
        <v>81060000</v>
      </c>
      <c r="D1132">
        <f>'0363 table 2'!F145</f>
        <v>403.15</v>
      </c>
      <c r="E1132">
        <f>'0363 table 2'!G145</f>
        <v>543.84772263766138</v>
      </c>
      <c r="G1132">
        <v>81060000</v>
      </c>
    </row>
    <row r="1133" spans="1:7" x14ac:dyDescent="0.35">
      <c r="A1133">
        <v>363</v>
      </c>
      <c r="B1133">
        <v>2</v>
      </c>
      <c r="C1133">
        <f>'0363 table 2'!E146</f>
        <v>81060000</v>
      </c>
      <c r="D1133">
        <f>'0363 table 2'!F146</f>
        <v>413.15</v>
      </c>
      <c r="E1133">
        <f>'0363 table 2'!G146</f>
        <v>532.62316910785626</v>
      </c>
      <c r="G1133">
        <v>81060000</v>
      </c>
    </row>
    <row r="1134" spans="1:7" x14ac:dyDescent="0.35">
      <c r="A1134">
        <v>363</v>
      </c>
      <c r="B1134">
        <v>2</v>
      </c>
      <c r="C1134">
        <f>'0363 table 2'!E147</f>
        <v>81060000</v>
      </c>
      <c r="D1134">
        <f>'0363 table 2'!F147</f>
        <v>423.15</v>
      </c>
      <c r="E1134">
        <f>'0363 table 2'!G147</f>
        <v>521.17263843648209</v>
      </c>
      <c r="G1134">
        <v>81060000</v>
      </c>
    </row>
    <row r="1135" spans="1:7" x14ac:dyDescent="0.35">
      <c r="A1135">
        <v>363</v>
      </c>
      <c r="B1135">
        <v>2</v>
      </c>
      <c r="C1135">
        <f>'0363 table 2'!E148</f>
        <v>81060000</v>
      </c>
      <c r="D1135">
        <f>'0363 table 2'!F148</f>
        <v>433.15</v>
      </c>
      <c r="E1135">
        <f>'0363 table 2'!G148</f>
        <v>509.87890376035682</v>
      </c>
      <c r="G1135">
        <v>81060000</v>
      </c>
    </row>
    <row r="1136" spans="1:7" x14ac:dyDescent="0.35">
      <c r="A1136">
        <v>363</v>
      </c>
      <c r="B1136">
        <v>2</v>
      </c>
      <c r="C1136">
        <f>'0363 table 2'!E149</f>
        <v>81060000</v>
      </c>
      <c r="D1136">
        <f>'0363 table 2'!F149</f>
        <v>443.15</v>
      </c>
      <c r="E1136">
        <f>'0363 table 2'!G149</f>
        <v>498.75311720698255</v>
      </c>
      <c r="G1136">
        <v>81060000</v>
      </c>
    </row>
    <row r="1137" spans="1:7" x14ac:dyDescent="0.35">
      <c r="A1137">
        <v>363</v>
      </c>
      <c r="B1137">
        <v>2</v>
      </c>
      <c r="C1137">
        <f>'0363 table 2'!E150</f>
        <v>81060000</v>
      </c>
      <c r="D1137">
        <f>'0363 table 2'!F150</f>
        <v>453.15</v>
      </c>
      <c r="E1137">
        <f>'0363 table 2'!G150</f>
        <v>487.21071863581005</v>
      </c>
      <c r="G1137">
        <v>81060000</v>
      </c>
    </row>
    <row r="1138" spans="1:7" x14ac:dyDescent="0.35">
      <c r="A1138">
        <v>363</v>
      </c>
      <c r="B1138">
        <v>2</v>
      </c>
      <c r="C1138">
        <f>'0363 table 2'!E151</f>
        <v>81060000</v>
      </c>
      <c r="D1138">
        <f>'0363 table 2'!F151</f>
        <v>463.15</v>
      </c>
      <c r="E1138">
        <f>'0363 table 2'!G151</f>
        <v>476.19047619047626</v>
      </c>
      <c r="G1138">
        <v>81060000</v>
      </c>
    </row>
    <row r="1139" spans="1:7" x14ac:dyDescent="0.35">
      <c r="A1139">
        <v>363</v>
      </c>
      <c r="B1139">
        <v>2</v>
      </c>
      <c r="C1139">
        <f>'0363 table 2'!E152</f>
        <v>81060000</v>
      </c>
      <c r="D1139">
        <f>'0363 table 2'!F152</f>
        <v>473.15</v>
      </c>
      <c r="E1139">
        <f>'0363 table 2'!G152</f>
        <v>465.11627906976747</v>
      </c>
      <c r="G1139">
        <v>81060000</v>
      </c>
    </row>
    <row r="1140" spans="1:7" x14ac:dyDescent="0.35">
      <c r="A1140">
        <v>363</v>
      </c>
      <c r="B1140">
        <v>2</v>
      </c>
      <c r="C1140">
        <f>'0363 table 2'!E153</f>
        <v>91192500</v>
      </c>
      <c r="D1140">
        <f>'0363 table 2'!F153</f>
        <v>283.14999999999998</v>
      </c>
      <c r="E1140">
        <f>'0363 table 2'!G153</f>
        <v>670.64083457526078</v>
      </c>
      <c r="G1140">
        <v>91192500</v>
      </c>
    </row>
    <row r="1141" spans="1:7" x14ac:dyDescent="0.35">
      <c r="A1141">
        <v>363</v>
      </c>
      <c r="B1141">
        <v>2</v>
      </c>
      <c r="C1141">
        <f>'0363 table 2'!E154</f>
        <v>91192500</v>
      </c>
      <c r="D1141">
        <f>'0363 table 2'!F154</f>
        <v>293.14999999999998</v>
      </c>
      <c r="E1141">
        <f>'0363 table 2'!G154</f>
        <v>665.1884700665189</v>
      </c>
      <c r="G1141">
        <v>91192500</v>
      </c>
    </row>
    <row r="1142" spans="1:7" x14ac:dyDescent="0.35">
      <c r="A1142">
        <v>363</v>
      </c>
      <c r="B1142">
        <v>2</v>
      </c>
      <c r="C1142">
        <f>'0363 table 2'!E155</f>
        <v>91192500</v>
      </c>
      <c r="D1142">
        <f>'0363 table 2'!F155</f>
        <v>303.14999999999998</v>
      </c>
      <c r="E1142">
        <f>'0363 table 2'!G155</f>
        <v>658.37600585223117</v>
      </c>
      <c r="G1142">
        <v>91192500</v>
      </c>
    </row>
    <row r="1143" spans="1:7" x14ac:dyDescent="0.35">
      <c r="A1143">
        <v>363</v>
      </c>
      <c r="B1143">
        <v>2</v>
      </c>
      <c r="C1143">
        <f>'0363 table 2'!E156</f>
        <v>91192500</v>
      </c>
      <c r="D1143">
        <f>'0363 table 2'!F156</f>
        <v>313.14999999999998</v>
      </c>
      <c r="E1143">
        <f>'0363 table 2'!G156</f>
        <v>651.23010130246018</v>
      </c>
      <c r="G1143">
        <v>91192500</v>
      </c>
    </row>
    <row r="1144" spans="1:7" x14ac:dyDescent="0.35">
      <c r="A1144">
        <v>363</v>
      </c>
      <c r="B1144">
        <v>2</v>
      </c>
      <c r="C1144">
        <f>'0363 table 2'!E157</f>
        <v>91192500</v>
      </c>
      <c r="D1144">
        <f>'0363 table 2'!F157</f>
        <v>323.14999999999998</v>
      </c>
      <c r="E1144">
        <f>'0363 table 2'!G157</f>
        <v>641.94008559201143</v>
      </c>
      <c r="G1144">
        <v>91192500</v>
      </c>
    </row>
    <row r="1145" spans="1:7" x14ac:dyDescent="0.35">
      <c r="A1145">
        <v>363</v>
      </c>
      <c r="B1145">
        <v>2</v>
      </c>
      <c r="C1145">
        <f>'0363 table 2'!E158</f>
        <v>91192500</v>
      </c>
      <c r="D1145">
        <f>'0363 table 2'!F158</f>
        <v>333.15</v>
      </c>
      <c r="E1145">
        <f>'0363 table 2'!G158</f>
        <v>632.46661981728744</v>
      </c>
      <c r="G1145">
        <v>91192500</v>
      </c>
    </row>
    <row r="1146" spans="1:7" x14ac:dyDescent="0.35">
      <c r="A1146">
        <v>363</v>
      </c>
      <c r="B1146">
        <v>2</v>
      </c>
      <c r="C1146">
        <f>'0363 table 2'!E159</f>
        <v>91192500</v>
      </c>
      <c r="D1146">
        <f>'0363 table 2'!F159</f>
        <v>343.15</v>
      </c>
      <c r="E1146">
        <f>'0363 table 2'!G159</f>
        <v>621.54696132596689</v>
      </c>
      <c r="G1146">
        <v>91192500</v>
      </c>
    </row>
    <row r="1147" spans="1:7" x14ac:dyDescent="0.35">
      <c r="A1147">
        <v>363</v>
      </c>
      <c r="B1147">
        <v>2</v>
      </c>
      <c r="C1147">
        <f>'0363 table 2'!E160</f>
        <v>91192500</v>
      </c>
      <c r="D1147">
        <f>'0363 table 2'!F160</f>
        <v>353.15</v>
      </c>
      <c r="E1147">
        <f>'0363 table 2'!G160</f>
        <v>610.99796334012228</v>
      </c>
      <c r="G1147">
        <v>91192500</v>
      </c>
    </row>
    <row r="1148" spans="1:7" x14ac:dyDescent="0.35">
      <c r="A1148">
        <v>363</v>
      </c>
      <c r="B1148">
        <v>2</v>
      </c>
      <c r="C1148">
        <f>'0363 table 2'!E161</f>
        <v>91192500</v>
      </c>
      <c r="D1148">
        <f>'0363 table 2'!F161</f>
        <v>363.15</v>
      </c>
      <c r="E1148">
        <f>'0363 table 2'!G161</f>
        <v>599.60026648900737</v>
      </c>
      <c r="G1148">
        <v>91192500</v>
      </c>
    </row>
    <row r="1149" spans="1:7" x14ac:dyDescent="0.35">
      <c r="A1149">
        <v>363</v>
      </c>
      <c r="B1149">
        <v>2</v>
      </c>
      <c r="C1149">
        <f>'0363 table 2'!E162</f>
        <v>91192500</v>
      </c>
      <c r="D1149">
        <f>'0363 table 2'!F162</f>
        <v>373.15</v>
      </c>
      <c r="E1149">
        <f>'0363 table 2'!G162</f>
        <v>588.23529411764696</v>
      </c>
      <c r="G1149">
        <v>91192500</v>
      </c>
    </row>
    <row r="1150" spans="1:7" x14ac:dyDescent="0.35">
      <c r="A1150">
        <v>363</v>
      </c>
      <c r="B1150">
        <v>2</v>
      </c>
      <c r="C1150">
        <f>'0363 table 2'!E163</f>
        <v>91192500</v>
      </c>
      <c r="D1150">
        <f>'0363 table 2'!F163</f>
        <v>383.15</v>
      </c>
      <c r="E1150">
        <f>'0363 table 2'!G163</f>
        <v>576.92307692307691</v>
      </c>
      <c r="G1150">
        <v>91192500</v>
      </c>
    </row>
    <row r="1151" spans="1:7" x14ac:dyDescent="0.35">
      <c r="A1151">
        <v>363</v>
      </c>
      <c r="B1151">
        <v>2</v>
      </c>
      <c r="C1151">
        <f>'0363 table 2'!E164</f>
        <v>91192500</v>
      </c>
      <c r="D1151">
        <f>'0363 table 2'!F164</f>
        <v>393.15</v>
      </c>
      <c r="E1151">
        <f>'0363 table 2'!G164</f>
        <v>565.68196103079822</v>
      </c>
      <c r="G1151">
        <v>91192500</v>
      </c>
    </row>
    <row r="1152" spans="1:7" x14ac:dyDescent="0.35">
      <c r="A1152">
        <v>363</v>
      </c>
      <c r="B1152">
        <v>2</v>
      </c>
      <c r="C1152">
        <f>'0363 table 2'!E165</f>
        <v>91192500</v>
      </c>
      <c r="D1152">
        <f>'0363 table 2'!F165</f>
        <v>403.15</v>
      </c>
      <c r="E1152">
        <f>'0363 table 2'!G165</f>
        <v>554.52865064695015</v>
      </c>
      <c r="G1152">
        <v>91192500</v>
      </c>
    </row>
    <row r="1153" spans="1:7" x14ac:dyDescent="0.35">
      <c r="A1153">
        <v>363</v>
      </c>
      <c r="B1153">
        <v>2</v>
      </c>
      <c r="C1153">
        <f>'0363 table 2'!E166</f>
        <v>91192500</v>
      </c>
      <c r="D1153">
        <f>'0363 table 2'!F166</f>
        <v>413.15</v>
      </c>
      <c r="E1153">
        <f>'0363 table 2'!G166</f>
        <v>543.47826086956525</v>
      </c>
      <c r="G1153">
        <v>91192500</v>
      </c>
    </row>
    <row r="1154" spans="1:7" x14ac:dyDescent="0.35">
      <c r="A1154">
        <v>363</v>
      </c>
      <c r="B1154">
        <v>2</v>
      </c>
      <c r="C1154">
        <f>'0363 table 2'!E167</f>
        <v>91192500</v>
      </c>
      <c r="D1154">
        <f>'0363 table 2'!F167</f>
        <v>423.15</v>
      </c>
      <c r="E1154">
        <f>'0363 table 2'!G167</f>
        <v>532.54437869822482</v>
      </c>
      <c r="G1154">
        <v>91192500</v>
      </c>
    </row>
    <row r="1155" spans="1:7" x14ac:dyDescent="0.35">
      <c r="A1155">
        <v>363</v>
      </c>
      <c r="B1155">
        <v>2</v>
      </c>
      <c r="C1155">
        <f>'0363 table 2'!E168</f>
        <v>91192500</v>
      </c>
      <c r="D1155">
        <f>'0363 table 2'!F168</f>
        <v>433.15</v>
      </c>
      <c r="E1155">
        <f>'0363 table 2'!G168</f>
        <v>522.04176334106728</v>
      </c>
      <c r="G1155">
        <v>91192500</v>
      </c>
    </row>
    <row r="1156" spans="1:7" x14ac:dyDescent="0.35">
      <c r="A1156">
        <v>363</v>
      </c>
      <c r="B1156">
        <v>2</v>
      </c>
      <c r="C1156">
        <f>'0363 table 2'!E169</f>
        <v>91192500</v>
      </c>
      <c r="D1156">
        <f>'0363 table 2'!F169</f>
        <v>443.15</v>
      </c>
      <c r="E1156">
        <f>'0363 table 2'!G169</f>
        <v>511.07325383304948</v>
      </c>
      <c r="G1156">
        <v>91192500</v>
      </c>
    </row>
    <row r="1157" spans="1:7" x14ac:dyDescent="0.35">
      <c r="A1157">
        <v>363</v>
      </c>
      <c r="B1157">
        <v>2</v>
      </c>
      <c r="C1157">
        <f>'0363 table 2'!E170</f>
        <v>91192500</v>
      </c>
      <c r="D1157">
        <f>'0363 table 2'!F170</f>
        <v>453.15</v>
      </c>
      <c r="E1157">
        <f>'0363 table 2'!G170</f>
        <v>500.55617352614024</v>
      </c>
      <c r="G1157">
        <v>91192500</v>
      </c>
    </row>
    <row r="1158" spans="1:7" x14ac:dyDescent="0.35">
      <c r="A1158">
        <v>363</v>
      </c>
      <c r="B1158">
        <v>2</v>
      </c>
      <c r="C1158">
        <f>'0363 table 2'!E171</f>
        <v>91192500</v>
      </c>
      <c r="D1158">
        <f>'0363 table 2'!F171</f>
        <v>463.15</v>
      </c>
      <c r="E1158">
        <f>'0363 table 2'!G171</f>
        <v>490.19607843137265</v>
      </c>
      <c r="G1158">
        <v>91192500</v>
      </c>
    </row>
    <row r="1159" spans="1:7" x14ac:dyDescent="0.35">
      <c r="A1159">
        <v>363</v>
      </c>
      <c r="B1159">
        <v>2</v>
      </c>
      <c r="C1159">
        <f>'0363 table 2'!E172</f>
        <v>91192500</v>
      </c>
      <c r="D1159">
        <f>'0363 table 2'!F172</f>
        <v>473.15</v>
      </c>
      <c r="E1159">
        <f>'0363 table 2'!G172</f>
        <v>479.48854555141179</v>
      </c>
      <c r="G1159">
        <v>91192500</v>
      </c>
    </row>
    <row r="1160" spans="1:7" x14ac:dyDescent="0.35">
      <c r="A1160">
        <v>363</v>
      </c>
      <c r="B1160">
        <v>2</v>
      </c>
      <c r="C1160">
        <f>'0363 table 2'!E173</f>
        <v>91192500</v>
      </c>
      <c r="D1160">
        <f>'0363 table 2'!F173</f>
        <v>483.15</v>
      </c>
      <c r="E1160">
        <f>'0363 table 2'!G173</f>
        <v>468.50598646538259</v>
      </c>
      <c r="G1160">
        <v>91192500</v>
      </c>
    </row>
    <row r="1161" spans="1:7" x14ac:dyDescent="0.35">
      <c r="A1161">
        <v>363</v>
      </c>
      <c r="B1161">
        <v>2</v>
      </c>
      <c r="C1161">
        <f>'0363 table 2'!E174</f>
        <v>101325000</v>
      </c>
      <c r="D1161">
        <f>'0363 table 2'!F174</f>
        <v>283.14999999999998</v>
      </c>
      <c r="E1161">
        <f>'0363 table 2'!G174</f>
        <v>671.36623027861708</v>
      </c>
      <c r="G1161">
        <v>101325000</v>
      </c>
    </row>
    <row r="1162" spans="1:7" x14ac:dyDescent="0.35">
      <c r="A1162">
        <v>363</v>
      </c>
      <c r="B1162">
        <v>2</v>
      </c>
      <c r="C1162">
        <f>'0363 table 2'!E175</f>
        <v>101325000</v>
      </c>
      <c r="D1162">
        <f>'0363 table 2'!F175</f>
        <v>293.14999999999998</v>
      </c>
      <c r="E1162">
        <f>'0363 table 2'!G175</f>
        <v>667.11140760506987</v>
      </c>
      <c r="G1162">
        <v>101325000</v>
      </c>
    </row>
    <row r="1163" spans="1:7" x14ac:dyDescent="0.35">
      <c r="A1163">
        <v>363</v>
      </c>
      <c r="B1163">
        <v>2</v>
      </c>
      <c r="C1163">
        <f>'0363 table 2'!E176</f>
        <v>101325000</v>
      </c>
      <c r="D1163">
        <f>'0363 table 2'!F176</f>
        <v>303.14999999999998</v>
      </c>
      <c r="E1163">
        <f>'0363 table 2'!G176</f>
        <v>661.8133686300464</v>
      </c>
      <c r="G1163">
        <v>101325000</v>
      </c>
    </row>
    <row r="1164" spans="1:7" x14ac:dyDescent="0.35">
      <c r="A1164">
        <v>363</v>
      </c>
      <c r="B1164">
        <v>2</v>
      </c>
      <c r="C1164">
        <f>'0363 table 2'!E177</f>
        <v>101325000</v>
      </c>
      <c r="D1164">
        <f>'0363 table 2'!F177</f>
        <v>313.14999999999998</v>
      </c>
      <c r="E1164">
        <f>'0363 table 2'!G177</f>
        <v>655.30799475753611</v>
      </c>
      <c r="G1164">
        <v>101325000</v>
      </c>
    </row>
    <row r="1165" spans="1:7" x14ac:dyDescent="0.35">
      <c r="A1165">
        <v>363</v>
      </c>
      <c r="B1165">
        <v>2</v>
      </c>
      <c r="C1165">
        <f>'0363 table 2'!E178</f>
        <v>101325000</v>
      </c>
      <c r="D1165">
        <f>'0363 table 2'!F178</f>
        <v>323.14999999999998</v>
      </c>
      <c r="E1165">
        <f>'0363 table 2'!G178</f>
        <v>647.24919093851145</v>
      </c>
      <c r="G1165">
        <v>101325000</v>
      </c>
    </row>
    <row r="1166" spans="1:7" x14ac:dyDescent="0.35">
      <c r="A1166">
        <v>363</v>
      </c>
      <c r="B1166">
        <v>2</v>
      </c>
      <c r="C1166">
        <f>'0363 table 2'!E179</f>
        <v>101325000</v>
      </c>
      <c r="D1166">
        <f>'0363 table 2'!F179</f>
        <v>333.15</v>
      </c>
      <c r="E1166">
        <f>'0363 table 2'!G179</f>
        <v>638.16209317166556</v>
      </c>
      <c r="G1166">
        <v>101325000</v>
      </c>
    </row>
    <row r="1167" spans="1:7" x14ac:dyDescent="0.35">
      <c r="A1167">
        <v>363</v>
      </c>
      <c r="B1167">
        <v>2</v>
      </c>
      <c r="C1167">
        <f>'0363 table 2'!E180</f>
        <v>101325000</v>
      </c>
      <c r="D1167">
        <f>'0363 table 2'!F180</f>
        <v>343.15</v>
      </c>
      <c r="E1167">
        <f>'0363 table 2'!G180</f>
        <v>628.14070351758801</v>
      </c>
      <c r="G1167">
        <v>101325000</v>
      </c>
    </row>
    <row r="1168" spans="1:7" x14ac:dyDescent="0.35">
      <c r="A1168">
        <v>363</v>
      </c>
      <c r="B1168">
        <v>2</v>
      </c>
      <c r="C1168">
        <f>'0363 table 2'!E181</f>
        <v>101325000</v>
      </c>
      <c r="D1168">
        <f>'0363 table 2'!F181</f>
        <v>353.15</v>
      </c>
      <c r="E1168">
        <f>'0363 table 2'!G181</f>
        <v>617.28395061728395</v>
      </c>
      <c r="G1168">
        <v>101325000</v>
      </c>
    </row>
    <row r="1169" spans="1:7" x14ac:dyDescent="0.35">
      <c r="A1169">
        <v>363</v>
      </c>
      <c r="B1169">
        <v>2</v>
      </c>
      <c r="C1169">
        <f>'0363 table 2'!E182</f>
        <v>101325000</v>
      </c>
      <c r="D1169">
        <f>'0363 table 2'!F182</f>
        <v>363.15</v>
      </c>
      <c r="E1169">
        <f>'0363 table 2'!G182</f>
        <v>606.42813826561564</v>
      </c>
      <c r="G1169">
        <v>101325000</v>
      </c>
    </row>
    <row r="1170" spans="1:7" x14ac:dyDescent="0.35">
      <c r="A1170">
        <v>363</v>
      </c>
      <c r="B1170">
        <v>2</v>
      </c>
      <c r="C1170">
        <f>'0363 table 2'!E183</f>
        <v>101325000</v>
      </c>
      <c r="D1170">
        <f>'0363 table 2'!F183</f>
        <v>373.15</v>
      </c>
      <c r="E1170">
        <f>'0363 table 2'!G183</f>
        <v>595.9475566150179</v>
      </c>
      <c r="G1170">
        <v>101325000</v>
      </c>
    </row>
    <row r="1171" spans="1:7" x14ac:dyDescent="0.35">
      <c r="A1171">
        <v>363</v>
      </c>
      <c r="B1171">
        <v>2</v>
      </c>
      <c r="C1171">
        <f>'0363 table 2'!E184</f>
        <v>101325000</v>
      </c>
      <c r="D1171">
        <f>'0363 table 2'!F184</f>
        <v>383.15</v>
      </c>
      <c r="E1171">
        <f>'0363 table 2'!G184</f>
        <v>584.79532163742692</v>
      </c>
      <c r="G1171">
        <v>101325000</v>
      </c>
    </row>
    <row r="1172" spans="1:7" x14ac:dyDescent="0.35">
      <c r="A1172">
        <v>363</v>
      </c>
      <c r="B1172">
        <v>2</v>
      </c>
      <c r="C1172">
        <f>'0363 table 2'!E185</f>
        <v>101325000</v>
      </c>
      <c r="D1172">
        <f>'0363 table 2'!F185</f>
        <v>393.15</v>
      </c>
      <c r="E1172">
        <f>'0363 table 2'!G185</f>
        <v>574.05281285878311</v>
      </c>
      <c r="G1172">
        <v>101325000</v>
      </c>
    </row>
    <row r="1173" spans="1:7" x14ac:dyDescent="0.35">
      <c r="A1173">
        <v>363</v>
      </c>
      <c r="B1173">
        <v>2</v>
      </c>
      <c r="C1173">
        <f>'0363 table 2'!E186</f>
        <v>101325000</v>
      </c>
      <c r="D1173">
        <f>'0363 table 2'!F186</f>
        <v>403.15</v>
      </c>
      <c r="E1173">
        <f>'0363 table 2'!G186</f>
        <v>563.06306306306305</v>
      </c>
      <c r="G1173">
        <v>101325000</v>
      </c>
    </row>
    <row r="1174" spans="1:7" x14ac:dyDescent="0.35">
      <c r="A1174">
        <v>363</v>
      </c>
      <c r="B1174">
        <v>2</v>
      </c>
      <c r="C1174">
        <f>'0363 table 2'!E187</f>
        <v>101325000</v>
      </c>
      <c r="D1174">
        <f>'0363 table 2'!F187</f>
        <v>413.15</v>
      </c>
      <c r="E1174">
        <f>'0363 table 2'!G187</f>
        <v>552.4861878453039</v>
      </c>
      <c r="G1174">
        <v>101325000</v>
      </c>
    </row>
    <row r="1175" spans="1:7" x14ac:dyDescent="0.35">
      <c r="A1175">
        <v>363</v>
      </c>
      <c r="B1175">
        <v>2</v>
      </c>
      <c r="C1175">
        <f>'0363 table 2'!E188</f>
        <v>101325000</v>
      </c>
      <c r="D1175">
        <f>'0363 table 2'!F188</f>
        <v>423.15</v>
      </c>
      <c r="E1175">
        <f>'0363 table 2'!G188</f>
        <v>542.29934924078088</v>
      </c>
      <c r="G1175">
        <v>101325000</v>
      </c>
    </row>
    <row r="1176" spans="1:7" x14ac:dyDescent="0.35">
      <c r="A1176">
        <v>363</v>
      </c>
      <c r="B1176">
        <v>2</v>
      </c>
      <c r="C1176">
        <f>'0363 table 2'!E189</f>
        <v>101325000</v>
      </c>
      <c r="D1176">
        <f>'0363 table 2'!F189</f>
        <v>433.15</v>
      </c>
      <c r="E1176">
        <f>'0363 table 2'!G189</f>
        <v>532.19797764768498</v>
      </c>
      <c r="G1176">
        <v>101325000</v>
      </c>
    </row>
    <row r="1177" spans="1:7" x14ac:dyDescent="0.35">
      <c r="A1177">
        <v>363</v>
      </c>
      <c r="B1177">
        <v>2</v>
      </c>
      <c r="C1177">
        <f>'0363 table 2'!E190</f>
        <v>101325000</v>
      </c>
      <c r="D1177">
        <f>'0363 table 2'!F190</f>
        <v>443.15</v>
      </c>
      <c r="E1177">
        <f>'0363 table 2'!G190</f>
        <v>521.92066805845502</v>
      </c>
      <c r="G1177">
        <v>101325000</v>
      </c>
    </row>
    <row r="1178" spans="1:7" x14ac:dyDescent="0.35">
      <c r="A1178">
        <v>363</v>
      </c>
      <c r="B1178">
        <v>2</v>
      </c>
      <c r="C1178">
        <f>'0363 table 2'!E191</f>
        <v>101325000</v>
      </c>
      <c r="D1178">
        <f>'0363 table 2'!F191</f>
        <v>453.15</v>
      </c>
      <c r="E1178">
        <f>'0363 table 2'!G191</f>
        <v>512.29508196721315</v>
      </c>
      <c r="G1178">
        <v>101325000</v>
      </c>
    </row>
    <row r="1179" spans="1:7" x14ac:dyDescent="0.35">
      <c r="A1179">
        <v>363</v>
      </c>
      <c r="B1179">
        <v>2</v>
      </c>
      <c r="C1179">
        <f>'0363 table 2'!E192</f>
        <v>101325000</v>
      </c>
      <c r="D1179">
        <f>'0363 table 2'!F192</f>
        <v>463.15</v>
      </c>
      <c r="E1179">
        <f>'0363 table 2'!G192</f>
        <v>502.00803212851395</v>
      </c>
      <c r="G1179">
        <v>101325000</v>
      </c>
    </row>
    <row r="1180" spans="1:7" x14ac:dyDescent="0.35">
      <c r="A1180">
        <v>363</v>
      </c>
      <c r="B1180">
        <v>2</v>
      </c>
      <c r="C1180">
        <f>'0363 table 2'!E193</f>
        <v>101325000</v>
      </c>
      <c r="D1180">
        <f>'0363 table 2'!F193</f>
        <v>473.15</v>
      </c>
      <c r="E1180">
        <f>'0363 table 2'!G193</f>
        <v>492.12598425196853</v>
      </c>
      <c r="G1180">
        <v>101325000</v>
      </c>
    </row>
    <row r="1181" spans="1:7" x14ac:dyDescent="0.35">
      <c r="A1181">
        <v>363</v>
      </c>
      <c r="B1181">
        <v>2</v>
      </c>
      <c r="C1181">
        <f>'0363 table 2'!E194</f>
        <v>101325000</v>
      </c>
      <c r="D1181">
        <f>'0363 table 2'!F194</f>
        <v>483.15</v>
      </c>
      <c r="E1181">
        <f>'0363 table 2'!G194</f>
        <v>482.39266763145207</v>
      </c>
      <c r="G1181">
        <v>101325000</v>
      </c>
    </row>
    <row r="1182" spans="1:7" x14ac:dyDescent="0.35">
      <c r="A1182">
        <v>363</v>
      </c>
      <c r="B1182">
        <v>2</v>
      </c>
      <c r="C1182">
        <f>'0363 table 2'!E195</f>
        <v>111457500</v>
      </c>
      <c r="D1182">
        <f>'0363 table 2'!F195</f>
        <v>283.14999999999998</v>
      </c>
      <c r="E1182">
        <f>'0363 table 2'!G195</f>
        <v>673.19461444308433</v>
      </c>
      <c r="G1182">
        <v>111457500</v>
      </c>
    </row>
    <row r="1183" spans="1:7" x14ac:dyDescent="0.35">
      <c r="A1183">
        <v>363</v>
      </c>
      <c r="B1183">
        <v>2</v>
      </c>
      <c r="C1183">
        <f>'0363 table 2'!E196</f>
        <v>111457500</v>
      </c>
      <c r="D1183">
        <f>'0363 table 2'!F196</f>
        <v>293.14999999999998</v>
      </c>
      <c r="E1183">
        <f>'0363 table 2'!G196</f>
        <v>669.50699939135734</v>
      </c>
      <c r="G1183">
        <v>111457500</v>
      </c>
    </row>
    <row r="1184" spans="1:7" x14ac:dyDescent="0.35">
      <c r="A1184">
        <v>363</v>
      </c>
      <c r="B1184">
        <v>2</v>
      </c>
      <c r="C1184">
        <f>'0363 table 2'!E197</f>
        <v>111457500</v>
      </c>
      <c r="D1184">
        <f>'0363 table 2'!F197</f>
        <v>303.14999999999998</v>
      </c>
      <c r="E1184">
        <f>'0363 table 2'!G197</f>
        <v>665.05441354292623</v>
      </c>
      <c r="G1184">
        <v>111457500</v>
      </c>
    </row>
    <row r="1185" spans="1:7" x14ac:dyDescent="0.35">
      <c r="A1185">
        <v>363</v>
      </c>
      <c r="B1185">
        <v>2</v>
      </c>
      <c r="C1185">
        <f>'0363 table 2'!E198</f>
        <v>111457500</v>
      </c>
      <c r="D1185">
        <f>'0363 table 2'!F198</f>
        <v>313.14999999999998</v>
      </c>
      <c r="E1185">
        <f>'0363 table 2'!G198</f>
        <v>659.07729179149192</v>
      </c>
      <c r="G1185">
        <v>111457500</v>
      </c>
    </row>
    <row r="1186" spans="1:7" x14ac:dyDescent="0.35">
      <c r="A1186">
        <v>363</v>
      </c>
      <c r="B1186">
        <v>2</v>
      </c>
      <c r="C1186">
        <f>'0363 table 2'!E199</f>
        <v>111457500</v>
      </c>
      <c r="D1186">
        <f>'0363 table 2'!F199</f>
        <v>323.14999999999998</v>
      </c>
      <c r="E1186">
        <f>'0363 table 2'!G199</f>
        <v>652.04505038529931</v>
      </c>
      <c r="G1186">
        <v>111457500</v>
      </c>
    </row>
    <row r="1187" spans="1:7" x14ac:dyDescent="0.35">
      <c r="A1187">
        <v>363</v>
      </c>
      <c r="B1187">
        <v>2</v>
      </c>
      <c r="C1187">
        <f>'0363 table 2'!E200</f>
        <v>111457500</v>
      </c>
      <c r="D1187">
        <f>'0363 table 2'!F200</f>
        <v>333.15</v>
      </c>
      <c r="E1187">
        <f>'0363 table 2'!G200</f>
        <v>643.65125804564082</v>
      </c>
      <c r="G1187">
        <v>111457500</v>
      </c>
    </row>
    <row r="1188" spans="1:7" x14ac:dyDescent="0.35">
      <c r="A1188">
        <v>363</v>
      </c>
      <c r="B1188">
        <v>2</v>
      </c>
      <c r="C1188">
        <f>'0363 table 2'!E201</f>
        <v>111457500</v>
      </c>
      <c r="D1188">
        <f>'0363 table 2'!F201</f>
        <v>343.15</v>
      </c>
      <c r="E1188">
        <f>'0363 table 2'!G201</f>
        <v>634.00576368876091</v>
      </c>
      <c r="G1188">
        <v>111457500</v>
      </c>
    </row>
    <row r="1189" spans="1:7" x14ac:dyDescent="0.35">
      <c r="A1189">
        <v>363</v>
      </c>
      <c r="B1189">
        <v>2</v>
      </c>
      <c r="C1189">
        <f>'0363 table 2'!E202</f>
        <v>111457500</v>
      </c>
      <c r="D1189">
        <f>'0363 table 2'!F202</f>
        <v>353.15</v>
      </c>
      <c r="E1189">
        <f>'0363 table 2'!G202</f>
        <v>623.58276643990928</v>
      </c>
      <c r="G1189">
        <v>111457500</v>
      </c>
    </row>
    <row r="1190" spans="1:7" x14ac:dyDescent="0.35">
      <c r="A1190">
        <v>363</v>
      </c>
      <c r="B1190">
        <v>2</v>
      </c>
      <c r="C1190">
        <f>'0363 table 2'!E203</f>
        <v>111457500</v>
      </c>
      <c r="D1190">
        <f>'0363 table 2'!F203</f>
        <v>363.15</v>
      </c>
      <c r="E1190">
        <f>'0363 table 2'!G203</f>
        <v>613.49693251533745</v>
      </c>
      <c r="G1190">
        <v>111457500</v>
      </c>
    </row>
    <row r="1191" spans="1:7" x14ac:dyDescent="0.35">
      <c r="A1191">
        <v>363</v>
      </c>
      <c r="B1191">
        <v>2</v>
      </c>
      <c r="C1191">
        <f>'0363 table 2'!E204</f>
        <v>111457500</v>
      </c>
      <c r="D1191">
        <f>'0363 table 2'!F204</f>
        <v>373.15</v>
      </c>
      <c r="E1191">
        <f>'0363 table 2'!G204</f>
        <v>603.07017543859638</v>
      </c>
      <c r="G1191">
        <v>111457500</v>
      </c>
    </row>
    <row r="1192" spans="1:7" x14ac:dyDescent="0.35">
      <c r="A1192">
        <v>363</v>
      </c>
      <c r="B1192">
        <v>2</v>
      </c>
      <c r="C1192">
        <f>'0363 table 2'!E205</f>
        <v>111457500</v>
      </c>
      <c r="D1192">
        <f>'0363 table 2'!F205</f>
        <v>383.15</v>
      </c>
      <c r="E1192">
        <f>'0363 table 2'!G205</f>
        <v>592.35325794291862</v>
      </c>
      <c r="G1192">
        <v>111457500</v>
      </c>
    </row>
    <row r="1193" spans="1:7" x14ac:dyDescent="0.35">
      <c r="A1193">
        <v>363</v>
      </c>
      <c r="B1193">
        <v>2</v>
      </c>
      <c r="C1193">
        <f>'0363 table 2'!E206</f>
        <v>111457500</v>
      </c>
      <c r="D1193">
        <f>'0363 table 2'!F206</f>
        <v>393.15</v>
      </c>
      <c r="E1193">
        <f>'0363 table 2'!G206</f>
        <v>581.70280274986783</v>
      </c>
      <c r="G1193">
        <v>111457500</v>
      </c>
    </row>
    <row r="1194" spans="1:7" x14ac:dyDescent="0.35">
      <c r="A1194">
        <v>363</v>
      </c>
      <c r="B1194">
        <v>2</v>
      </c>
      <c r="C1194">
        <f>'0363 table 2'!E207</f>
        <v>111457500</v>
      </c>
      <c r="D1194">
        <f>'0363 table 2'!F207</f>
        <v>403.15</v>
      </c>
      <c r="E1194">
        <f>'0363 table 2'!G207</f>
        <v>571.13187954309444</v>
      </c>
      <c r="G1194">
        <v>111457500</v>
      </c>
    </row>
    <row r="1195" spans="1:7" x14ac:dyDescent="0.35">
      <c r="A1195">
        <v>363</v>
      </c>
      <c r="B1195">
        <v>2</v>
      </c>
      <c r="C1195">
        <f>'0363 table 2'!E208</f>
        <v>111457500</v>
      </c>
      <c r="D1195">
        <f>'0363 table 2'!F208</f>
        <v>413.15</v>
      </c>
      <c r="E1195">
        <f>'0363 table 2'!G208</f>
        <v>561.22448979591843</v>
      </c>
      <c r="G1195">
        <v>111457500</v>
      </c>
    </row>
    <row r="1196" spans="1:7" x14ac:dyDescent="0.35">
      <c r="A1196">
        <v>363</v>
      </c>
      <c r="B1196">
        <v>2</v>
      </c>
      <c r="C1196">
        <f>'0363 table 2'!E209</f>
        <v>111457500</v>
      </c>
      <c r="D1196">
        <f>'0363 table 2'!F209</f>
        <v>423.15</v>
      </c>
      <c r="E1196">
        <f>'0363 table 2'!G209</f>
        <v>551.10220440881756</v>
      </c>
      <c r="G1196">
        <v>111457500</v>
      </c>
    </row>
    <row r="1197" spans="1:7" x14ac:dyDescent="0.35">
      <c r="A1197">
        <v>363</v>
      </c>
      <c r="B1197">
        <v>2</v>
      </c>
      <c r="C1197">
        <f>'0363 table 2'!E210</f>
        <v>111457500</v>
      </c>
      <c r="D1197">
        <f>'0363 table 2'!F210</f>
        <v>433.15</v>
      </c>
      <c r="E1197">
        <f>'0363 table 2'!G210</f>
        <v>541.33858267716539</v>
      </c>
      <c r="G1197">
        <v>111457500</v>
      </c>
    </row>
    <row r="1198" spans="1:7" x14ac:dyDescent="0.35">
      <c r="A1198">
        <v>363</v>
      </c>
      <c r="B1198">
        <v>2</v>
      </c>
      <c r="C1198">
        <f>'0363 table 2'!E211</f>
        <v>111457500</v>
      </c>
      <c r="D1198">
        <f>'0363 table 2'!F211</f>
        <v>443.15</v>
      </c>
      <c r="E1198">
        <f>'0363 table 2'!G211</f>
        <v>531.6578057032383</v>
      </c>
      <c r="G1198">
        <v>111457500</v>
      </c>
    </row>
    <row r="1199" spans="1:7" x14ac:dyDescent="0.35">
      <c r="A1199">
        <v>363</v>
      </c>
      <c r="B1199">
        <v>2</v>
      </c>
      <c r="C1199">
        <f>'0363 table 2'!E212</f>
        <v>111457500</v>
      </c>
      <c r="D1199">
        <f>'0363 table 2'!F212</f>
        <v>453.15</v>
      </c>
      <c r="E1199">
        <f>'0363 table 2'!G212</f>
        <v>521.82163187855781</v>
      </c>
      <c r="G1199">
        <v>111457500</v>
      </c>
    </row>
    <row r="1200" spans="1:7" x14ac:dyDescent="0.35">
      <c r="A1200">
        <v>363</v>
      </c>
      <c r="B1200">
        <v>2</v>
      </c>
      <c r="C1200">
        <f>'0363 table 2'!E213</f>
        <v>111457500</v>
      </c>
      <c r="D1200">
        <f>'0363 table 2'!F213</f>
        <v>463.15</v>
      </c>
      <c r="E1200">
        <f>'0363 table 2'!G213</f>
        <v>512.34280391243601</v>
      </c>
      <c r="G1200">
        <v>111457500</v>
      </c>
    </row>
    <row r="1201" spans="1:7" x14ac:dyDescent="0.35">
      <c r="A1201">
        <v>363</v>
      </c>
      <c r="B1201">
        <v>2</v>
      </c>
      <c r="C1201">
        <f>'0363 table 2'!E214</f>
        <v>111457500</v>
      </c>
      <c r="D1201">
        <f>'0363 table 2'!F214</f>
        <v>473.15</v>
      </c>
      <c r="E1201">
        <f>'0363 table 2'!G214</f>
        <v>503.20219579139984</v>
      </c>
      <c r="G1201">
        <v>111457500</v>
      </c>
    </row>
    <row r="1202" spans="1:7" x14ac:dyDescent="0.35">
      <c r="A1202">
        <v>363</v>
      </c>
      <c r="B1202">
        <v>2</v>
      </c>
      <c r="C1202">
        <f>'0363 table 2'!E215</f>
        <v>111457500</v>
      </c>
      <c r="D1202">
        <f>'0363 table 2'!F215</f>
        <v>483.15</v>
      </c>
      <c r="E1202">
        <f>'0363 table 2'!G215</f>
        <v>494.38202247191009</v>
      </c>
      <c r="G1202">
        <v>111457500</v>
      </c>
    </row>
    <row r="1203" spans="1:7" x14ac:dyDescent="0.35">
      <c r="A1203">
        <v>364</v>
      </c>
      <c r="B1203">
        <v>1</v>
      </c>
      <c r="C1203">
        <f>'0364 table 1'!E2</f>
        <v>17000000</v>
      </c>
      <c r="D1203">
        <f>'0364 table 1'!F2</f>
        <v>310</v>
      </c>
      <c r="E1203">
        <f>'0364 table 1'!G2</f>
        <v>600.71</v>
      </c>
      <c r="G1203">
        <v>17000000</v>
      </c>
    </row>
    <row r="1204" spans="1:7" x14ac:dyDescent="0.35">
      <c r="A1204">
        <v>364</v>
      </c>
      <c r="B1204">
        <v>1</v>
      </c>
      <c r="C1204">
        <f>'0364 table 1'!E3</f>
        <v>16000000</v>
      </c>
      <c r="D1204">
        <f>'0364 table 1'!F3</f>
        <v>310</v>
      </c>
      <c r="E1204">
        <f>'0364 table 1'!G3</f>
        <v>599.79999999999995</v>
      </c>
      <c r="G1204">
        <v>16000000</v>
      </c>
    </row>
    <row r="1205" spans="1:7" x14ac:dyDescent="0.35">
      <c r="A1205">
        <v>364</v>
      </c>
      <c r="B1205">
        <v>1</v>
      </c>
      <c r="C1205">
        <f>'0364 table 1'!E4</f>
        <v>15000000</v>
      </c>
      <c r="D1205">
        <f>'0364 table 1'!F4</f>
        <v>310</v>
      </c>
      <c r="E1205">
        <f>'0364 table 1'!G4</f>
        <v>598.87</v>
      </c>
      <c r="G1205">
        <v>15000000</v>
      </c>
    </row>
    <row r="1206" spans="1:7" x14ac:dyDescent="0.35">
      <c r="A1206">
        <v>364</v>
      </c>
      <c r="B1206">
        <v>1</v>
      </c>
      <c r="C1206">
        <f>'0364 table 1'!E5</f>
        <v>14000000</v>
      </c>
      <c r="D1206">
        <f>'0364 table 1'!F5</f>
        <v>310</v>
      </c>
      <c r="E1206">
        <f>'0364 table 1'!G5</f>
        <v>597.84</v>
      </c>
      <c r="G1206">
        <v>14000000</v>
      </c>
    </row>
    <row r="1207" spans="1:7" x14ac:dyDescent="0.35">
      <c r="A1207">
        <v>364</v>
      </c>
      <c r="B1207">
        <v>1</v>
      </c>
      <c r="C1207">
        <f>'0364 table 1'!E6</f>
        <v>13000000</v>
      </c>
      <c r="D1207">
        <f>'0364 table 1'!F6</f>
        <v>310</v>
      </c>
      <c r="E1207">
        <f>'0364 table 1'!G6</f>
        <v>596.92999999999995</v>
      </c>
      <c r="G1207">
        <v>13000000</v>
      </c>
    </row>
    <row r="1208" spans="1:7" x14ac:dyDescent="0.35">
      <c r="A1208">
        <v>364</v>
      </c>
      <c r="B1208">
        <v>1</v>
      </c>
      <c r="C1208">
        <f>'0364 table 1'!E7</f>
        <v>12000000</v>
      </c>
      <c r="D1208">
        <f>'0364 table 1'!F7</f>
        <v>310</v>
      </c>
      <c r="E1208">
        <f>'0364 table 1'!G7</f>
        <v>595.92999999999995</v>
      </c>
      <c r="G1208">
        <v>12000000</v>
      </c>
    </row>
    <row r="1209" spans="1:7" x14ac:dyDescent="0.35">
      <c r="A1209">
        <v>364</v>
      </c>
      <c r="B1209">
        <v>1</v>
      </c>
      <c r="C1209">
        <f>'0364 table 1'!E8</f>
        <v>11000000</v>
      </c>
      <c r="D1209">
        <f>'0364 table 1'!F8</f>
        <v>310</v>
      </c>
      <c r="E1209">
        <f>'0364 table 1'!G8</f>
        <v>594.91</v>
      </c>
      <c r="G1209">
        <v>11000000</v>
      </c>
    </row>
    <row r="1210" spans="1:7" x14ac:dyDescent="0.35">
      <c r="A1210">
        <v>364</v>
      </c>
      <c r="B1210">
        <v>1</v>
      </c>
      <c r="C1210">
        <f>'0364 table 1'!E9</f>
        <v>10000000</v>
      </c>
      <c r="D1210">
        <f>'0364 table 1'!F9</f>
        <v>310</v>
      </c>
      <c r="E1210">
        <f>'0364 table 1'!G9</f>
        <v>594.01</v>
      </c>
      <c r="G1210">
        <v>10000000</v>
      </c>
    </row>
    <row r="1211" spans="1:7" x14ac:dyDescent="0.35">
      <c r="A1211">
        <v>364</v>
      </c>
      <c r="B1211">
        <v>1</v>
      </c>
      <c r="C1211">
        <f>'0364 table 1'!E10</f>
        <v>9000000</v>
      </c>
      <c r="D1211">
        <f>'0364 table 1'!F10</f>
        <v>310</v>
      </c>
      <c r="E1211">
        <f>'0364 table 1'!G10</f>
        <v>592.98</v>
      </c>
      <c r="G1211">
        <v>9000000</v>
      </c>
    </row>
    <row r="1212" spans="1:7" x14ac:dyDescent="0.35">
      <c r="A1212">
        <v>364</v>
      </c>
      <c r="B1212">
        <v>1</v>
      </c>
      <c r="C1212">
        <f>'0364 table 1'!E11</f>
        <v>8000000</v>
      </c>
      <c r="D1212">
        <f>'0364 table 1'!F11</f>
        <v>310</v>
      </c>
      <c r="E1212">
        <f>'0364 table 1'!G11</f>
        <v>591.99</v>
      </c>
      <c r="G1212">
        <v>8000000</v>
      </c>
    </row>
    <row r="1213" spans="1:7" x14ac:dyDescent="0.35">
      <c r="A1213">
        <v>364</v>
      </c>
      <c r="B1213">
        <v>1</v>
      </c>
      <c r="C1213">
        <f>'0364 table 1'!E12</f>
        <v>7000000</v>
      </c>
      <c r="D1213">
        <f>'0364 table 1'!F12</f>
        <v>310</v>
      </c>
      <c r="E1213">
        <f>'0364 table 1'!G12</f>
        <v>590.82000000000005</v>
      </c>
      <c r="G1213">
        <v>7000000</v>
      </c>
    </row>
    <row r="1214" spans="1:7" x14ac:dyDescent="0.35">
      <c r="A1214">
        <v>364</v>
      </c>
      <c r="B1214">
        <v>1</v>
      </c>
      <c r="C1214">
        <f>'0364 table 1'!E13</f>
        <v>6000000</v>
      </c>
      <c r="D1214">
        <f>'0364 table 1'!F13</f>
        <v>310</v>
      </c>
      <c r="E1214">
        <f>'0364 table 1'!G13</f>
        <v>589.75</v>
      </c>
      <c r="G1214">
        <v>6000000</v>
      </c>
    </row>
    <row r="1215" spans="1:7" x14ac:dyDescent="0.35">
      <c r="A1215">
        <v>364</v>
      </c>
      <c r="B1215">
        <v>1</v>
      </c>
      <c r="C1215">
        <f>'0364 table 1'!E14</f>
        <v>5000000</v>
      </c>
      <c r="D1215">
        <f>'0364 table 1'!F14</f>
        <v>310</v>
      </c>
      <c r="E1215">
        <f>'0364 table 1'!G14</f>
        <v>588.69000000000005</v>
      </c>
      <c r="G1215">
        <v>5000000</v>
      </c>
    </row>
    <row r="1216" spans="1:7" x14ac:dyDescent="0.35">
      <c r="A1216">
        <v>364</v>
      </c>
      <c r="B1216">
        <v>1</v>
      </c>
      <c r="C1216">
        <f>'0364 table 1'!E15</f>
        <v>4000000</v>
      </c>
      <c r="D1216">
        <f>'0364 table 1'!F15</f>
        <v>310</v>
      </c>
      <c r="E1216">
        <f>'0364 table 1'!G15</f>
        <v>587.6</v>
      </c>
      <c r="G1216">
        <v>4000000</v>
      </c>
    </row>
    <row r="1217" spans="1:7" x14ac:dyDescent="0.35">
      <c r="A1217">
        <v>364</v>
      </c>
      <c r="B1217">
        <v>1</v>
      </c>
      <c r="C1217">
        <f>'0364 table 1'!E16</f>
        <v>3000000</v>
      </c>
      <c r="D1217">
        <f>'0364 table 1'!F16</f>
        <v>310</v>
      </c>
      <c r="E1217">
        <f>'0364 table 1'!G16</f>
        <v>586.47</v>
      </c>
      <c r="G1217">
        <v>3000000</v>
      </c>
    </row>
    <row r="1218" spans="1:7" x14ac:dyDescent="0.35">
      <c r="A1218">
        <v>364</v>
      </c>
      <c r="B1218">
        <v>1</v>
      </c>
      <c r="C1218">
        <f>'0364 table 1'!E17</f>
        <v>2000000</v>
      </c>
      <c r="D1218">
        <f>'0364 table 1'!F17</f>
        <v>310</v>
      </c>
      <c r="E1218">
        <f>'0364 table 1'!G17</f>
        <v>585.39</v>
      </c>
      <c r="G1218">
        <v>2000000</v>
      </c>
    </row>
    <row r="1219" spans="1:7" x14ac:dyDescent="0.35">
      <c r="A1219">
        <v>364</v>
      </c>
      <c r="B1219">
        <v>1</v>
      </c>
      <c r="C1219">
        <f>'0364 table 1'!E18</f>
        <v>1800000</v>
      </c>
      <c r="D1219">
        <f>'0364 table 1'!F18</f>
        <v>310</v>
      </c>
      <c r="E1219">
        <f>'0364 table 1'!G18</f>
        <v>585.14</v>
      </c>
      <c r="G1219">
        <v>1800000</v>
      </c>
    </row>
    <row r="1220" spans="1:7" x14ac:dyDescent="0.35">
      <c r="A1220">
        <v>364</v>
      </c>
      <c r="B1220">
        <v>1</v>
      </c>
      <c r="C1220">
        <f>'0364 table 1'!E19</f>
        <v>1600000</v>
      </c>
      <c r="D1220">
        <f>'0364 table 1'!F19</f>
        <v>310</v>
      </c>
      <c r="E1220">
        <f>'0364 table 1'!G19</f>
        <v>584.91999999999996</v>
      </c>
      <c r="G1220">
        <v>1600000</v>
      </c>
    </row>
    <row r="1221" spans="1:7" x14ac:dyDescent="0.35">
      <c r="A1221">
        <v>364</v>
      </c>
      <c r="B1221">
        <v>1</v>
      </c>
      <c r="C1221">
        <f>'0364 table 1'!E20</f>
        <v>17000000</v>
      </c>
      <c r="D1221">
        <f>'0364 table 1'!F20</f>
        <v>313.14</v>
      </c>
      <c r="E1221">
        <f>'0364 table 1'!G20</f>
        <v>596.1</v>
      </c>
      <c r="G1221">
        <v>17000000</v>
      </c>
    </row>
    <row r="1222" spans="1:7" x14ac:dyDescent="0.35">
      <c r="A1222">
        <v>364</v>
      </c>
      <c r="B1222">
        <v>1</v>
      </c>
      <c r="C1222">
        <f>'0364 table 1'!E21</f>
        <v>16000000</v>
      </c>
      <c r="D1222">
        <f>'0364 table 1'!F21</f>
        <v>313.14</v>
      </c>
      <c r="E1222">
        <f>'0364 table 1'!G21</f>
        <v>595.15</v>
      </c>
      <c r="G1222">
        <v>16000000</v>
      </c>
    </row>
    <row r="1223" spans="1:7" x14ac:dyDescent="0.35">
      <c r="A1223">
        <v>364</v>
      </c>
      <c r="B1223">
        <v>1</v>
      </c>
      <c r="C1223">
        <f>'0364 table 1'!E22</f>
        <v>15000000</v>
      </c>
      <c r="D1223">
        <f>'0364 table 1'!F22</f>
        <v>313.14</v>
      </c>
      <c r="E1223">
        <f>'0364 table 1'!G22</f>
        <v>594.25</v>
      </c>
      <c r="G1223">
        <v>15000000</v>
      </c>
    </row>
    <row r="1224" spans="1:7" x14ac:dyDescent="0.35">
      <c r="A1224">
        <v>364</v>
      </c>
      <c r="B1224">
        <v>1</v>
      </c>
      <c r="C1224">
        <f>'0364 table 1'!E23</f>
        <v>14000000</v>
      </c>
      <c r="D1224">
        <f>'0364 table 1'!F23</f>
        <v>313.14</v>
      </c>
      <c r="E1224">
        <f>'0364 table 1'!G23</f>
        <v>593.20000000000005</v>
      </c>
      <c r="G1224">
        <v>14000000</v>
      </c>
    </row>
    <row r="1225" spans="1:7" x14ac:dyDescent="0.35">
      <c r="A1225">
        <v>364</v>
      </c>
      <c r="B1225">
        <v>1</v>
      </c>
      <c r="C1225">
        <f>'0364 table 1'!E24</f>
        <v>13000000</v>
      </c>
      <c r="D1225">
        <f>'0364 table 1'!F24</f>
        <v>313.14</v>
      </c>
      <c r="E1225">
        <f>'0364 table 1'!G24</f>
        <v>592.20000000000005</v>
      </c>
      <c r="G1225">
        <v>13000000</v>
      </c>
    </row>
    <row r="1226" spans="1:7" x14ac:dyDescent="0.35">
      <c r="A1226">
        <v>364</v>
      </c>
      <c r="B1226">
        <v>1</v>
      </c>
      <c r="C1226">
        <f>'0364 table 1'!E25</f>
        <v>12000000</v>
      </c>
      <c r="D1226">
        <f>'0364 table 1'!F25</f>
        <v>313.14</v>
      </c>
      <c r="E1226">
        <f>'0364 table 1'!G25</f>
        <v>591.24</v>
      </c>
      <c r="G1226">
        <v>12000000</v>
      </c>
    </row>
    <row r="1227" spans="1:7" x14ac:dyDescent="0.35">
      <c r="A1227">
        <v>364</v>
      </c>
      <c r="B1227">
        <v>1</v>
      </c>
      <c r="C1227">
        <f>'0364 table 1'!E26</f>
        <v>11000000</v>
      </c>
      <c r="D1227">
        <f>'0364 table 1'!F26</f>
        <v>313.14</v>
      </c>
      <c r="E1227">
        <f>'0364 table 1'!G26</f>
        <v>590.24</v>
      </c>
      <c r="G1227">
        <v>11000000</v>
      </c>
    </row>
    <row r="1228" spans="1:7" x14ac:dyDescent="0.35">
      <c r="A1228">
        <v>364</v>
      </c>
      <c r="B1228">
        <v>1</v>
      </c>
      <c r="C1228">
        <f>'0364 table 1'!E27</f>
        <v>10000000</v>
      </c>
      <c r="D1228">
        <f>'0364 table 1'!F27</f>
        <v>313.14</v>
      </c>
      <c r="E1228">
        <f>'0364 table 1'!G27</f>
        <v>589.09</v>
      </c>
      <c r="G1228">
        <v>10000000</v>
      </c>
    </row>
    <row r="1229" spans="1:7" x14ac:dyDescent="0.35">
      <c r="A1229">
        <v>364</v>
      </c>
      <c r="B1229">
        <v>1</v>
      </c>
      <c r="C1229">
        <f>'0364 table 1'!E28</f>
        <v>9000000</v>
      </c>
      <c r="D1229">
        <f>'0364 table 1'!F28</f>
        <v>313.14</v>
      </c>
      <c r="E1229">
        <f>'0364 table 1'!G28</f>
        <v>588.08000000000004</v>
      </c>
      <c r="G1229">
        <v>9000000</v>
      </c>
    </row>
    <row r="1230" spans="1:7" x14ac:dyDescent="0.35">
      <c r="A1230">
        <v>364</v>
      </c>
      <c r="B1230">
        <v>1</v>
      </c>
      <c r="C1230">
        <f>'0364 table 1'!E29</f>
        <v>8000000</v>
      </c>
      <c r="D1230">
        <f>'0364 table 1'!F29</f>
        <v>313.14</v>
      </c>
      <c r="E1230">
        <f>'0364 table 1'!G29</f>
        <v>587.03</v>
      </c>
      <c r="G1230">
        <v>8000000</v>
      </c>
    </row>
    <row r="1231" spans="1:7" x14ac:dyDescent="0.35">
      <c r="A1231">
        <v>364</v>
      </c>
      <c r="B1231">
        <v>1</v>
      </c>
      <c r="C1231">
        <f>'0364 table 1'!E30</f>
        <v>7000000</v>
      </c>
      <c r="D1231">
        <f>'0364 table 1'!F30</f>
        <v>313.14</v>
      </c>
      <c r="E1231">
        <f>'0364 table 1'!G30</f>
        <v>585.87</v>
      </c>
      <c r="G1231">
        <v>7000000</v>
      </c>
    </row>
    <row r="1232" spans="1:7" x14ac:dyDescent="0.35">
      <c r="A1232">
        <v>364</v>
      </c>
      <c r="B1232">
        <v>1</v>
      </c>
      <c r="C1232">
        <f>'0364 table 1'!E31</f>
        <v>6000000</v>
      </c>
      <c r="D1232">
        <f>'0364 table 1'!F31</f>
        <v>313.14</v>
      </c>
      <c r="E1232">
        <f>'0364 table 1'!G31</f>
        <v>584.79999999999995</v>
      </c>
      <c r="G1232">
        <v>6000000</v>
      </c>
    </row>
    <row r="1233" spans="1:7" x14ac:dyDescent="0.35">
      <c r="A1233">
        <v>364</v>
      </c>
      <c r="B1233">
        <v>1</v>
      </c>
      <c r="C1233">
        <f>'0364 table 1'!E32</f>
        <v>5000000</v>
      </c>
      <c r="D1233">
        <f>'0364 table 1'!F32</f>
        <v>313.14</v>
      </c>
      <c r="E1233">
        <f>'0364 table 1'!G32</f>
        <v>583.69000000000005</v>
      </c>
      <c r="G1233">
        <v>5000000</v>
      </c>
    </row>
    <row r="1234" spans="1:7" x14ac:dyDescent="0.35">
      <c r="A1234">
        <v>364</v>
      </c>
      <c r="B1234">
        <v>1</v>
      </c>
      <c r="C1234">
        <f>'0364 table 1'!E33</f>
        <v>4000000</v>
      </c>
      <c r="D1234">
        <f>'0364 table 1'!F33</f>
        <v>313.14</v>
      </c>
      <c r="E1234">
        <f>'0364 table 1'!G33</f>
        <v>582.6</v>
      </c>
      <c r="G1234">
        <v>4000000</v>
      </c>
    </row>
    <row r="1235" spans="1:7" x14ac:dyDescent="0.35">
      <c r="A1235">
        <v>364</v>
      </c>
      <c r="B1235">
        <v>1</v>
      </c>
      <c r="C1235">
        <f>'0364 table 1'!E34</f>
        <v>3000000</v>
      </c>
      <c r="D1235">
        <f>'0364 table 1'!F34</f>
        <v>313.14</v>
      </c>
      <c r="E1235">
        <f>'0364 table 1'!G34</f>
        <v>581.42999999999995</v>
      </c>
      <c r="G1235">
        <v>3000000</v>
      </c>
    </row>
    <row r="1236" spans="1:7" x14ac:dyDescent="0.35">
      <c r="A1236">
        <v>364</v>
      </c>
      <c r="B1236">
        <v>1</v>
      </c>
      <c r="C1236">
        <f>'0364 table 1'!E35</f>
        <v>2000000</v>
      </c>
      <c r="D1236">
        <f>'0364 table 1'!F35</f>
        <v>313.14</v>
      </c>
      <c r="E1236">
        <f>'0364 table 1'!G35</f>
        <v>580.22</v>
      </c>
      <c r="G1236">
        <v>2000000</v>
      </c>
    </row>
    <row r="1237" spans="1:7" x14ac:dyDescent="0.35">
      <c r="A1237">
        <v>364</v>
      </c>
      <c r="B1237">
        <v>1</v>
      </c>
      <c r="C1237">
        <f>'0364 table 1'!E36</f>
        <v>1800000</v>
      </c>
      <c r="D1237">
        <f>'0364 table 1'!F36</f>
        <v>313.14</v>
      </c>
      <c r="E1237">
        <f>'0364 table 1'!G36</f>
        <v>579.96</v>
      </c>
      <c r="G1237">
        <v>1800000</v>
      </c>
    </row>
    <row r="1238" spans="1:7" x14ac:dyDescent="0.35">
      <c r="A1238">
        <v>364</v>
      </c>
      <c r="B1238">
        <v>1</v>
      </c>
      <c r="C1238">
        <f>'0364 table 1'!E37</f>
        <v>1600000</v>
      </c>
      <c r="D1238">
        <f>'0364 table 1'!F37</f>
        <v>313.14</v>
      </c>
      <c r="E1238">
        <f>'0364 table 1'!G37</f>
        <v>579.72</v>
      </c>
      <c r="G1238">
        <v>1600000</v>
      </c>
    </row>
    <row r="1239" spans="1:7" x14ac:dyDescent="0.35">
      <c r="A1239">
        <v>364</v>
      </c>
      <c r="B1239">
        <v>1</v>
      </c>
      <c r="C1239">
        <f>'0364 table 1'!E38</f>
        <v>17000000</v>
      </c>
      <c r="D1239">
        <f>'0364 table 1'!F38</f>
        <v>320</v>
      </c>
      <c r="E1239">
        <f>'0364 table 1'!G38</f>
        <v>585.83000000000004</v>
      </c>
      <c r="G1239">
        <v>17000000</v>
      </c>
    </row>
    <row r="1240" spans="1:7" x14ac:dyDescent="0.35">
      <c r="A1240">
        <v>364</v>
      </c>
      <c r="B1240">
        <v>1</v>
      </c>
      <c r="C1240">
        <f>'0364 table 1'!E39</f>
        <v>16000000</v>
      </c>
      <c r="D1240">
        <f>'0364 table 1'!F39</f>
        <v>320</v>
      </c>
      <c r="E1240">
        <f>'0364 table 1'!G39</f>
        <v>584.82000000000005</v>
      </c>
      <c r="G1240">
        <v>16000000</v>
      </c>
    </row>
    <row r="1241" spans="1:7" x14ac:dyDescent="0.35">
      <c r="A1241">
        <v>364</v>
      </c>
      <c r="B1241">
        <v>1</v>
      </c>
      <c r="C1241">
        <f>'0364 table 1'!E40</f>
        <v>15000000</v>
      </c>
      <c r="D1241">
        <f>'0364 table 1'!F40</f>
        <v>320</v>
      </c>
      <c r="E1241">
        <f>'0364 table 1'!G40</f>
        <v>583.74</v>
      </c>
      <c r="G1241">
        <v>15000000</v>
      </c>
    </row>
    <row r="1242" spans="1:7" x14ac:dyDescent="0.35">
      <c r="A1242">
        <v>364</v>
      </c>
      <c r="B1242">
        <v>1</v>
      </c>
      <c r="C1242">
        <f>'0364 table 1'!E41</f>
        <v>14000000</v>
      </c>
      <c r="D1242">
        <f>'0364 table 1'!F41</f>
        <v>320</v>
      </c>
      <c r="E1242">
        <f>'0364 table 1'!G41</f>
        <v>582.74</v>
      </c>
      <c r="G1242">
        <v>14000000</v>
      </c>
    </row>
    <row r="1243" spans="1:7" x14ac:dyDescent="0.35">
      <c r="A1243">
        <v>364</v>
      </c>
      <c r="B1243">
        <v>1</v>
      </c>
      <c r="C1243">
        <f>'0364 table 1'!E42</f>
        <v>13000000</v>
      </c>
      <c r="D1243">
        <f>'0364 table 1'!F42</f>
        <v>320</v>
      </c>
      <c r="E1243">
        <f>'0364 table 1'!G42</f>
        <v>581.62</v>
      </c>
      <c r="G1243">
        <v>13000000</v>
      </c>
    </row>
    <row r="1244" spans="1:7" x14ac:dyDescent="0.35">
      <c r="A1244">
        <v>364</v>
      </c>
      <c r="B1244">
        <v>1</v>
      </c>
      <c r="C1244">
        <f>'0364 table 1'!E43</f>
        <v>12000000</v>
      </c>
      <c r="D1244">
        <f>'0364 table 1'!F43</f>
        <v>320</v>
      </c>
      <c r="E1244">
        <f>'0364 table 1'!G43</f>
        <v>580.55999999999995</v>
      </c>
      <c r="G1244">
        <v>12000000</v>
      </c>
    </row>
    <row r="1245" spans="1:7" x14ac:dyDescent="0.35">
      <c r="A1245">
        <v>364</v>
      </c>
      <c r="B1245">
        <v>1</v>
      </c>
      <c r="C1245">
        <f>'0364 table 1'!E44</f>
        <v>11000000</v>
      </c>
      <c r="D1245">
        <f>'0364 table 1'!F44</f>
        <v>320</v>
      </c>
      <c r="E1245">
        <f>'0364 table 1'!G44</f>
        <v>579.35</v>
      </c>
      <c r="G1245">
        <v>11000000</v>
      </c>
    </row>
    <row r="1246" spans="1:7" x14ac:dyDescent="0.35">
      <c r="A1246">
        <v>364</v>
      </c>
      <c r="B1246">
        <v>1</v>
      </c>
      <c r="C1246">
        <f>'0364 table 1'!E45</f>
        <v>10000000</v>
      </c>
      <c r="D1246">
        <f>'0364 table 1'!F45</f>
        <v>320</v>
      </c>
      <c r="E1246">
        <f>'0364 table 1'!G45</f>
        <v>578.21</v>
      </c>
      <c r="G1246">
        <v>10000000</v>
      </c>
    </row>
    <row r="1247" spans="1:7" x14ac:dyDescent="0.35">
      <c r="A1247">
        <v>364</v>
      </c>
      <c r="B1247">
        <v>1</v>
      </c>
      <c r="C1247">
        <f>'0364 table 1'!E46</f>
        <v>9000000</v>
      </c>
      <c r="D1247">
        <f>'0364 table 1'!F46</f>
        <v>320</v>
      </c>
      <c r="E1247">
        <f>'0364 table 1'!G46</f>
        <v>577.11</v>
      </c>
      <c r="G1247">
        <v>9000000</v>
      </c>
    </row>
    <row r="1248" spans="1:7" x14ac:dyDescent="0.35">
      <c r="A1248">
        <v>364</v>
      </c>
      <c r="B1248">
        <v>1</v>
      </c>
      <c r="C1248">
        <f>'0364 table 1'!E47</f>
        <v>8000000</v>
      </c>
      <c r="D1248">
        <f>'0364 table 1'!F47</f>
        <v>320</v>
      </c>
      <c r="E1248">
        <f>'0364 table 1'!G47</f>
        <v>575.91999999999996</v>
      </c>
      <c r="G1248">
        <v>8000000</v>
      </c>
    </row>
    <row r="1249" spans="1:7" x14ac:dyDescent="0.35">
      <c r="A1249">
        <v>364</v>
      </c>
      <c r="B1249">
        <v>1</v>
      </c>
      <c r="C1249">
        <f>'0364 table 1'!E48</f>
        <v>7000000</v>
      </c>
      <c r="D1249">
        <f>'0364 table 1'!F48</f>
        <v>320</v>
      </c>
      <c r="E1249">
        <f>'0364 table 1'!G48</f>
        <v>574.73</v>
      </c>
      <c r="G1249">
        <v>7000000</v>
      </c>
    </row>
    <row r="1250" spans="1:7" x14ac:dyDescent="0.35">
      <c r="A1250">
        <v>364</v>
      </c>
      <c r="B1250">
        <v>1</v>
      </c>
      <c r="C1250">
        <f>'0364 table 1'!E49</f>
        <v>6000000</v>
      </c>
      <c r="D1250">
        <f>'0364 table 1'!F49</f>
        <v>320</v>
      </c>
      <c r="E1250">
        <f>'0364 table 1'!G49</f>
        <v>573.48</v>
      </c>
      <c r="G1250">
        <v>6000000</v>
      </c>
    </row>
    <row r="1251" spans="1:7" x14ac:dyDescent="0.35">
      <c r="A1251">
        <v>364</v>
      </c>
      <c r="B1251">
        <v>1</v>
      </c>
      <c r="C1251">
        <f>'0364 table 1'!E50</f>
        <v>5000000</v>
      </c>
      <c r="D1251">
        <f>'0364 table 1'!F50</f>
        <v>320</v>
      </c>
      <c r="E1251">
        <f>'0364 table 1'!G50</f>
        <v>572.16</v>
      </c>
      <c r="G1251">
        <v>5000000</v>
      </c>
    </row>
    <row r="1252" spans="1:7" x14ac:dyDescent="0.35">
      <c r="A1252">
        <v>364</v>
      </c>
      <c r="B1252">
        <v>1</v>
      </c>
      <c r="C1252">
        <f>'0364 table 1'!E51</f>
        <v>4000000</v>
      </c>
      <c r="D1252">
        <f>'0364 table 1'!F51</f>
        <v>320</v>
      </c>
      <c r="E1252">
        <f>'0364 table 1'!G51</f>
        <v>570.98</v>
      </c>
      <c r="G1252">
        <v>4000000</v>
      </c>
    </row>
    <row r="1253" spans="1:7" x14ac:dyDescent="0.35">
      <c r="A1253">
        <v>364</v>
      </c>
      <c r="B1253">
        <v>1</v>
      </c>
      <c r="C1253">
        <f>'0364 table 1'!E52</f>
        <v>3000000</v>
      </c>
      <c r="D1253">
        <f>'0364 table 1'!F52</f>
        <v>320</v>
      </c>
      <c r="E1253">
        <f>'0364 table 1'!G52</f>
        <v>569.72</v>
      </c>
      <c r="G1253">
        <v>3000000</v>
      </c>
    </row>
    <row r="1254" spans="1:7" x14ac:dyDescent="0.35">
      <c r="A1254">
        <v>364</v>
      </c>
      <c r="B1254">
        <v>1</v>
      </c>
      <c r="C1254">
        <f>'0364 table 1'!E53</f>
        <v>2000000</v>
      </c>
      <c r="D1254">
        <f>'0364 table 1'!F53</f>
        <v>320</v>
      </c>
      <c r="E1254">
        <f>'0364 table 1'!G53</f>
        <v>568.32000000000005</v>
      </c>
      <c r="G1254">
        <v>2000000</v>
      </c>
    </row>
    <row r="1255" spans="1:7" x14ac:dyDescent="0.35">
      <c r="A1255">
        <v>364</v>
      </c>
      <c r="B1255">
        <v>1</v>
      </c>
      <c r="C1255">
        <f>'0364 table 1'!E54</f>
        <v>1900000</v>
      </c>
      <c r="D1255">
        <f>'0364 table 1'!F54</f>
        <v>320</v>
      </c>
      <c r="E1255">
        <f>'0364 table 1'!G54</f>
        <v>568.30999999999995</v>
      </c>
      <c r="G1255">
        <v>1900000</v>
      </c>
    </row>
    <row r="1256" spans="1:7" x14ac:dyDescent="0.35">
      <c r="A1256">
        <v>364</v>
      </c>
      <c r="B1256">
        <v>1</v>
      </c>
      <c r="C1256">
        <f>'0364 table 1'!E55</f>
        <v>17000000</v>
      </c>
      <c r="D1256">
        <f>'0364 table 1'!F55</f>
        <v>340</v>
      </c>
      <c r="E1256">
        <f>'0364 table 1'!G55</f>
        <v>554.61</v>
      </c>
      <c r="G1256">
        <v>17000000</v>
      </c>
    </row>
    <row r="1257" spans="1:7" x14ac:dyDescent="0.35">
      <c r="A1257">
        <v>364</v>
      </c>
      <c r="B1257">
        <v>1</v>
      </c>
      <c r="C1257">
        <f>'0364 table 1'!E56</f>
        <v>16000000</v>
      </c>
      <c r="D1257">
        <f>'0364 table 1'!F56</f>
        <v>340</v>
      </c>
      <c r="E1257">
        <f>'0364 table 1'!G56</f>
        <v>553.39</v>
      </c>
      <c r="G1257">
        <v>16000000</v>
      </c>
    </row>
    <row r="1258" spans="1:7" x14ac:dyDescent="0.35">
      <c r="A1258">
        <v>364</v>
      </c>
      <c r="B1258">
        <v>1</v>
      </c>
      <c r="C1258">
        <f>'0364 table 1'!E57</f>
        <v>15000000</v>
      </c>
      <c r="D1258">
        <f>'0364 table 1'!F57</f>
        <v>340</v>
      </c>
      <c r="E1258">
        <f>'0364 table 1'!G57</f>
        <v>552.12</v>
      </c>
      <c r="G1258">
        <v>15000000</v>
      </c>
    </row>
    <row r="1259" spans="1:7" x14ac:dyDescent="0.35">
      <c r="A1259">
        <v>364</v>
      </c>
      <c r="B1259">
        <v>1</v>
      </c>
      <c r="C1259">
        <f>'0364 table 1'!E58</f>
        <v>14000000</v>
      </c>
      <c r="D1259">
        <f>'0364 table 1'!F58</f>
        <v>340</v>
      </c>
      <c r="E1259">
        <f>'0364 table 1'!G58</f>
        <v>550.72</v>
      </c>
      <c r="G1259">
        <v>14000000</v>
      </c>
    </row>
    <row r="1260" spans="1:7" x14ac:dyDescent="0.35">
      <c r="A1260">
        <v>364</v>
      </c>
      <c r="B1260">
        <v>1</v>
      </c>
      <c r="C1260">
        <f>'0364 table 1'!E59</f>
        <v>13000000</v>
      </c>
      <c r="D1260">
        <f>'0364 table 1'!F59</f>
        <v>340</v>
      </c>
      <c r="E1260">
        <f>'0364 table 1'!G59</f>
        <v>549.05999999999995</v>
      </c>
      <c r="G1260">
        <v>13000000</v>
      </c>
    </row>
    <row r="1261" spans="1:7" x14ac:dyDescent="0.35">
      <c r="A1261">
        <v>364</v>
      </c>
      <c r="B1261">
        <v>1</v>
      </c>
      <c r="C1261">
        <f>'0364 table 1'!E60</f>
        <v>12000000</v>
      </c>
      <c r="D1261">
        <f>'0364 table 1'!F60</f>
        <v>340</v>
      </c>
      <c r="E1261">
        <f>'0364 table 1'!G60</f>
        <v>547.53</v>
      </c>
      <c r="G1261">
        <v>12000000</v>
      </c>
    </row>
    <row r="1262" spans="1:7" x14ac:dyDescent="0.35">
      <c r="A1262">
        <v>364</v>
      </c>
      <c r="B1262">
        <v>1</v>
      </c>
      <c r="C1262">
        <f>'0364 table 1'!E61</f>
        <v>11000000</v>
      </c>
      <c r="D1262">
        <f>'0364 table 1'!F61</f>
        <v>340</v>
      </c>
      <c r="E1262">
        <f>'0364 table 1'!G61</f>
        <v>546.17999999999995</v>
      </c>
      <c r="G1262">
        <v>11000000</v>
      </c>
    </row>
    <row r="1263" spans="1:7" x14ac:dyDescent="0.35">
      <c r="A1263">
        <v>364</v>
      </c>
      <c r="B1263">
        <v>1</v>
      </c>
      <c r="C1263">
        <f>'0364 table 1'!E62</f>
        <v>10000000</v>
      </c>
      <c r="D1263">
        <f>'0364 table 1'!F62</f>
        <v>340</v>
      </c>
      <c r="E1263">
        <f>'0364 table 1'!G62</f>
        <v>544.70000000000005</v>
      </c>
      <c r="G1263">
        <v>10000000</v>
      </c>
    </row>
    <row r="1264" spans="1:7" x14ac:dyDescent="0.35">
      <c r="A1264">
        <v>364</v>
      </c>
      <c r="B1264">
        <v>1</v>
      </c>
      <c r="C1264">
        <f>'0364 table 1'!E63</f>
        <v>9000000</v>
      </c>
      <c r="D1264">
        <f>'0364 table 1'!F63</f>
        <v>340</v>
      </c>
      <c r="E1264">
        <f>'0364 table 1'!G63</f>
        <v>542.91</v>
      </c>
      <c r="G1264">
        <v>9000000</v>
      </c>
    </row>
    <row r="1265" spans="1:7" x14ac:dyDescent="0.35">
      <c r="A1265">
        <v>364</v>
      </c>
      <c r="B1265">
        <v>1</v>
      </c>
      <c r="C1265">
        <f>'0364 table 1'!E64</f>
        <v>8000000</v>
      </c>
      <c r="D1265">
        <f>'0364 table 1'!F64</f>
        <v>340</v>
      </c>
      <c r="E1265">
        <f>'0364 table 1'!G64</f>
        <v>541.37</v>
      </c>
      <c r="G1265">
        <v>8000000</v>
      </c>
    </row>
    <row r="1266" spans="1:7" x14ac:dyDescent="0.35">
      <c r="A1266">
        <v>364</v>
      </c>
      <c r="B1266">
        <v>1</v>
      </c>
      <c r="C1266">
        <f>'0364 table 1'!E65</f>
        <v>7000000</v>
      </c>
      <c r="D1266">
        <f>'0364 table 1'!F65</f>
        <v>340</v>
      </c>
      <c r="E1266">
        <f>'0364 table 1'!G65</f>
        <v>539.72</v>
      </c>
      <c r="G1266">
        <v>7000000</v>
      </c>
    </row>
    <row r="1267" spans="1:7" x14ac:dyDescent="0.35">
      <c r="A1267">
        <v>364</v>
      </c>
      <c r="B1267">
        <v>1</v>
      </c>
      <c r="C1267">
        <f>'0364 table 1'!E66</f>
        <v>6000000</v>
      </c>
      <c r="D1267">
        <f>'0364 table 1'!F66</f>
        <v>340</v>
      </c>
      <c r="E1267">
        <f>'0364 table 1'!G66</f>
        <v>538.07000000000005</v>
      </c>
      <c r="G1267">
        <v>6000000</v>
      </c>
    </row>
    <row r="1268" spans="1:7" x14ac:dyDescent="0.35">
      <c r="A1268">
        <v>364</v>
      </c>
      <c r="B1268">
        <v>1</v>
      </c>
      <c r="C1268">
        <f>'0364 table 1'!E67</f>
        <v>5000000</v>
      </c>
      <c r="D1268">
        <f>'0364 table 1'!F67</f>
        <v>340</v>
      </c>
      <c r="E1268">
        <f>'0364 table 1'!G67</f>
        <v>536.36</v>
      </c>
      <c r="G1268">
        <v>5000000</v>
      </c>
    </row>
    <row r="1269" spans="1:7" x14ac:dyDescent="0.35">
      <c r="A1269">
        <v>364</v>
      </c>
      <c r="B1269">
        <v>1</v>
      </c>
      <c r="C1269">
        <f>'0364 table 1'!E68</f>
        <v>4000000</v>
      </c>
      <c r="D1269">
        <f>'0364 table 1'!F68</f>
        <v>340</v>
      </c>
      <c r="E1269">
        <f>'0364 table 1'!G68</f>
        <v>534.46</v>
      </c>
      <c r="G1269">
        <v>4000000</v>
      </c>
    </row>
    <row r="1270" spans="1:7" x14ac:dyDescent="0.35">
      <c r="A1270">
        <v>364</v>
      </c>
      <c r="B1270">
        <v>1</v>
      </c>
      <c r="C1270">
        <f>'0364 table 1'!E69</f>
        <v>3500000</v>
      </c>
      <c r="D1270">
        <f>'0364 table 1'!F69</f>
        <v>340</v>
      </c>
      <c r="E1270">
        <f>'0364 table 1'!G69</f>
        <v>533.27</v>
      </c>
      <c r="G1270">
        <v>3500000</v>
      </c>
    </row>
    <row r="1271" spans="1:7" x14ac:dyDescent="0.35">
      <c r="A1271">
        <v>364</v>
      </c>
      <c r="B1271">
        <v>1</v>
      </c>
      <c r="C1271">
        <f>'0364 table 1'!E70</f>
        <v>3300000</v>
      </c>
      <c r="D1271">
        <f>'0364 table 1'!F70</f>
        <v>340</v>
      </c>
      <c r="E1271">
        <f>'0364 table 1'!G70</f>
        <v>533.07000000000005</v>
      </c>
      <c r="G1271">
        <v>3300000</v>
      </c>
    </row>
    <row r="1272" spans="1:7" x14ac:dyDescent="0.35">
      <c r="A1272">
        <v>364</v>
      </c>
      <c r="B1272">
        <v>1</v>
      </c>
      <c r="C1272">
        <f>'0364 table 1'!E71</f>
        <v>17000000</v>
      </c>
      <c r="D1272">
        <f>'0364 table 1'!F71</f>
        <v>353.12900000000002</v>
      </c>
      <c r="E1272">
        <f>'0364 table 1'!G71</f>
        <v>532.30999999999995</v>
      </c>
      <c r="G1272">
        <v>17000000</v>
      </c>
    </row>
    <row r="1273" spans="1:7" x14ac:dyDescent="0.35">
      <c r="A1273">
        <v>364</v>
      </c>
      <c r="B1273">
        <v>1</v>
      </c>
      <c r="C1273">
        <f>'0364 table 1'!E72</f>
        <v>16000000</v>
      </c>
      <c r="D1273">
        <f>'0364 table 1'!F72</f>
        <v>353.12900000000002</v>
      </c>
      <c r="E1273">
        <f>'0364 table 1'!G72</f>
        <v>530.66</v>
      </c>
      <c r="G1273">
        <v>16000000</v>
      </c>
    </row>
    <row r="1274" spans="1:7" x14ac:dyDescent="0.35">
      <c r="A1274">
        <v>364</v>
      </c>
      <c r="B1274">
        <v>1</v>
      </c>
      <c r="C1274">
        <f>'0364 table 1'!E73</f>
        <v>15000000</v>
      </c>
      <c r="D1274">
        <f>'0364 table 1'!F73</f>
        <v>353.12900000000002</v>
      </c>
      <c r="E1274">
        <f>'0364 table 1'!G73</f>
        <v>528.98</v>
      </c>
      <c r="G1274">
        <v>15000000</v>
      </c>
    </row>
    <row r="1275" spans="1:7" x14ac:dyDescent="0.35">
      <c r="A1275">
        <v>364</v>
      </c>
      <c r="B1275">
        <v>1</v>
      </c>
      <c r="C1275">
        <f>'0364 table 1'!E74</f>
        <v>14000000</v>
      </c>
      <c r="D1275">
        <f>'0364 table 1'!F74</f>
        <v>353.12900000000002</v>
      </c>
      <c r="E1275">
        <f>'0364 table 1'!G74</f>
        <v>527.16</v>
      </c>
      <c r="G1275">
        <v>14000000</v>
      </c>
    </row>
    <row r="1276" spans="1:7" x14ac:dyDescent="0.35">
      <c r="A1276">
        <v>364</v>
      </c>
      <c r="B1276">
        <v>1</v>
      </c>
      <c r="C1276">
        <f>'0364 table 1'!E75</f>
        <v>13000000</v>
      </c>
      <c r="D1276">
        <f>'0364 table 1'!F75</f>
        <v>353.12900000000002</v>
      </c>
      <c r="E1276">
        <f>'0364 table 1'!G75</f>
        <v>525.33000000000004</v>
      </c>
      <c r="G1276">
        <v>13000000</v>
      </c>
    </row>
    <row r="1277" spans="1:7" x14ac:dyDescent="0.35">
      <c r="A1277">
        <v>364</v>
      </c>
      <c r="B1277">
        <v>1</v>
      </c>
      <c r="C1277">
        <f>'0364 table 1'!E76</f>
        <v>12000000</v>
      </c>
      <c r="D1277">
        <f>'0364 table 1'!F76</f>
        <v>353.12900000000002</v>
      </c>
      <c r="E1277">
        <f>'0364 table 1'!G76</f>
        <v>523.53</v>
      </c>
      <c r="G1277">
        <v>12000000</v>
      </c>
    </row>
    <row r="1278" spans="1:7" x14ac:dyDescent="0.35">
      <c r="A1278">
        <v>364</v>
      </c>
      <c r="B1278">
        <v>1</v>
      </c>
      <c r="C1278">
        <f>'0364 table 1'!E77</f>
        <v>11000000</v>
      </c>
      <c r="D1278">
        <f>'0364 table 1'!F77</f>
        <v>353.12900000000002</v>
      </c>
      <c r="E1278">
        <f>'0364 table 1'!G77</f>
        <v>521.47</v>
      </c>
      <c r="G1278">
        <v>11000000</v>
      </c>
    </row>
    <row r="1279" spans="1:7" x14ac:dyDescent="0.35">
      <c r="A1279">
        <v>364</v>
      </c>
      <c r="B1279">
        <v>1</v>
      </c>
      <c r="C1279">
        <f>'0364 table 1'!E78</f>
        <v>10000000</v>
      </c>
      <c r="D1279">
        <f>'0364 table 1'!F78</f>
        <v>353.12900000000002</v>
      </c>
      <c r="E1279">
        <f>'0364 table 1'!G78</f>
        <v>519.51</v>
      </c>
      <c r="G1279">
        <v>10000000</v>
      </c>
    </row>
    <row r="1280" spans="1:7" x14ac:dyDescent="0.35">
      <c r="A1280">
        <v>364</v>
      </c>
      <c r="B1280">
        <v>1</v>
      </c>
      <c r="C1280">
        <f>'0364 table 1'!E79</f>
        <v>9000000</v>
      </c>
      <c r="D1280">
        <f>'0364 table 1'!F79</f>
        <v>353.12900000000002</v>
      </c>
      <c r="E1280">
        <f>'0364 table 1'!G79</f>
        <v>517.38</v>
      </c>
      <c r="G1280">
        <v>9000000</v>
      </c>
    </row>
    <row r="1281" spans="1:7" x14ac:dyDescent="0.35">
      <c r="A1281">
        <v>364</v>
      </c>
      <c r="B1281">
        <v>1</v>
      </c>
      <c r="C1281">
        <f>'0364 table 1'!E80</f>
        <v>8000000</v>
      </c>
      <c r="D1281">
        <f>'0364 table 1'!F80</f>
        <v>353.12900000000002</v>
      </c>
      <c r="E1281">
        <f>'0364 table 1'!G80</f>
        <v>515.24</v>
      </c>
      <c r="G1281">
        <v>8000000</v>
      </c>
    </row>
    <row r="1282" spans="1:7" x14ac:dyDescent="0.35">
      <c r="A1282">
        <v>364</v>
      </c>
      <c r="B1282">
        <v>1</v>
      </c>
      <c r="C1282">
        <f>'0364 table 1'!E81</f>
        <v>7000000</v>
      </c>
      <c r="D1282">
        <f>'0364 table 1'!F81</f>
        <v>353.12900000000002</v>
      </c>
      <c r="E1282">
        <f>'0364 table 1'!G81</f>
        <v>512.97</v>
      </c>
      <c r="G1282">
        <v>7000000</v>
      </c>
    </row>
    <row r="1283" spans="1:7" x14ac:dyDescent="0.35">
      <c r="A1283">
        <v>364</v>
      </c>
      <c r="B1283">
        <v>1</v>
      </c>
      <c r="C1283">
        <f>'0364 table 1'!E82</f>
        <v>6000000</v>
      </c>
      <c r="D1283">
        <f>'0364 table 1'!F82</f>
        <v>353.12900000000002</v>
      </c>
      <c r="E1283">
        <f>'0364 table 1'!G82</f>
        <v>510.68</v>
      </c>
      <c r="G1283">
        <v>6000000</v>
      </c>
    </row>
    <row r="1284" spans="1:7" x14ac:dyDescent="0.35">
      <c r="A1284">
        <v>364</v>
      </c>
      <c r="B1284">
        <v>1</v>
      </c>
      <c r="C1284">
        <f>'0364 table 1'!E83</f>
        <v>5000000</v>
      </c>
      <c r="D1284">
        <f>'0364 table 1'!F83</f>
        <v>353.12900000000002</v>
      </c>
      <c r="E1284">
        <f>'0364 table 1'!G83</f>
        <v>508.14</v>
      </c>
      <c r="G1284">
        <v>5000000</v>
      </c>
    </row>
    <row r="1285" spans="1:7" x14ac:dyDescent="0.35">
      <c r="A1285">
        <v>364</v>
      </c>
      <c r="B1285">
        <v>1</v>
      </c>
      <c r="C1285">
        <f>'0364 table 1'!E84</f>
        <v>4500000</v>
      </c>
      <c r="D1285">
        <f>'0364 table 1'!F84</f>
        <v>353.12900000000002</v>
      </c>
      <c r="E1285">
        <f>'0364 table 1'!G84</f>
        <v>506.88</v>
      </c>
      <c r="G1285">
        <v>4500000</v>
      </c>
    </row>
    <row r="1286" spans="1:7" x14ac:dyDescent="0.35">
      <c r="A1286">
        <v>364</v>
      </c>
      <c r="B1286">
        <v>1</v>
      </c>
      <c r="C1286">
        <f>'0364 table 1'!E85</f>
        <v>17000000</v>
      </c>
      <c r="D1286">
        <f>'0364 table 1'!F85</f>
        <v>360</v>
      </c>
      <c r="E1286">
        <f>'0364 table 1'!G85</f>
        <v>519.45000000000005</v>
      </c>
      <c r="G1286">
        <v>17000000</v>
      </c>
    </row>
    <row r="1287" spans="1:7" x14ac:dyDescent="0.35">
      <c r="A1287">
        <v>364</v>
      </c>
      <c r="B1287">
        <v>1</v>
      </c>
      <c r="C1287">
        <f>'0364 table 1'!E86</f>
        <v>16000000</v>
      </c>
      <c r="D1287">
        <f>'0364 table 1'!F86</f>
        <v>360</v>
      </c>
      <c r="E1287">
        <f>'0364 table 1'!G86</f>
        <v>517.57000000000005</v>
      </c>
      <c r="G1287">
        <v>16000000</v>
      </c>
    </row>
    <row r="1288" spans="1:7" x14ac:dyDescent="0.35">
      <c r="A1288">
        <v>364</v>
      </c>
      <c r="B1288">
        <v>1</v>
      </c>
      <c r="C1288">
        <f>'0364 table 1'!E87</f>
        <v>15000000</v>
      </c>
      <c r="D1288">
        <f>'0364 table 1'!F87</f>
        <v>360</v>
      </c>
      <c r="E1288">
        <f>'0364 table 1'!G87</f>
        <v>515.65</v>
      </c>
      <c r="G1288">
        <v>15000000</v>
      </c>
    </row>
    <row r="1289" spans="1:7" x14ac:dyDescent="0.35">
      <c r="A1289">
        <v>364</v>
      </c>
      <c r="B1289">
        <v>1</v>
      </c>
      <c r="C1289">
        <f>'0364 table 1'!E88</f>
        <v>14000000</v>
      </c>
      <c r="D1289">
        <f>'0364 table 1'!F88</f>
        <v>360</v>
      </c>
      <c r="E1289">
        <f>'0364 table 1'!G88</f>
        <v>513.6</v>
      </c>
      <c r="G1289">
        <v>14000000</v>
      </c>
    </row>
    <row r="1290" spans="1:7" x14ac:dyDescent="0.35">
      <c r="A1290">
        <v>364</v>
      </c>
      <c r="B1290">
        <v>1</v>
      </c>
      <c r="C1290">
        <f>'0364 table 1'!E89</f>
        <v>13000000</v>
      </c>
      <c r="D1290">
        <f>'0364 table 1'!F89</f>
        <v>360</v>
      </c>
      <c r="E1290">
        <f>'0364 table 1'!G89</f>
        <v>511.5</v>
      </c>
      <c r="G1290">
        <v>13000000</v>
      </c>
    </row>
    <row r="1291" spans="1:7" x14ac:dyDescent="0.35">
      <c r="A1291">
        <v>364</v>
      </c>
      <c r="B1291">
        <v>1</v>
      </c>
      <c r="C1291">
        <f>'0364 table 1'!E90</f>
        <v>12000000</v>
      </c>
      <c r="D1291">
        <f>'0364 table 1'!F90</f>
        <v>360</v>
      </c>
      <c r="E1291">
        <f>'0364 table 1'!G90</f>
        <v>509.33</v>
      </c>
      <c r="G1291">
        <v>12000000</v>
      </c>
    </row>
    <row r="1292" spans="1:7" x14ac:dyDescent="0.35">
      <c r="A1292">
        <v>364</v>
      </c>
      <c r="B1292">
        <v>1</v>
      </c>
      <c r="C1292">
        <f>'0364 table 1'!E91</f>
        <v>11000000</v>
      </c>
      <c r="D1292">
        <f>'0364 table 1'!F91</f>
        <v>360</v>
      </c>
      <c r="E1292">
        <f>'0364 table 1'!G91</f>
        <v>507.05</v>
      </c>
      <c r="G1292">
        <v>11000000</v>
      </c>
    </row>
    <row r="1293" spans="1:7" x14ac:dyDescent="0.35">
      <c r="A1293">
        <v>364</v>
      </c>
      <c r="B1293">
        <v>1</v>
      </c>
      <c r="C1293">
        <f>'0364 table 1'!E92</f>
        <v>10000000</v>
      </c>
      <c r="D1293">
        <f>'0364 table 1'!F92</f>
        <v>360</v>
      </c>
      <c r="E1293">
        <f>'0364 table 1'!G92</f>
        <v>504.64</v>
      </c>
      <c r="G1293">
        <v>10000000</v>
      </c>
    </row>
    <row r="1294" spans="1:7" x14ac:dyDescent="0.35">
      <c r="A1294">
        <v>364</v>
      </c>
      <c r="B1294">
        <v>1</v>
      </c>
      <c r="C1294">
        <f>'0364 table 1'!E93</f>
        <v>9000000</v>
      </c>
      <c r="D1294">
        <f>'0364 table 1'!F93</f>
        <v>360</v>
      </c>
      <c r="E1294">
        <f>'0364 table 1'!G93</f>
        <v>502.18</v>
      </c>
      <c r="G1294">
        <v>9000000</v>
      </c>
    </row>
    <row r="1295" spans="1:7" x14ac:dyDescent="0.35">
      <c r="A1295">
        <v>364</v>
      </c>
      <c r="B1295">
        <v>1</v>
      </c>
      <c r="C1295">
        <f>'0364 table 1'!E94</f>
        <v>8000000</v>
      </c>
      <c r="D1295">
        <f>'0364 table 1'!F94</f>
        <v>360</v>
      </c>
      <c r="E1295">
        <f>'0364 table 1'!G94</f>
        <v>499.55</v>
      </c>
      <c r="G1295">
        <v>8000000</v>
      </c>
    </row>
    <row r="1296" spans="1:7" x14ac:dyDescent="0.35">
      <c r="A1296">
        <v>364</v>
      </c>
      <c r="B1296">
        <v>1</v>
      </c>
      <c r="C1296">
        <f>'0364 table 1'!E95</f>
        <v>7000000</v>
      </c>
      <c r="D1296">
        <f>'0364 table 1'!F95</f>
        <v>360</v>
      </c>
      <c r="E1296">
        <f>'0364 table 1'!G95</f>
        <v>496.91</v>
      </c>
      <c r="G1296">
        <v>7000000</v>
      </c>
    </row>
    <row r="1297" spans="1:7" x14ac:dyDescent="0.35">
      <c r="A1297">
        <v>364</v>
      </c>
      <c r="B1297">
        <v>1</v>
      </c>
      <c r="C1297">
        <f>'0364 table 1'!E96</f>
        <v>6000000</v>
      </c>
      <c r="D1297">
        <f>'0364 table 1'!F96</f>
        <v>360</v>
      </c>
      <c r="E1297">
        <f>'0364 table 1'!G96</f>
        <v>493.97</v>
      </c>
      <c r="G1297">
        <v>6000000</v>
      </c>
    </row>
    <row r="1298" spans="1:7" x14ac:dyDescent="0.35">
      <c r="A1298">
        <v>364</v>
      </c>
      <c r="B1298">
        <v>1</v>
      </c>
      <c r="C1298">
        <f>'0364 table 1'!E97</f>
        <v>5000000</v>
      </c>
      <c r="D1298">
        <f>'0364 table 1'!F97</f>
        <v>360</v>
      </c>
      <c r="E1298">
        <f>'0364 table 1'!G97</f>
        <v>490.97</v>
      </c>
      <c r="G1298">
        <v>5000000</v>
      </c>
    </row>
    <row r="1299" spans="1:7" x14ac:dyDescent="0.35">
      <c r="A1299">
        <v>364</v>
      </c>
      <c r="B1299">
        <v>1</v>
      </c>
      <c r="C1299">
        <f>'0364 table 1'!E98</f>
        <v>17000000</v>
      </c>
      <c r="D1299">
        <f>'0364 table 1'!F98</f>
        <v>380</v>
      </c>
      <c r="E1299">
        <f>'0364 table 1'!G98</f>
        <v>477.61</v>
      </c>
      <c r="G1299">
        <v>17000000</v>
      </c>
    </row>
    <row r="1300" spans="1:7" x14ac:dyDescent="0.35">
      <c r="A1300">
        <v>364</v>
      </c>
      <c r="B1300">
        <v>1</v>
      </c>
      <c r="C1300">
        <f>'0364 table 1'!E99</f>
        <v>16000000</v>
      </c>
      <c r="D1300">
        <f>'0364 table 1'!F99</f>
        <v>380</v>
      </c>
      <c r="E1300">
        <f>'0364 table 1'!G99</f>
        <v>474.65</v>
      </c>
      <c r="G1300">
        <v>16000000</v>
      </c>
    </row>
    <row r="1301" spans="1:7" x14ac:dyDescent="0.35">
      <c r="A1301">
        <v>364</v>
      </c>
      <c r="B1301">
        <v>1</v>
      </c>
      <c r="C1301">
        <f>'0364 table 1'!E100</f>
        <v>15000000</v>
      </c>
      <c r="D1301">
        <f>'0364 table 1'!F100</f>
        <v>380</v>
      </c>
      <c r="E1301">
        <f>'0364 table 1'!G100</f>
        <v>471.47</v>
      </c>
      <c r="G1301">
        <v>15000000</v>
      </c>
    </row>
    <row r="1302" spans="1:7" x14ac:dyDescent="0.35">
      <c r="A1302">
        <v>364</v>
      </c>
      <c r="B1302">
        <v>1</v>
      </c>
      <c r="C1302">
        <f>'0364 table 1'!E101</f>
        <v>14000000</v>
      </c>
      <c r="D1302">
        <f>'0364 table 1'!F101</f>
        <v>380</v>
      </c>
      <c r="E1302">
        <f>'0364 table 1'!G101</f>
        <v>468.08</v>
      </c>
      <c r="G1302">
        <v>14000000</v>
      </c>
    </row>
    <row r="1303" spans="1:7" x14ac:dyDescent="0.35">
      <c r="A1303">
        <v>364</v>
      </c>
      <c r="B1303">
        <v>1</v>
      </c>
      <c r="C1303">
        <f>'0364 table 1'!E102</f>
        <v>13000000</v>
      </c>
      <c r="D1303">
        <f>'0364 table 1'!F102</f>
        <v>380</v>
      </c>
      <c r="E1303">
        <f>'0364 table 1'!G102</f>
        <v>464.52</v>
      </c>
      <c r="G1303">
        <v>13000000</v>
      </c>
    </row>
    <row r="1304" spans="1:7" x14ac:dyDescent="0.35">
      <c r="A1304">
        <v>364</v>
      </c>
      <c r="B1304">
        <v>1</v>
      </c>
      <c r="C1304">
        <f>'0364 table 1'!E103</f>
        <v>12000000</v>
      </c>
      <c r="D1304">
        <f>'0364 table 1'!F103</f>
        <v>380</v>
      </c>
      <c r="E1304">
        <f>'0364 table 1'!G103</f>
        <v>460.66</v>
      </c>
      <c r="G1304">
        <v>12000000</v>
      </c>
    </row>
    <row r="1305" spans="1:7" x14ac:dyDescent="0.35">
      <c r="A1305">
        <v>364</v>
      </c>
      <c r="B1305">
        <v>1</v>
      </c>
      <c r="C1305">
        <f>'0364 table 1'!E104</f>
        <v>11000000</v>
      </c>
      <c r="D1305">
        <f>'0364 table 1'!F104</f>
        <v>380</v>
      </c>
      <c r="E1305">
        <f>'0364 table 1'!G104</f>
        <v>456.33</v>
      </c>
      <c r="G1305">
        <v>11000000</v>
      </c>
    </row>
    <row r="1306" spans="1:7" x14ac:dyDescent="0.35">
      <c r="A1306">
        <v>364</v>
      </c>
      <c r="B1306">
        <v>1</v>
      </c>
      <c r="C1306">
        <f>'0364 table 1'!E105</f>
        <v>10000000</v>
      </c>
      <c r="D1306">
        <f>'0364 table 1'!F105</f>
        <v>380</v>
      </c>
      <c r="E1306">
        <f>'0364 table 1'!G105</f>
        <v>452.06</v>
      </c>
      <c r="G1306">
        <v>10000000</v>
      </c>
    </row>
    <row r="1307" spans="1:7" x14ac:dyDescent="0.35">
      <c r="A1307">
        <v>364</v>
      </c>
      <c r="B1307">
        <v>1</v>
      </c>
      <c r="C1307">
        <f>'0364 table 1'!E106</f>
        <v>9000000</v>
      </c>
      <c r="D1307">
        <f>'0364 table 1'!F106</f>
        <v>380</v>
      </c>
      <c r="E1307">
        <f>'0364 table 1'!G106</f>
        <v>447</v>
      </c>
      <c r="G1307">
        <v>9000000</v>
      </c>
    </row>
    <row r="1308" spans="1:7" x14ac:dyDescent="0.35">
      <c r="A1308">
        <v>364</v>
      </c>
      <c r="B1308">
        <v>1</v>
      </c>
      <c r="C1308">
        <f>'0364 table 1'!E107</f>
        <v>8000000</v>
      </c>
      <c r="D1308">
        <f>'0364 table 1'!F107</f>
        <v>380</v>
      </c>
      <c r="E1308">
        <f>'0364 table 1'!G107</f>
        <v>441.37</v>
      </c>
      <c r="G1308">
        <v>8000000</v>
      </c>
    </row>
    <row r="1309" spans="1:7" x14ac:dyDescent="0.35">
      <c r="A1309">
        <v>364</v>
      </c>
      <c r="B1309">
        <v>1</v>
      </c>
      <c r="C1309">
        <f>'0364 table 1'!E108</f>
        <v>7500000</v>
      </c>
      <c r="D1309">
        <f>'0364 table 1'!F108</f>
        <v>380</v>
      </c>
      <c r="E1309">
        <f>'0364 table 1'!G108</f>
        <v>438.25</v>
      </c>
      <c r="G1309">
        <v>7500000</v>
      </c>
    </row>
    <row r="1310" spans="1:7" x14ac:dyDescent="0.35">
      <c r="A1310">
        <v>364</v>
      </c>
      <c r="B1310">
        <v>1</v>
      </c>
      <c r="C1310">
        <f>'0364 table 1'!E109</f>
        <v>7200000</v>
      </c>
      <c r="D1310">
        <f>'0364 table 1'!F109</f>
        <v>380</v>
      </c>
      <c r="E1310">
        <f>'0364 table 1'!G109</f>
        <v>436.24</v>
      </c>
      <c r="G1310">
        <v>7200000</v>
      </c>
    </row>
    <row r="1311" spans="1:7" x14ac:dyDescent="0.35">
      <c r="A1311">
        <v>364</v>
      </c>
      <c r="B1311">
        <v>1</v>
      </c>
      <c r="C1311">
        <f>'0364 table 1'!E110</f>
        <v>17000000</v>
      </c>
      <c r="D1311">
        <f>'0364 table 1'!F110</f>
        <v>394.22</v>
      </c>
      <c r="E1311">
        <f>'0364 table 1'!G110</f>
        <v>440.92</v>
      </c>
      <c r="G1311">
        <v>17000000</v>
      </c>
    </row>
    <row r="1312" spans="1:7" x14ac:dyDescent="0.35">
      <c r="A1312">
        <v>364</v>
      </c>
      <c r="B1312">
        <v>1</v>
      </c>
      <c r="C1312">
        <f>'0364 table 1'!E111</f>
        <v>16000000</v>
      </c>
      <c r="D1312">
        <f>'0364 table 1'!F111</f>
        <v>394.22</v>
      </c>
      <c r="E1312">
        <f>'0364 table 1'!G111</f>
        <v>436.21</v>
      </c>
      <c r="G1312">
        <v>16000000</v>
      </c>
    </row>
    <row r="1313" spans="1:7" x14ac:dyDescent="0.35">
      <c r="A1313">
        <v>364</v>
      </c>
      <c r="B1313">
        <v>1</v>
      </c>
      <c r="C1313">
        <f>'0364 table 1'!E112</f>
        <v>15000000</v>
      </c>
      <c r="D1313">
        <f>'0364 table 1'!F112</f>
        <v>394.22</v>
      </c>
      <c r="E1313">
        <f>'0364 table 1'!G112</f>
        <v>431.19</v>
      </c>
      <c r="G1313">
        <v>15000000</v>
      </c>
    </row>
    <row r="1314" spans="1:7" x14ac:dyDescent="0.35">
      <c r="A1314">
        <v>364</v>
      </c>
      <c r="B1314">
        <v>1</v>
      </c>
      <c r="C1314">
        <f>'0364 table 1'!E113</f>
        <v>14000000</v>
      </c>
      <c r="D1314">
        <f>'0364 table 1'!F113</f>
        <v>394.22</v>
      </c>
      <c r="E1314">
        <f>'0364 table 1'!G113</f>
        <v>425.53</v>
      </c>
      <c r="G1314">
        <v>14000000</v>
      </c>
    </row>
    <row r="1315" spans="1:7" x14ac:dyDescent="0.35">
      <c r="A1315">
        <v>364</v>
      </c>
      <c r="B1315">
        <v>1</v>
      </c>
      <c r="C1315">
        <f>'0364 table 1'!E114</f>
        <v>13000000</v>
      </c>
      <c r="D1315">
        <f>'0364 table 1'!F114</f>
        <v>394.22</v>
      </c>
      <c r="E1315">
        <f>'0364 table 1'!G114</f>
        <v>419.34</v>
      </c>
      <c r="G1315">
        <v>13000000</v>
      </c>
    </row>
    <row r="1316" spans="1:7" x14ac:dyDescent="0.35">
      <c r="A1316">
        <v>364</v>
      </c>
      <c r="B1316">
        <v>1</v>
      </c>
      <c r="C1316">
        <f>'0364 table 1'!E115</f>
        <v>12000000</v>
      </c>
      <c r="D1316">
        <f>'0364 table 1'!F115</f>
        <v>394.22</v>
      </c>
      <c r="E1316">
        <f>'0364 table 1'!G115</f>
        <v>411.85</v>
      </c>
      <c r="G1316">
        <v>12000000</v>
      </c>
    </row>
    <row r="1317" spans="1:7" x14ac:dyDescent="0.35">
      <c r="A1317">
        <v>364</v>
      </c>
      <c r="B1317">
        <v>1</v>
      </c>
      <c r="C1317">
        <f>'0364 table 1'!E116</f>
        <v>11000000</v>
      </c>
      <c r="D1317">
        <f>'0364 table 1'!F116</f>
        <v>394.22</v>
      </c>
      <c r="E1317">
        <f>'0364 table 1'!G116</f>
        <v>402.81</v>
      </c>
      <c r="G1317">
        <v>11000000</v>
      </c>
    </row>
    <row r="1318" spans="1:7" x14ac:dyDescent="0.35">
      <c r="A1318">
        <v>364</v>
      </c>
      <c r="B1318">
        <v>1</v>
      </c>
      <c r="C1318">
        <f>'0364 table 1'!E117</f>
        <v>10000000</v>
      </c>
      <c r="D1318">
        <f>'0364 table 1'!F117</f>
        <v>394.22</v>
      </c>
      <c r="E1318">
        <f>'0364 table 1'!G117</f>
        <v>391.09</v>
      </c>
      <c r="G1318">
        <v>10000000</v>
      </c>
    </row>
    <row r="1319" spans="1:7" x14ac:dyDescent="0.35">
      <c r="A1319">
        <v>364</v>
      </c>
      <c r="B1319">
        <v>1</v>
      </c>
      <c r="C1319">
        <f>'0364 table 1'!E118</f>
        <v>9500000</v>
      </c>
      <c r="D1319">
        <f>'0364 table 1'!F118</f>
        <v>394.22</v>
      </c>
      <c r="E1319">
        <f>'0364 table 1'!G118</f>
        <v>383.12</v>
      </c>
      <c r="G1319">
        <v>9500000</v>
      </c>
    </row>
    <row r="1320" spans="1:7" x14ac:dyDescent="0.35">
      <c r="A1320">
        <v>364</v>
      </c>
      <c r="B1320">
        <v>1</v>
      </c>
      <c r="C1320">
        <f>'0364 table 1'!E119</f>
        <v>17000000</v>
      </c>
      <c r="D1320">
        <f>'0364 table 1'!F119</f>
        <v>400</v>
      </c>
      <c r="E1320">
        <f>'0364 table 1'!G119</f>
        <v>423.53</v>
      </c>
      <c r="G1320">
        <v>17000000</v>
      </c>
    </row>
    <row r="1321" spans="1:7" x14ac:dyDescent="0.35">
      <c r="A1321">
        <v>364</v>
      </c>
      <c r="B1321">
        <v>1</v>
      </c>
      <c r="C1321">
        <f>'0364 table 1'!E120</f>
        <v>16000000</v>
      </c>
      <c r="D1321">
        <f>'0364 table 1'!F120</f>
        <v>400</v>
      </c>
      <c r="E1321">
        <f>'0364 table 1'!G120</f>
        <v>417.64</v>
      </c>
      <c r="G1321">
        <v>16000000</v>
      </c>
    </row>
    <row r="1322" spans="1:7" x14ac:dyDescent="0.35">
      <c r="A1322">
        <v>364</v>
      </c>
      <c r="B1322">
        <v>1</v>
      </c>
      <c r="C1322">
        <f>'0364 table 1'!E121</f>
        <v>15000000</v>
      </c>
      <c r="D1322">
        <f>'0364 table 1'!F121</f>
        <v>400</v>
      </c>
      <c r="E1322">
        <f>'0364 table 1'!G121</f>
        <v>411.01</v>
      </c>
      <c r="G1322">
        <v>15000000</v>
      </c>
    </row>
    <row r="1323" spans="1:7" x14ac:dyDescent="0.35">
      <c r="A1323">
        <v>364</v>
      </c>
      <c r="B1323">
        <v>1</v>
      </c>
      <c r="C1323">
        <f>'0364 table 1'!E122</f>
        <v>14000000</v>
      </c>
      <c r="D1323">
        <f>'0364 table 1'!F122</f>
        <v>400</v>
      </c>
      <c r="E1323">
        <f>'0364 table 1'!G122</f>
        <v>403.38</v>
      </c>
      <c r="G1323">
        <v>14000000</v>
      </c>
    </row>
    <row r="1324" spans="1:7" x14ac:dyDescent="0.35">
      <c r="A1324">
        <v>364</v>
      </c>
      <c r="B1324">
        <v>1</v>
      </c>
      <c r="C1324">
        <f>'0364 table 1'!E123</f>
        <v>13000000</v>
      </c>
      <c r="D1324">
        <f>'0364 table 1'!F123</f>
        <v>400</v>
      </c>
      <c r="E1324">
        <f>'0364 table 1'!G123</f>
        <v>394.18</v>
      </c>
      <c r="G1324">
        <v>13000000</v>
      </c>
    </row>
    <row r="1325" spans="1:7" x14ac:dyDescent="0.35">
      <c r="A1325">
        <v>364</v>
      </c>
      <c r="B1325">
        <v>1</v>
      </c>
      <c r="C1325">
        <f>'0364 table 1'!E124</f>
        <v>12000000</v>
      </c>
      <c r="D1325">
        <f>'0364 table 1'!F124</f>
        <v>400</v>
      </c>
      <c r="E1325">
        <f>'0364 table 1'!G124</f>
        <v>382.41</v>
      </c>
      <c r="G1325">
        <v>12000000</v>
      </c>
    </row>
    <row r="1326" spans="1:7" x14ac:dyDescent="0.35">
      <c r="A1326">
        <v>364</v>
      </c>
      <c r="B1326">
        <v>1</v>
      </c>
      <c r="C1326">
        <f>'0364 table 1'!E125</f>
        <v>11000000</v>
      </c>
      <c r="D1326">
        <f>'0364 table 1'!F125</f>
        <v>400</v>
      </c>
      <c r="E1326">
        <f>'0364 table 1'!G125</f>
        <v>365.35</v>
      </c>
      <c r="G1326">
        <v>11000000</v>
      </c>
    </row>
    <row r="1327" spans="1:7" x14ac:dyDescent="0.35">
      <c r="A1327">
        <v>364</v>
      </c>
      <c r="B1327">
        <v>1</v>
      </c>
      <c r="C1327">
        <f>'0364 table 1'!E126</f>
        <v>10500000</v>
      </c>
      <c r="D1327">
        <f>'0364 table 1'!F126</f>
        <v>400</v>
      </c>
      <c r="E1327">
        <f>'0364 table 1'!G126</f>
        <v>351.74</v>
      </c>
      <c r="G1327">
        <v>10500000</v>
      </c>
    </row>
    <row r="1328" spans="1:7" x14ac:dyDescent="0.35">
      <c r="A1328">
        <v>364</v>
      </c>
      <c r="B1328">
        <v>1</v>
      </c>
      <c r="C1328">
        <f>'0364 table 1'!E127</f>
        <v>10400000</v>
      </c>
      <c r="D1328">
        <f>'0364 table 1'!F127</f>
        <v>400</v>
      </c>
      <c r="E1328">
        <f>'0364 table 1'!G127</f>
        <v>347.33</v>
      </c>
      <c r="G1328">
        <v>10400000</v>
      </c>
    </row>
    <row r="1329" spans="1:7" x14ac:dyDescent="0.35">
      <c r="A1329">
        <v>364</v>
      </c>
      <c r="B1329">
        <v>1</v>
      </c>
      <c r="C1329">
        <f>'0364 table 1'!E128</f>
        <v>10350000</v>
      </c>
      <c r="D1329">
        <f>'0364 table 1'!F128</f>
        <v>400</v>
      </c>
      <c r="E1329">
        <f>'0364 table 1'!G128</f>
        <v>345.58</v>
      </c>
      <c r="G1329">
        <v>10350000</v>
      </c>
    </row>
    <row r="1330" spans="1:7" x14ac:dyDescent="0.35">
      <c r="A1330">
        <v>365</v>
      </c>
      <c r="B1330">
        <v>1</v>
      </c>
      <c r="C1330">
        <f>'0365 table 1'!E2</f>
        <v>28685107.500000004</v>
      </c>
      <c r="D1330">
        <f>'0365 table 1'!F2</f>
        <v>253.14999999999998</v>
      </c>
      <c r="E1330">
        <f>'0365 table 1'!G2</f>
        <v>677.7822963264199</v>
      </c>
      <c r="G1330">
        <v>28685107.500000004</v>
      </c>
    </row>
    <row r="1331" spans="1:7" x14ac:dyDescent="0.35">
      <c r="A1331">
        <v>365</v>
      </c>
      <c r="B1331">
        <v>1</v>
      </c>
      <c r="C1331">
        <f>'0365 table 1'!E3</f>
        <v>47572087.5</v>
      </c>
      <c r="D1331">
        <f>'0365 table 1'!F3</f>
        <v>253.14999999999998</v>
      </c>
      <c r="E1331">
        <f>'0365 table 1'!G3</f>
        <v>687.85252441876469</v>
      </c>
      <c r="G1331">
        <v>47572087.5</v>
      </c>
    </row>
    <row r="1332" spans="1:7" x14ac:dyDescent="0.35">
      <c r="A1332">
        <v>365</v>
      </c>
      <c r="B1332">
        <v>1</v>
      </c>
      <c r="C1332">
        <f>'0365 table 1'!E4</f>
        <v>66357742.5</v>
      </c>
      <c r="D1332">
        <f>'0365 table 1'!F4</f>
        <v>253.14999999999998</v>
      </c>
      <c r="E1332">
        <f>'0365 table 1'!G4</f>
        <v>695.84580057059361</v>
      </c>
      <c r="G1332">
        <v>66357742.5</v>
      </c>
    </row>
    <row r="1333" spans="1:7" x14ac:dyDescent="0.35">
      <c r="A1333">
        <v>365</v>
      </c>
      <c r="B1333">
        <v>1</v>
      </c>
      <c r="C1333">
        <f>'0365 table 1'!E5</f>
        <v>85254855</v>
      </c>
      <c r="D1333">
        <f>'0365 table 1'!F5</f>
        <v>253.14999999999998</v>
      </c>
      <c r="E1333">
        <f>'0365 table 1'!G5</f>
        <v>703.87836981769544</v>
      </c>
      <c r="G1333">
        <v>85254855</v>
      </c>
    </row>
    <row r="1334" spans="1:7" x14ac:dyDescent="0.35">
      <c r="A1334">
        <v>365</v>
      </c>
      <c r="B1334">
        <v>1</v>
      </c>
      <c r="C1334">
        <f>'0365 table 1'!E6</f>
        <v>104151967.50000001</v>
      </c>
      <c r="D1334">
        <f>'0365 table 1'!F6</f>
        <v>253.14999999999998</v>
      </c>
      <c r="E1334">
        <f>'0365 table 1'!G6</f>
        <v>709.57212800681202</v>
      </c>
      <c r="G1334">
        <v>104151967.50000001</v>
      </c>
    </row>
    <row r="1335" spans="1:7" x14ac:dyDescent="0.35">
      <c r="A1335">
        <v>365</v>
      </c>
      <c r="B1335">
        <v>1</v>
      </c>
      <c r="C1335">
        <f>'0365 table 1'!E7</f>
        <v>123018682.49999999</v>
      </c>
      <c r="D1335">
        <f>'0365 table 1'!F7</f>
        <v>253.14999999999998</v>
      </c>
      <c r="E1335">
        <f>'0365 table 1'!G7</f>
        <v>716.89726862140651</v>
      </c>
      <c r="G1335">
        <v>123018682.49999999</v>
      </c>
    </row>
    <row r="1336" spans="1:7" x14ac:dyDescent="0.35">
      <c r="A1336">
        <v>365</v>
      </c>
      <c r="B1336">
        <v>1</v>
      </c>
      <c r="C1336">
        <f>'0365 table 1'!E8</f>
        <v>141905662.5</v>
      </c>
      <c r="D1336">
        <f>'0365 table 1'!F8</f>
        <v>253.14999999999998</v>
      </c>
      <c r="E1336">
        <f>'0365 table 1'!G8</f>
        <v>722.59556326324162</v>
      </c>
      <c r="G1336">
        <v>141905662.5</v>
      </c>
    </row>
    <row r="1337" spans="1:7" x14ac:dyDescent="0.35">
      <c r="A1337">
        <v>365</v>
      </c>
      <c r="B1337">
        <v>1</v>
      </c>
      <c r="C1337">
        <f>'0365 table 1'!E9</f>
        <v>160823040</v>
      </c>
      <c r="D1337">
        <f>'0365 table 1'!F9</f>
        <v>253.14999999999998</v>
      </c>
      <c r="E1337">
        <f>'0365 table 1'!G9</f>
        <v>726.90266773279075</v>
      </c>
      <c r="G1337">
        <v>160823040</v>
      </c>
    </row>
    <row r="1338" spans="1:7" x14ac:dyDescent="0.35">
      <c r="A1338">
        <v>365</v>
      </c>
      <c r="B1338">
        <v>1</v>
      </c>
      <c r="C1338">
        <f>'0365 table 1'!E10</f>
        <v>28685107.500000004</v>
      </c>
      <c r="D1338">
        <f>'0365 table 1'!F10</f>
        <v>273.14999999999998</v>
      </c>
      <c r="E1338">
        <f>'0365 table 1'!G10</f>
        <v>654.96463190987697</v>
      </c>
      <c r="G1338">
        <v>28685107.500000004</v>
      </c>
    </row>
    <row r="1339" spans="1:7" x14ac:dyDescent="0.35">
      <c r="A1339">
        <v>365</v>
      </c>
      <c r="B1339">
        <v>1</v>
      </c>
      <c r="C1339">
        <f>'0365 table 1'!E11</f>
        <v>47572087.5</v>
      </c>
      <c r="D1339">
        <f>'0365 table 1'!F11</f>
        <v>273.14999999999998</v>
      </c>
      <c r="E1339">
        <f>'0365 table 1'!G11</f>
        <v>666.26690652275317</v>
      </c>
      <c r="G1339">
        <v>47572087.5</v>
      </c>
    </row>
    <row r="1340" spans="1:7" x14ac:dyDescent="0.35">
      <c r="A1340">
        <v>365</v>
      </c>
      <c r="B1340">
        <v>1</v>
      </c>
      <c r="C1340">
        <f>'0365 table 1'!E12</f>
        <v>66357742.5</v>
      </c>
      <c r="D1340">
        <f>'0365 table 1'!F12</f>
        <v>273.14999999999998</v>
      </c>
      <c r="E1340">
        <f>'0365 table 1'!G12</f>
        <v>675.1282743721307</v>
      </c>
      <c r="G1340">
        <v>66357742.5</v>
      </c>
    </row>
    <row r="1341" spans="1:7" x14ac:dyDescent="0.35">
      <c r="A1341">
        <v>365</v>
      </c>
      <c r="B1341">
        <v>1</v>
      </c>
      <c r="C1341">
        <f>'0365 table 1'!E13</f>
        <v>85254855</v>
      </c>
      <c r="D1341">
        <f>'0365 table 1'!F13</f>
        <v>273.14999999999998</v>
      </c>
      <c r="E1341">
        <f>'0365 table 1'!G13</f>
        <v>683.24678874009294</v>
      </c>
      <c r="G1341">
        <v>85254855</v>
      </c>
    </row>
    <row r="1342" spans="1:7" x14ac:dyDescent="0.35">
      <c r="A1342">
        <v>365</v>
      </c>
      <c r="B1342">
        <v>1</v>
      </c>
      <c r="C1342">
        <f>'0365 table 1'!E14</f>
        <v>104151967.50000001</v>
      </c>
      <c r="D1342">
        <f>'0365 table 1'!F14</f>
        <v>273.14999999999998</v>
      </c>
      <c r="E1342">
        <f>'0365 table 1'!G14</f>
        <v>690.70313579223659</v>
      </c>
      <c r="G1342">
        <v>104151967.50000001</v>
      </c>
    </row>
    <row r="1343" spans="1:7" x14ac:dyDescent="0.35">
      <c r="A1343">
        <v>365</v>
      </c>
      <c r="B1343">
        <v>1</v>
      </c>
      <c r="C1343">
        <f>'0365 table 1'!E15</f>
        <v>123018682.49999999</v>
      </c>
      <c r="D1343">
        <f>'0365 table 1'!F15</f>
        <v>273.14999999999998</v>
      </c>
      <c r="E1343">
        <f>'0365 table 1'!G15</f>
        <v>697.78801200195392</v>
      </c>
      <c r="G1343">
        <v>123018682.49999999</v>
      </c>
    </row>
    <row r="1344" spans="1:7" x14ac:dyDescent="0.35">
      <c r="A1344">
        <v>365</v>
      </c>
      <c r="B1344">
        <v>1</v>
      </c>
      <c r="C1344">
        <f>'0365 table 1'!E16</f>
        <v>141905662.5</v>
      </c>
      <c r="D1344">
        <f>'0365 table 1'!F16</f>
        <v>273.14999999999998</v>
      </c>
      <c r="E1344">
        <f>'0365 table 1'!G16</f>
        <v>704.77130171259432</v>
      </c>
      <c r="G1344">
        <v>141905662.5</v>
      </c>
    </row>
    <row r="1345" spans="1:7" x14ac:dyDescent="0.35">
      <c r="A1345">
        <v>365</v>
      </c>
      <c r="B1345">
        <v>1</v>
      </c>
      <c r="C1345">
        <f>'0365 table 1'!E17</f>
        <v>160823040</v>
      </c>
      <c r="D1345">
        <f>'0365 table 1'!F17</f>
        <v>273.14999999999998</v>
      </c>
      <c r="E1345">
        <f>'0365 table 1'!G17</f>
        <v>711.03526734926049</v>
      </c>
      <c r="G1345">
        <v>160823040</v>
      </c>
    </row>
    <row r="1346" spans="1:7" x14ac:dyDescent="0.35">
      <c r="A1346">
        <v>365</v>
      </c>
      <c r="B1346">
        <v>1</v>
      </c>
      <c r="C1346">
        <f>'0365 table 1'!E18</f>
        <v>9656272.5</v>
      </c>
      <c r="D1346">
        <f>'0365 table 1'!F18</f>
        <v>298.14999999999998</v>
      </c>
      <c r="E1346">
        <f>'0365 table 1'!G18</f>
        <v>610.16535481115386</v>
      </c>
      <c r="G1346">
        <v>9656272.5</v>
      </c>
    </row>
    <row r="1347" spans="1:7" x14ac:dyDescent="0.35">
      <c r="A1347">
        <v>365</v>
      </c>
      <c r="B1347">
        <v>1</v>
      </c>
      <c r="C1347">
        <f>'0365 table 1'!E19</f>
        <v>28685107.500000004</v>
      </c>
      <c r="D1347">
        <f>'0365 table 1'!F19</f>
        <v>298.14999999999998</v>
      </c>
      <c r="E1347">
        <f>'0365 table 1'!G19</f>
        <v>624.84378905273684</v>
      </c>
      <c r="G1347">
        <v>28685107.500000004</v>
      </c>
    </row>
    <row r="1348" spans="1:7" x14ac:dyDescent="0.35">
      <c r="A1348">
        <v>365</v>
      </c>
      <c r="B1348">
        <v>1</v>
      </c>
      <c r="C1348">
        <f>'0365 table 1'!E20</f>
        <v>38148862.5</v>
      </c>
      <c r="D1348">
        <f>'0365 table 1'!F20</f>
        <v>298.14999999999998</v>
      </c>
      <c r="E1348">
        <f>'0365 table 1'!G20</f>
        <v>630.9148264984226</v>
      </c>
      <c r="G1348">
        <v>342123862.5</v>
      </c>
    </row>
    <row r="1349" spans="1:7" x14ac:dyDescent="0.35">
      <c r="A1349">
        <v>365</v>
      </c>
      <c r="B1349">
        <v>1</v>
      </c>
      <c r="C1349">
        <f>'0365 table 1'!E21</f>
        <v>47572087.5</v>
      </c>
      <c r="D1349">
        <f>'0365 table 1'!F21</f>
        <v>298.14999999999998</v>
      </c>
      <c r="E1349">
        <f>'0365 table 1'!G21</f>
        <v>637.267397399949</v>
      </c>
      <c r="G1349">
        <v>47572087.5</v>
      </c>
    </row>
    <row r="1350" spans="1:7" x14ac:dyDescent="0.35">
      <c r="A1350">
        <v>365</v>
      </c>
      <c r="B1350">
        <v>1</v>
      </c>
      <c r="C1350">
        <f>'0365 table 1'!E22</f>
        <v>57045975</v>
      </c>
      <c r="D1350">
        <f>'0365 table 1'!F22</f>
        <v>298.14999999999998</v>
      </c>
      <c r="E1350">
        <f>'0365 table 1'!G22</f>
        <v>643.87354323610839</v>
      </c>
      <c r="G1350">
        <v>57045975</v>
      </c>
    </row>
    <row r="1351" spans="1:7" x14ac:dyDescent="0.35">
      <c r="A1351">
        <v>365</v>
      </c>
      <c r="B1351">
        <v>1</v>
      </c>
      <c r="C1351">
        <f>'0365 table 1'!E23</f>
        <v>66357742.5</v>
      </c>
      <c r="D1351">
        <f>'0365 table 1'!F23</f>
        <v>298.14999999999998</v>
      </c>
      <c r="E1351">
        <f>'0365 table 1'!G23</f>
        <v>648.34024896265566</v>
      </c>
      <c r="G1351">
        <v>66357742.5</v>
      </c>
    </row>
    <row r="1352" spans="1:7" x14ac:dyDescent="0.35">
      <c r="A1352">
        <v>365</v>
      </c>
      <c r="B1352">
        <v>1</v>
      </c>
      <c r="C1352">
        <f>'0365 table 1'!E24</f>
        <v>85254855</v>
      </c>
      <c r="D1352">
        <f>'0365 table 1'!F24</f>
        <v>298.14999999999998</v>
      </c>
      <c r="E1352">
        <f>'0365 table 1'!G24</f>
        <v>659.4566077552098</v>
      </c>
      <c r="G1352">
        <v>85254855</v>
      </c>
    </row>
    <row r="1353" spans="1:7" x14ac:dyDescent="0.35">
      <c r="A1353">
        <v>365</v>
      </c>
      <c r="B1353">
        <v>1</v>
      </c>
      <c r="C1353">
        <f>'0365 table 1'!E25</f>
        <v>104151967.50000001</v>
      </c>
      <c r="D1353">
        <f>'0365 table 1'!F25</f>
        <v>298.14999999999998</v>
      </c>
      <c r="E1353">
        <f>'0365 table 1'!G25</f>
        <v>667.69045870334514</v>
      </c>
      <c r="G1353">
        <v>104151967.50000001</v>
      </c>
    </row>
    <row r="1354" spans="1:7" x14ac:dyDescent="0.35">
      <c r="A1354">
        <v>365</v>
      </c>
      <c r="B1354">
        <v>1</v>
      </c>
      <c r="C1354">
        <f>'0365 table 1'!E26</f>
        <v>123018682.49999999</v>
      </c>
      <c r="D1354">
        <f>'0365 table 1'!F26</f>
        <v>298.14999999999998</v>
      </c>
      <c r="E1354">
        <f>'0365 table 1'!G26</f>
        <v>676.72734655207421</v>
      </c>
      <c r="G1354">
        <v>123018682.49999999</v>
      </c>
    </row>
    <row r="1355" spans="1:7" x14ac:dyDescent="0.35">
      <c r="A1355">
        <v>365</v>
      </c>
      <c r="B1355">
        <v>1</v>
      </c>
      <c r="C1355">
        <f>'0365 table 1'!E27</f>
        <v>141905662.5</v>
      </c>
      <c r="D1355">
        <f>'0365 table 1'!F27</f>
        <v>298.14999999999998</v>
      </c>
      <c r="E1355">
        <f>'0365 table 1'!G27</f>
        <v>685.26005619132468</v>
      </c>
      <c r="G1355">
        <v>141905662.5</v>
      </c>
    </row>
    <row r="1356" spans="1:7" x14ac:dyDescent="0.35">
      <c r="A1356">
        <v>365</v>
      </c>
      <c r="B1356">
        <v>1</v>
      </c>
      <c r="C1356">
        <f>'0365 table 1'!E28</f>
        <v>160823040</v>
      </c>
      <c r="D1356">
        <f>'0365 table 1'!F28</f>
        <v>298.14999999999998</v>
      </c>
      <c r="E1356">
        <f>'0365 table 1'!G28</f>
        <v>691.03724690760828</v>
      </c>
      <c r="G1356">
        <v>160823040</v>
      </c>
    </row>
    <row r="1357" spans="1:7" x14ac:dyDescent="0.35">
      <c r="A1357">
        <v>365</v>
      </c>
      <c r="B1357">
        <v>1</v>
      </c>
      <c r="C1357">
        <f>'0365 table 1'!E29</f>
        <v>179710020</v>
      </c>
      <c r="D1357">
        <f>'0365 table 1'!F29</f>
        <v>298.14999999999998</v>
      </c>
      <c r="E1357">
        <f>'0365 table 1'!G29</f>
        <v>697.59330310429027</v>
      </c>
      <c r="G1357">
        <v>179710020</v>
      </c>
    </row>
    <row r="1358" spans="1:7" x14ac:dyDescent="0.35">
      <c r="A1358">
        <v>365</v>
      </c>
      <c r="B1358">
        <v>1</v>
      </c>
      <c r="C1358">
        <f>'0365 table 1'!E30</f>
        <v>28685107.500000004</v>
      </c>
      <c r="D1358">
        <f>'0365 table 1'!F30</f>
        <v>313.14999999999998</v>
      </c>
      <c r="E1358">
        <f>'0365 table 1'!G30</f>
        <v>604.66803724755107</v>
      </c>
      <c r="G1358">
        <v>28685107.500000004</v>
      </c>
    </row>
    <row r="1359" spans="1:7" x14ac:dyDescent="0.35">
      <c r="A1359">
        <v>365</v>
      </c>
      <c r="B1359">
        <v>1</v>
      </c>
      <c r="C1359">
        <f>'0365 table 1'!E31</f>
        <v>47572087.5</v>
      </c>
      <c r="D1359">
        <f>'0365 table 1'!F31</f>
        <v>313.14999999999998</v>
      </c>
      <c r="E1359">
        <f>'0365 table 1'!G31</f>
        <v>618.77359074314711</v>
      </c>
      <c r="G1359">
        <v>47572087.5</v>
      </c>
    </row>
    <row r="1360" spans="1:7" x14ac:dyDescent="0.35">
      <c r="A1360">
        <v>365</v>
      </c>
      <c r="B1360">
        <v>1</v>
      </c>
      <c r="C1360">
        <f>'0365 table 1'!E32</f>
        <v>66357742.5</v>
      </c>
      <c r="D1360">
        <f>'0365 table 1'!F32</f>
        <v>313.14999999999998</v>
      </c>
      <c r="E1360">
        <f>'0365 table 1'!G32</f>
        <v>630.95463436178943</v>
      </c>
      <c r="G1360">
        <v>66357742.5</v>
      </c>
    </row>
    <row r="1361" spans="1:7" x14ac:dyDescent="0.35">
      <c r="A1361">
        <v>365</v>
      </c>
      <c r="B1361">
        <v>1</v>
      </c>
      <c r="C1361">
        <f>'0365 table 1'!E33</f>
        <v>85254855</v>
      </c>
      <c r="D1361">
        <f>'0365 table 1'!F33</f>
        <v>313.14999999999998</v>
      </c>
      <c r="E1361">
        <f>'0365 table 1'!G33</f>
        <v>641.88972334552921</v>
      </c>
      <c r="G1361">
        <v>85254855</v>
      </c>
    </row>
    <row r="1362" spans="1:7" x14ac:dyDescent="0.35">
      <c r="A1362">
        <v>365</v>
      </c>
      <c r="B1362">
        <v>1</v>
      </c>
      <c r="C1362">
        <f>'0365 table 1'!E34</f>
        <v>104151967.50000001</v>
      </c>
      <c r="D1362">
        <f>'0365 table 1'!F34</f>
        <v>313.14999999999998</v>
      </c>
      <c r="E1362">
        <f>'0365 table 1'!G34</f>
        <v>651.80550123843045</v>
      </c>
      <c r="G1362">
        <v>104151967.50000001</v>
      </c>
    </row>
    <row r="1363" spans="1:7" x14ac:dyDescent="0.35">
      <c r="A1363">
        <v>365</v>
      </c>
      <c r="B1363">
        <v>1</v>
      </c>
      <c r="C1363">
        <f>'0365 table 1'!E35</f>
        <v>123018682.49999999</v>
      </c>
      <c r="D1363">
        <f>'0365 table 1'!F35</f>
        <v>313.14999999999998</v>
      </c>
      <c r="E1363">
        <f>'0365 table 1'!G35</f>
        <v>660.85117631509388</v>
      </c>
      <c r="G1363">
        <v>123018682.49999999</v>
      </c>
    </row>
    <row r="1364" spans="1:7" x14ac:dyDescent="0.35">
      <c r="A1364">
        <v>365</v>
      </c>
      <c r="B1364">
        <v>1</v>
      </c>
      <c r="C1364">
        <f>'0365 table 1'!E36</f>
        <v>141905662.5</v>
      </c>
      <c r="D1364">
        <f>'0365 table 1'!F36</f>
        <v>313.14999999999998</v>
      </c>
      <c r="E1364">
        <f>'0365 table 1'!G36</f>
        <v>669.20966338753931</v>
      </c>
      <c r="G1364">
        <v>141905662.5</v>
      </c>
    </row>
    <row r="1365" spans="1:7" x14ac:dyDescent="0.35">
      <c r="A1365">
        <v>365</v>
      </c>
      <c r="B1365">
        <v>1</v>
      </c>
      <c r="C1365">
        <f>'0365 table 1'!E37</f>
        <v>160823040</v>
      </c>
      <c r="D1365">
        <f>'0365 table 1'!F37</f>
        <v>313.14999999999998</v>
      </c>
      <c r="E1365">
        <f>'0365 table 1'!G37</f>
        <v>677.00223410737249</v>
      </c>
      <c r="G1365">
        <v>160823040</v>
      </c>
    </row>
    <row r="1366" spans="1:7" x14ac:dyDescent="0.35">
      <c r="A1366">
        <v>365</v>
      </c>
      <c r="B1366">
        <v>1</v>
      </c>
      <c r="C1366">
        <f>'0365 table 1'!E38</f>
        <v>176518282.5</v>
      </c>
      <c r="D1366">
        <f>'0365 table 1'!F38</f>
        <v>313.14999999999998</v>
      </c>
      <c r="E1366">
        <f>'0365 table 1'!G38</f>
        <v>683.10676958808654</v>
      </c>
      <c r="G1366">
        <v>176518282.5</v>
      </c>
    </row>
    <row r="1367" spans="1:7" x14ac:dyDescent="0.35">
      <c r="A1367">
        <v>367</v>
      </c>
      <c r="B1367">
        <v>1</v>
      </c>
      <c r="C1367">
        <f>'0367 table 1'!E2</f>
        <v>51290715</v>
      </c>
      <c r="D1367">
        <f>'0367 table 1'!F2</f>
        <v>573.15</v>
      </c>
      <c r="E1367">
        <f>'0367 table 1'!G2</f>
        <v>249.52453565803265</v>
      </c>
      <c r="G1367">
        <v>51290715</v>
      </c>
    </row>
    <row r="1368" spans="1:7" x14ac:dyDescent="0.35">
      <c r="A1368">
        <v>367</v>
      </c>
      <c r="B1368">
        <v>1</v>
      </c>
      <c r="C1368">
        <f>'0367 table 1'!E3</f>
        <v>77077927.5</v>
      </c>
      <c r="D1368">
        <f>'0367 table 1'!F3</f>
        <v>573.15</v>
      </c>
      <c r="E1368">
        <f>'0367 table 1'!G3</f>
        <v>335.35188899059762</v>
      </c>
      <c r="G1368">
        <v>77077927.5</v>
      </c>
    </row>
    <row r="1369" spans="1:7" x14ac:dyDescent="0.35">
      <c r="A1369">
        <v>367</v>
      </c>
      <c r="B1369">
        <v>1</v>
      </c>
      <c r="C1369">
        <f>'0367 table 1'!E4</f>
        <v>106806682.49999999</v>
      </c>
      <c r="D1369">
        <f>'0367 table 1'!F4</f>
        <v>573.15</v>
      </c>
      <c r="E1369">
        <f>'0367 table 1'!G4</f>
        <v>396.65539610005487</v>
      </c>
      <c r="G1369">
        <v>106806682.49999999</v>
      </c>
    </row>
    <row r="1370" spans="1:7" x14ac:dyDescent="0.35">
      <c r="A1370">
        <v>367</v>
      </c>
      <c r="B1370">
        <v>1</v>
      </c>
      <c r="C1370">
        <f>'0367 table 1'!E5</f>
        <v>152190150</v>
      </c>
      <c r="D1370">
        <f>'0367 table 1'!F5</f>
        <v>573.15</v>
      </c>
      <c r="E1370">
        <f>'0367 table 1'!G5</f>
        <v>453.35594284679263</v>
      </c>
      <c r="G1370">
        <v>152190150</v>
      </c>
    </row>
    <row r="1371" spans="1:7" x14ac:dyDescent="0.35">
      <c r="A1371">
        <v>367</v>
      </c>
      <c r="B1371">
        <v>1</v>
      </c>
      <c r="C1371">
        <f>'0367 table 1'!E6</f>
        <v>52415422.499999993</v>
      </c>
      <c r="D1371">
        <f>'0367 table 1'!F6</f>
        <v>623.15</v>
      </c>
      <c r="E1371">
        <f>'0367 table 1'!G6</f>
        <v>209.11525324788548</v>
      </c>
      <c r="G1371">
        <v>52415422.499999993</v>
      </c>
    </row>
    <row r="1372" spans="1:7" x14ac:dyDescent="0.35">
      <c r="A1372">
        <v>367</v>
      </c>
      <c r="B1372">
        <v>1</v>
      </c>
      <c r="C1372">
        <f>'0367 table 1'!E7</f>
        <v>78537007.5</v>
      </c>
      <c r="D1372">
        <f>'0367 table 1'!F7</f>
        <v>623.15</v>
      </c>
      <c r="E1372">
        <f>'0367 table 1'!G7</f>
        <v>291.10508323963808</v>
      </c>
      <c r="G1372">
        <v>78537007.5</v>
      </c>
    </row>
    <row r="1373" spans="1:7" x14ac:dyDescent="0.35">
      <c r="A1373">
        <v>367</v>
      </c>
      <c r="B1373">
        <v>1</v>
      </c>
      <c r="C1373">
        <f>'0367 table 1'!E8</f>
        <v>102692887.5</v>
      </c>
      <c r="D1373">
        <f>'0367 table 1'!F8</f>
        <v>623.15</v>
      </c>
      <c r="E1373">
        <f>'0367 table 1'!G8</f>
        <v>345.14583335304098</v>
      </c>
      <c r="G1373">
        <v>102692887.5</v>
      </c>
    </row>
    <row r="1374" spans="1:7" x14ac:dyDescent="0.35">
      <c r="A1374">
        <v>367</v>
      </c>
      <c r="B1374">
        <v>1</v>
      </c>
      <c r="C1374">
        <f>'0367 table 1'!E9</f>
        <v>151754452.5</v>
      </c>
      <c r="D1374">
        <f>'0367 table 1'!F9</f>
        <v>623.15</v>
      </c>
      <c r="E1374">
        <f>'0367 table 1'!G9</f>
        <v>415.26683026837225</v>
      </c>
      <c r="G1374">
        <v>151754452.5</v>
      </c>
    </row>
    <row r="1375" spans="1:7" x14ac:dyDescent="0.35">
      <c r="A1375">
        <v>367</v>
      </c>
      <c r="B1375">
        <v>1</v>
      </c>
      <c r="C1375">
        <f>'0367 table 1'!E10</f>
        <v>201565822.5</v>
      </c>
      <c r="D1375">
        <f>'0367 table 1'!F10</f>
        <v>623.15</v>
      </c>
      <c r="E1375">
        <f>'0367 table 1'!G10</f>
        <v>460.13544351123835</v>
      </c>
      <c r="G1375">
        <v>201565822.5</v>
      </c>
    </row>
    <row r="1376" spans="1:7" x14ac:dyDescent="0.35">
      <c r="A1376">
        <v>367</v>
      </c>
      <c r="B1376">
        <v>1</v>
      </c>
      <c r="C1376">
        <f>'0367 table 1'!E11</f>
        <v>224445007.5</v>
      </c>
      <c r="D1376">
        <f>'0367 table 1'!F11</f>
        <v>623.15</v>
      </c>
      <c r="E1376">
        <f>'0367 table 1'!G11</f>
        <v>475.81628644081684</v>
      </c>
      <c r="G1376">
        <v>224445007.5</v>
      </c>
    </row>
    <row r="1377" spans="1:7" x14ac:dyDescent="0.35">
      <c r="A1377">
        <v>367</v>
      </c>
      <c r="B1377">
        <v>1</v>
      </c>
      <c r="C1377">
        <f>'0367 table 1'!E12</f>
        <v>245024114.99999997</v>
      </c>
      <c r="D1377">
        <f>'0367 table 1'!F12</f>
        <v>623.15</v>
      </c>
      <c r="E1377">
        <f>'0367 table 1'!G12</f>
        <v>488.71171096843608</v>
      </c>
      <c r="G1377">
        <v>245024114.99999997</v>
      </c>
    </row>
    <row r="1378" spans="1:7" x14ac:dyDescent="0.35">
      <c r="A1378">
        <v>367</v>
      </c>
      <c r="B1378">
        <v>1</v>
      </c>
      <c r="C1378">
        <f>'0367 table 1'!E13</f>
        <v>52070917.5</v>
      </c>
      <c r="D1378">
        <f>'0367 table 1'!F13</f>
        <v>673.15</v>
      </c>
      <c r="E1378">
        <f>'0367 table 1'!G13</f>
        <v>178.52898745237212</v>
      </c>
      <c r="G1378">
        <v>52070917.5</v>
      </c>
    </row>
    <row r="1379" spans="1:7" x14ac:dyDescent="0.35">
      <c r="A1379">
        <v>367</v>
      </c>
      <c r="B1379">
        <v>1</v>
      </c>
      <c r="C1379">
        <f>'0367 table 1'!E14</f>
        <v>79053765</v>
      </c>
      <c r="D1379">
        <f>'0367 table 1'!F14</f>
        <v>673.15</v>
      </c>
      <c r="E1379">
        <f>'0367 table 1'!G14</f>
        <v>254.20002666066668</v>
      </c>
      <c r="G1379">
        <v>79053765</v>
      </c>
    </row>
    <row r="1380" spans="1:7" x14ac:dyDescent="0.35">
      <c r="A1380">
        <v>367</v>
      </c>
      <c r="B1380">
        <v>1</v>
      </c>
      <c r="C1380">
        <f>'0367 table 1'!E15</f>
        <v>104040510</v>
      </c>
      <c r="D1380">
        <f>'0367 table 1'!F15</f>
        <v>673.15</v>
      </c>
      <c r="E1380">
        <f>'0367 table 1'!G15</f>
        <v>310.403603302139</v>
      </c>
      <c r="G1380">
        <v>104040510</v>
      </c>
    </row>
    <row r="1381" spans="1:7" x14ac:dyDescent="0.35">
      <c r="A1381">
        <v>367</v>
      </c>
      <c r="B1381">
        <v>1</v>
      </c>
      <c r="C1381">
        <f>'0367 table 1'!E16</f>
        <v>127953210</v>
      </c>
      <c r="D1381">
        <f>'0367 table 1'!F16</f>
        <v>673.15</v>
      </c>
      <c r="E1381">
        <f>'0367 table 1'!G16</f>
        <v>351.67881578318094</v>
      </c>
      <c r="G1381">
        <v>127953210</v>
      </c>
    </row>
    <row r="1382" spans="1:7" x14ac:dyDescent="0.35">
      <c r="A1382">
        <v>367</v>
      </c>
      <c r="B1382">
        <v>1</v>
      </c>
      <c r="C1382">
        <f>'0367 table 1'!E17</f>
        <v>151561935</v>
      </c>
      <c r="D1382">
        <f>'0367 table 1'!F17</f>
        <v>673.15</v>
      </c>
      <c r="E1382">
        <f>'0367 table 1'!G17</f>
        <v>383.61474441768496</v>
      </c>
      <c r="G1382">
        <v>151561935</v>
      </c>
    </row>
    <row r="1383" spans="1:7" x14ac:dyDescent="0.35">
      <c r="A1383">
        <v>367</v>
      </c>
      <c r="B1383">
        <v>1</v>
      </c>
      <c r="C1383">
        <f>'0367 table 1'!E18</f>
        <v>209144932.5</v>
      </c>
      <c r="D1383">
        <f>'0367 table 1'!F18</f>
        <v>673.15</v>
      </c>
      <c r="E1383">
        <f>'0367 table 1'!G18</f>
        <v>436.69704664574687</v>
      </c>
      <c r="G1383">
        <v>209144932.5</v>
      </c>
    </row>
    <row r="1384" spans="1:7" x14ac:dyDescent="0.35">
      <c r="A1384">
        <v>367</v>
      </c>
      <c r="B1384">
        <v>1</v>
      </c>
      <c r="C1384">
        <f>'0367 table 1'!E19</f>
        <v>225833160.00000003</v>
      </c>
      <c r="D1384">
        <f>'0367 table 1'!F19</f>
        <v>673.15</v>
      </c>
      <c r="E1384">
        <f>'0367 table 1'!G19</f>
        <v>450.10711638094466</v>
      </c>
      <c r="G1384">
        <v>225833160.00000003</v>
      </c>
    </row>
    <row r="1385" spans="1:7" x14ac:dyDescent="0.35">
      <c r="A1385">
        <v>367</v>
      </c>
      <c r="B1385">
        <v>1</v>
      </c>
      <c r="C1385">
        <f>'0367 table 1'!E20</f>
        <v>239795745</v>
      </c>
      <c r="D1385">
        <f>'0367 table 1'!F20</f>
        <v>673.15</v>
      </c>
      <c r="E1385">
        <f>'0367 table 1'!G20</f>
        <v>459.80510202898665</v>
      </c>
      <c r="G1385">
        <v>239795745</v>
      </c>
    </row>
    <row r="1386" spans="1:7" x14ac:dyDescent="0.35">
      <c r="A1386">
        <v>367</v>
      </c>
      <c r="B1386">
        <v>1</v>
      </c>
      <c r="C1386">
        <f>'0367 table 1'!E21</f>
        <v>52719397.499999993</v>
      </c>
      <c r="D1386">
        <f>'0367 table 1'!F21</f>
        <v>723.15</v>
      </c>
      <c r="E1386">
        <f>'0367 table 1'!G21</f>
        <v>159.06062713879774</v>
      </c>
      <c r="G1386">
        <v>52719397.499999993</v>
      </c>
    </row>
    <row r="1387" spans="1:7" x14ac:dyDescent="0.35">
      <c r="A1387">
        <v>367</v>
      </c>
      <c r="B1387">
        <v>1</v>
      </c>
      <c r="C1387">
        <f>'0367 table 1'!E22</f>
        <v>77614950</v>
      </c>
      <c r="D1387">
        <f>'0367 table 1'!F22</f>
        <v>723.15</v>
      </c>
      <c r="E1387">
        <f>'0367 table 1'!G22</f>
        <v>225.71049760928867</v>
      </c>
      <c r="G1387">
        <v>77614950</v>
      </c>
    </row>
    <row r="1388" spans="1:7" x14ac:dyDescent="0.35">
      <c r="A1388">
        <v>367</v>
      </c>
      <c r="B1388">
        <v>1</v>
      </c>
      <c r="C1388">
        <f>'0367 table 1'!E23</f>
        <v>103604812.5</v>
      </c>
      <c r="D1388">
        <f>'0367 table 1'!F23</f>
        <v>723.15</v>
      </c>
      <c r="E1388">
        <f>'0367 table 1'!G23</f>
        <v>281.49403638641638</v>
      </c>
      <c r="G1388">
        <v>103604812.5</v>
      </c>
    </row>
    <row r="1389" spans="1:7" x14ac:dyDescent="0.35">
      <c r="A1389">
        <v>367</v>
      </c>
      <c r="B1389">
        <v>1</v>
      </c>
      <c r="C1389">
        <f>'0367 table 1'!E24</f>
        <v>128652352.5</v>
      </c>
      <c r="D1389">
        <f>'0367 table 1'!F24</f>
        <v>723.15</v>
      </c>
      <c r="E1389">
        <f>'0367 table 1'!G24</f>
        <v>323.569473357037</v>
      </c>
      <c r="G1389">
        <v>128652352.5</v>
      </c>
    </row>
    <row r="1390" spans="1:7" x14ac:dyDescent="0.35">
      <c r="A1390">
        <v>367</v>
      </c>
      <c r="B1390">
        <v>1</v>
      </c>
      <c r="C1390">
        <f>'0367 table 1'!E25</f>
        <v>157611037.5</v>
      </c>
      <c r="D1390">
        <f>'0367 table 1'!F25</f>
        <v>723.15</v>
      </c>
      <c r="E1390">
        <f>'0367 table 1'!G25</f>
        <v>362.41967048204742</v>
      </c>
      <c r="G1390">
        <v>157611037.5</v>
      </c>
    </row>
    <row r="1391" spans="1:7" x14ac:dyDescent="0.35">
      <c r="A1391">
        <v>367</v>
      </c>
      <c r="B1391">
        <v>1</v>
      </c>
      <c r="C1391">
        <f>'0367 table 1'!E26</f>
        <v>182081025</v>
      </c>
      <c r="D1391">
        <f>'0367 table 1'!F26</f>
        <v>723.15</v>
      </c>
      <c r="E1391">
        <f>'0367 table 1'!G26</f>
        <v>388.44547554270963</v>
      </c>
      <c r="G1391">
        <v>182081025</v>
      </c>
    </row>
    <row r="1392" spans="1:7" x14ac:dyDescent="0.35">
      <c r="A1392">
        <v>367</v>
      </c>
      <c r="B1392">
        <v>1</v>
      </c>
      <c r="C1392">
        <f>'0367 table 1'!E27</f>
        <v>204180007.5</v>
      </c>
      <c r="D1392">
        <f>'0367 table 1'!F27</f>
        <v>723.15</v>
      </c>
      <c r="E1392">
        <f>'0367 table 1'!G27</f>
        <v>409.55581396689632</v>
      </c>
      <c r="G1392">
        <v>204180007.5</v>
      </c>
    </row>
    <row r="1393" spans="1:7" x14ac:dyDescent="0.35">
      <c r="A1393">
        <v>367</v>
      </c>
      <c r="B1393">
        <v>1</v>
      </c>
      <c r="C1393">
        <f>'0367 table 1'!E28</f>
        <v>231021000</v>
      </c>
      <c r="D1393">
        <f>'0367 table 1'!F28</f>
        <v>723.15</v>
      </c>
      <c r="E1393">
        <f>'0367 table 1'!G28</f>
        <v>431.89233280614798</v>
      </c>
      <c r="G1393">
        <v>231021000</v>
      </c>
    </row>
    <row r="1394" spans="1:7" x14ac:dyDescent="0.35">
      <c r="A1394">
        <v>368</v>
      </c>
      <c r="B1394">
        <v>1</v>
      </c>
      <c r="C1394">
        <f>'0368 table 1'!E2</f>
        <v>200000000</v>
      </c>
      <c r="D1394">
        <f>'0368 table 1'!F2</f>
        <v>450</v>
      </c>
      <c r="E1394">
        <f>'0368 table 1'!G2</f>
        <v>588.20000000000005</v>
      </c>
      <c r="G1394">
        <v>200000000</v>
      </c>
    </row>
    <row r="1395" spans="1:7" x14ac:dyDescent="0.35">
      <c r="A1395">
        <v>368</v>
      </c>
      <c r="B1395">
        <v>1</v>
      </c>
      <c r="C1395">
        <f>'0368 table 1'!E3</f>
        <v>180000000</v>
      </c>
      <c r="D1395">
        <f>'0368 table 1'!F3</f>
        <v>450</v>
      </c>
      <c r="E1395">
        <f>'0368 table 1'!G3</f>
        <v>576.29999999999995</v>
      </c>
      <c r="G1395">
        <v>180000000</v>
      </c>
    </row>
    <row r="1396" spans="1:7" x14ac:dyDescent="0.35">
      <c r="A1396">
        <v>368</v>
      </c>
      <c r="B1396">
        <v>1</v>
      </c>
      <c r="C1396">
        <f>'0368 table 1'!E4</f>
        <v>160000000</v>
      </c>
      <c r="D1396">
        <f>'0368 table 1'!F4</f>
        <v>450</v>
      </c>
      <c r="E1396">
        <f>'0368 table 1'!G4</f>
        <v>563.1</v>
      </c>
      <c r="G1396">
        <v>160000000</v>
      </c>
    </row>
    <row r="1397" spans="1:7" x14ac:dyDescent="0.35">
      <c r="A1397">
        <v>368</v>
      </c>
      <c r="B1397">
        <v>1</v>
      </c>
      <c r="C1397">
        <f>'0368 table 1'!E5</f>
        <v>140000000</v>
      </c>
      <c r="D1397">
        <f>'0368 table 1'!F5</f>
        <v>450</v>
      </c>
      <c r="E1397">
        <f>'0368 table 1'!G5</f>
        <v>548.20000000000005</v>
      </c>
      <c r="G1397">
        <v>140000000</v>
      </c>
    </row>
    <row r="1398" spans="1:7" x14ac:dyDescent="0.35">
      <c r="A1398">
        <v>368</v>
      </c>
      <c r="B1398">
        <v>1</v>
      </c>
      <c r="C1398">
        <f>'0368 table 1'!E6</f>
        <v>120000000</v>
      </c>
      <c r="D1398">
        <f>'0368 table 1'!F6</f>
        <v>450</v>
      </c>
      <c r="E1398">
        <f>'0368 table 1'!G6</f>
        <v>531.4</v>
      </c>
      <c r="G1398">
        <v>120000000</v>
      </c>
    </row>
    <row r="1399" spans="1:7" x14ac:dyDescent="0.35">
      <c r="A1399">
        <v>368</v>
      </c>
      <c r="B1399">
        <v>1</v>
      </c>
      <c r="C1399">
        <f>'0368 table 1'!E7</f>
        <v>100000000</v>
      </c>
      <c r="D1399">
        <f>'0368 table 1'!F7</f>
        <v>450</v>
      </c>
      <c r="E1399">
        <f>'0368 table 1'!G7</f>
        <v>511.7</v>
      </c>
      <c r="G1399">
        <v>11000000</v>
      </c>
    </row>
    <row r="1400" spans="1:7" x14ac:dyDescent="0.35">
      <c r="A1400">
        <v>368</v>
      </c>
      <c r="B1400">
        <v>1</v>
      </c>
      <c r="C1400">
        <f>'0368 table 1'!E8</f>
        <v>90000000</v>
      </c>
      <c r="D1400">
        <f>'0368 table 1'!F8</f>
        <v>450</v>
      </c>
      <c r="E1400">
        <f>'0368 table 1'!G8</f>
        <v>500.2</v>
      </c>
      <c r="G1400">
        <v>90000000</v>
      </c>
    </row>
    <row r="1401" spans="1:7" x14ac:dyDescent="0.35">
      <c r="A1401">
        <v>368</v>
      </c>
      <c r="B1401">
        <v>1</v>
      </c>
      <c r="C1401">
        <f>'0368 table 1'!E9</f>
        <v>80000000</v>
      </c>
      <c r="D1401">
        <f>'0368 table 1'!F9</f>
        <v>450</v>
      </c>
      <c r="E1401">
        <f>'0368 table 1'!G9</f>
        <v>487.4</v>
      </c>
      <c r="G1401">
        <v>80000000</v>
      </c>
    </row>
    <row r="1402" spans="1:7" x14ac:dyDescent="0.35">
      <c r="A1402">
        <v>368</v>
      </c>
      <c r="B1402">
        <v>1</v>
      </c>
      <c r="C1402">
        <f>'0368 table 1'!E10</f>
        <v>70000000</v>
      </c>
      <c r="D1402">
        <f>'0368 table 1'!F10</f>
        <v>450</v>
      </c>
      <c r="E1402">
        <f>'0368 table 1'!G10</f>
        <v>472.6</v>
      </c>
      <c r="G1402">
        <v>70000000</v>
      </c>
    </row>
    <row r="1403" spans="1:7" x14ac:dyDescent="0.35">
      <c r="A1403">
        <v>368</v>
      </c>
      <c r="B1403">
        <v>1</v>
      </c>
      <c r="C1403">
        <f>'0368 table 1'!E11</f>
        <v>60000000</v>
      </c>
      <c r="D1403">
        <f>'0368 table 1'!F11</f>
        <v>450</v>
      </c>
      <c r="E1403">
        <f>'0368 table 1'!G11</f>
        <v>455.2</v>
      </c>
      <c r="G1403">
        <v>60000000</v>
      </c>
    </row>
    <row r="1404" spans="1:7" x14ac:dyDescent="0.35">
      <c r="A1404">
        <v>368</v>
      </c>
      <c r="B1404">
        <v>1</v>
      </c>
      <c r="C1404">
        <f>'0368 table 1'!E12</f>
        <v>50000000</v>
      </c>
      <c r="D1404">
        <f>'0368 table 1'!F12</f>
        <v>450</v>
      </c>
      <c r="E1404">
        <f>'0368 table 1'!G12</f>
        <v>433.4</v>
      </c>
      <c r="G1404">
        <v>50000000</v>
      </c>
    </row>
    <row r="1405" spans="1:7" x14ac:dyDescent="0.35">
      <c r="A1405">
        <v>368</v>
      </c>
      <c r="B1405">
        <v>1</v>
      </c>
      <c r="C1405">
        <f>'0368 table 1'!E13</f>
        <v>40000000</v>
      </c>
      <c r="D1405">
        <f>'0368 table 1'!F13</f>
        <v>450</v>
      </c>
      <c r="E1405">
        <f>'0368 table 1'!G13</f>
        <v>403.7</v>
      </c>
      <c r="G1405">
        <v>40000000</v>
      </c>
    </row>
    <row r="1406" spans="1:7" x14ac:dyDescent="0.35">
      <c r="A1406">
        <v>368</v>
      </c>
      <c r="B1406">
        <v>1</v>
      </c>
      <c r="C1406">
        <f>'0368 table 1'!E14</f>
        <v>30000000</v>
      </c>
      <c r="D1406">
        <f>'0368 table 1'!F14</f>
        <v>450</v>
      </c>
      <c r="E1406">
        <f>'0368 table 1'!G14</f>
        <v>355.3</v>
      </c>
      <c r="G1406">
        <v>30000000</v>
      </c>
    </row>
    <row r="1407" spans="1:7" x14ac:dyDescent="0.35">
      <c r="A1407">
        <v>368</v>
      </c>
      <c r="B1407">
        <v>1</v>
      </c>
      <c r="C1407">
        <f>'0368 table 1'!E15</f>
        <v>200000000</v>
      </c>
      <c r="D1407">
        <f>'0368 table 1'!F15</f>
        <v>500</v>
      </c>
      <c r="E1407">
        <f>'0368 table 1'!G15</f>
        <v>551.9</v>
      </c>
      <c r="G1407">
        <v>200000000</v>
      </c>
    </row>
    <row r="1408" spans="1:7" x14ac:dyDescent="0.35">
      <c r="A1408">
        <v>368</v>
      </c>
      <c r="B1408">
        <v>1</v>
      </c>
      <c r="C1408">
        <f>'0368 table 1'!E16</f>
        <v>180000000</v>
      </c>
      <c r="D1408">
        <f>'0368 table 1'!F16</f>
        <v>500</v>
      </c>
      <c r="E1408">
        <f>'0368 table 1'!G16</f>
        <v>538.29999999999995</v>
      </c>
      <c r="G1408">
        <v>180000000</v>
      </c>
    </row>
    <row r="1409" spans="1:7" x14ac:dyDescent="0.35">
      <c r="A1409">
        <v>368</v>
      </c>
      <c r="B1409">
        <v>1</v>
      </c>
      <c r="C1409">
        <f>'0368 table 1'!E17</f>
        <v>160000000</v>
      </c>
      <c r="D1409">
        <f>'0368 table 1'!F17</f>
        <v>500</v>
      </c>
      <c r="E1409">
        <f>'0368 table 1'!G17</f>
        <v>523.1</v>
      </c>
      <c r="G1409">
        <v>160000000</v>
      </c>
    </row>
    <row r="1410" spans="1:7" x14ac:dyDescent="0.35">
      <c r="A1410">
        <v>368</v>
      </c>
      <c r="B1410">
        <v>1</v>
      </c>
      <c r="C1410">
        <f>'0368 table 1'!E18</f>
        <v>140000000</v>
      </c>
      <c r="D1410">
        <f>'0368 table 1'!F18</f>
        <v>500</v>
      </c>
      <c r="E1410">
        <f>'0368 table 1'!G18</f>
        <v>505.9</v>
      </c>
      <c r="G1410">
        <v>140000000</v>
      </c>
    </row>
    <row r="1411" spans="1:7" x14ac:dyDescent="0.35">
      <c r="A1411">
        <v>368</v>
      </c>
      <c r="B1411">
        <v>1</v>
      </c>
      <c r="C1411">
        <f>'0368 table 1'!E19</f>
        <v>120000000</v>
      </c>
      <c r="D1411">
        <f>'0368 table 1'!F19</f>
        <v>500</v>
      </c>
      <c r="E1411">
        <f>'0368 table 1'!G19</f>
        <v>485.8</v>
      </c>
      <c r="G1411">
        <v>120000000</v>
      </c>
    </row>
    <row r="1412" spans="1:7" x14ac:dyDescent="0.35">
      <c r="A1412">
        <v>368</v>
      </c>
      <c r="B1412">
        <v>1</v>
      </c>
      <c r="C1412">
        <f>'0368 table 1'!E20</f>
        <v>100000000</v>
      </c>
      <c r="D1412">
        <f>'0368 table 1'!F20</f>
        <v>500</v>
      </c>
      <c r="E1412">
        <f>'0368 table 1'!G20</f>
        <v>461.5</v>
      </c>
      <c r="G1412">
        <v>11000000</v>
      </c>
    </row>
    <row r="1413" spans="1:7" x14ac:dyDescent="0.35">
      <c r="A1413">
        <v>368</v>
      </c>
      <c r="B1413">
        <v>1</v>
      </c>
      <c r="C1413">
        <f>'0368 table 1'!E21</f>
        <v>90000000</v>
      </c>
      <c r="D1413">
        <f>'0368 table 1'!F21</f>
        <v>500</v>
      </c>
      <c r="E1413">
        <f>'0368 table 1'!G21</f>
        <v>446.9</v>
      </c>
      <c r="G1413">
        <v>90000000</v>
      </c>
    </row>
    <row r="1414" spans="1:7" x14ac:dyDescent="0.35">
      <c r="A1414">
        <v>368</v>
      </c>
      <c r="B1414">
        <v>1</v>
      </c>
      <c r="C1414">
        <f>'0368 table 1'!E22</f>
        <v>80000000</v>
      </c>
      <c r="D1414">
        <f>'0368 table 1'!F22</f>
        <v>500</v>
      </c>
      <c r="E1414">
        <f>'0368 table 1'!G22</f>
        <v>430.2</v>
      </c>
      <c r="G1414">
        <v>80000000</v>
      </c>
    </row>
    <row r="1415" spans="1:7" x14ac:dyDescent="0.35">
      <c r="A1415">
        <v>368</v>
      </c>
      <c r="B1415">
        <v>1</v>
      </c>
      <c r="C1415">
        <f>'0368 table 1'!E23</f>
        <v>70000000</v>
      </c>
      <c r="D1415">
        <f>'0368 table 1'!F23</f>
        <v>500</v>
      </c>
      <c r="E1415">
        <f>'0368 table 1'!G23</f>
        <v>410.1</v>
      </c>
      <c r="G1415">
        <v>70000000</v>
      </c>
    </row>
    <row r="1416" spans="1:7" x14ac:dyDescent="0.35">
      <c r="A1416">
        <v>368</v>
      </c>
      <c r="B1416">
        <v>1</v>
      </c>
      <c r="C1416">
        <f>'0368 table 1'!E24</f>
        <v>60000000</v>
      </c>
      <c r="D1416">
        <f>'0368 table 1'!F24</f>
        <v>500</v>
      </c>
      <c r="E1416">
        <f>'0368 table 1'!G24</f>
        <v>384.9</v>
      </c>
      <c r="G1416">
        <v>60000000</v>
      </c>
    </row>
    <row r="1417" spans="1:7" x14ac:dyDescent="0.35">
      <c r="A1417">
        <v>368</v>
      </c>
      <c r="B1417">
        <v>1</v>
      </c>
      <c r="C1417">
        <f>'0368 table 1'!E25</f>
        <v>50000000</v>
      </c>
      <c r="D1417">
        <f>'0368 table 1'!F25</f>
        <v>500</v>
      </c>
      <c r="E1417">
        <f>'0368 table 1'!G25</f>
        <v>350.9</v>
      </c>
      <c r="G1417">
        <v>50000000</v>
      </c>
    </row>
    <row r="1418" spans="1:7" x14ac:dyDescent="0.35">
      <c r="A1418">
        <v>369</v>
      </c>
      <c r="B1418" t="s">
        <v>27</v>
      </c>
      <c r="C1418">
        <f>'0369'!E2</f>
        <v>101325</v>
      </c>
      <c r="D1418">
        <f>'0369'!F2</f>
        <v>273.14999999999998</v>
      </c>
      <c r="E1418">
        <f>'0369'!G2</f>
        <v>0.77085000000000004</v>
      </c>
      <c r="G1418">
        <v>101325</v>
      </c>
    </row>
    <row r="1419" spans="1:7" x14ac:dyDescent="0.35">
      <c r="A1419">
        <v>369</v>
      </c>
      <c r="B1419" t="s">
        <v>27</v>
      </c>
      <c r="C1419">
        <f>'0369'!E3</f>
        <v>101325</v>
      </c>
      <c r="D1419">
        <f>'0369'!F3</f>
        <v>323.14999999999998</v>
      </c>
      <c r="E1419">
        <f>'0369'!G3</f>
        <v>0.64627000000000001</v>
      </c>
      <c r="G1419">
        <v>101325</v>
      </c>
    </row>
    <row r="1420" spans="1:7" x14ac:dyDescent="0.35">
      <c r="A1420">
        <v>369</v>
      </c>
      <c r="B1420" t="s">
        <v>27</v>
      </c>
      <c r="C1420">
        <f>'0369'!E4</f>
        <v>101325</v>
      </c>
      <c r="D1420">
        <f>'0369'!F4</f>
        <v>373.15</v>
      </c>
      <c r="E1420">
        <f>'0369'!G4</f>
        <v>0.55667999999999995</v>
      </c>
      <c r="G1420">
        <v>101325</v>
      </c>
    </row>
    <row r="1421" spans="1:7" x14ac:dyDescent="0.35">
      <c r="A1421">
        <v>369</v>
      </c>
      <c r="B1421" t="s">
        <v>27</v>
      </c>
      <c r="C1421">
        <f>'0369'!E5</f>
        <v>101325</v>
      </c>
      <c r="D1421">
        <f>'0369'!F5</f>
        <v>253.14999999999998</v>
      </c>
      <c r="E1421">
        <f>'0369'!G5</f>
        <v>0.83630000000000015</v>
      </c>
      <c r="G1421">
        <v>101325</v>
      </c>
    </row>
    <row r="1422" spans="1:7" x14ac:dyDescent="0.35">
      <c r="A1422">
        <v>369</v>
      </c>
      <c r="B1422" t="s">
        <v>27</v>
      </c>
      <c r="C1422">
        <f>'0369'!E6</f>
        <v>50662.5</v>
      </c>
      <c r="D1422">
        <f>'0369'!F6</f>
        <v>273.14999999999998</v>
      </c>
      <c r="E1422">
        <f>'0369'!G6</f>
        <v>0.38319999999999999</v>
      </c>
      <c r="G1422">
        <v>50662.5</v>
      </c>
    </row>
    <row r="1423" spans="1:7" x14ac:dyDescent="0.35">
      <c r="A1423">
        <v>370</v>
      </c>
      <c r="B1423">
        <v>1</v>
      </c>
      <c r="C1423">
        <f>'0370 table 2'!E2</f>
        <v>11351300</v>
      </c>
      <c r="D1423">
        <f>'0370 table 2'!F2</f>
        <v>405.55</v>
      </c>
      <c r="E1423">
        <f>'0370 table 2'!G2</f>
        <v>235.01</v>
      </c>
      <c r="G1423">
        <v>11351300</v>
      </c>
    </row>
    <row r="1424" spans="1:7" x14ac:dyDescent="0.35">
      <c r="A1424">
        <v>370</v>
      </c>
      <c r="B1424">
        <v>1</v>
      </c>
      <c r="C1424">
        <f>'0370 table 2'!E3</f>
        <v>11354900</v>
      </c>
      <c r="D1424">
        <f>'0370 table 2'!F3</f>
        <v>405.55</v>
      </c>
      <c r="E1424">
        <f>'0370 table 2'!G3</f>
        <v>249.99</v>
      </c>
      <c r="G1424">
        <v>11354900</v>
      </c>
    </row>
    <row r="1425" spans="1:7" x14ac:dyDescent="0.35">
      <c r="A1425">
        <v>370</v>
      </c>
      <c r="B1425">
        <v>1</v>
      </c>
      <c r="C1425">
        <f>'0370 table 2'!E4</f>
        <v>11358900</v>
      </c>
      <c r="D1425">
        <f>'0370 table 2'!F4</f>
        <v>405.55</v>
      </c>
      <c r="E1425">
        <f>'0370 table 2'!G4</f>
        <v>255.19</v>
      </c>
      <c r="G1425">
        <v>11358900</v>
      </c>
    </row>
    <row r="1426" spans="1:7" x14ac:dyDescent="0.35">
      <c r="A1426">
        <v>370</v>
      </c>
      <c r="B1426">
        <v>1</v>
      </c>
      <c r="C1426">
        <f>'0370 table 2'!E5</f>
        <v>11355800</v>
      </c>
      <c r="D1426">
        <f>'0370 table 2'!F5</f>
        <v>405.56</v>
      </c>
      <c r="E1426">
        <f>'0370 table 2'!G5</f>
        <v>241.93</v>
      </c>
      <c r="G1426">
        <v>11355800</v>
      </c>
    </row>
    <row r="1427" spans="1:7" x14ac:dyDescent="0.35">
      <c r="A1427">
        <v>370</v>
      </c>
      <c r="B1427">
        <v>1</v>
      </c>
      <c r="C1427">
        <f>'0370 table 2'!E6</f>
        <v>11355300</v>
      </c>
      <c r="D1427">
        <f>'0370 table 2'!F6</f>
        <v>405.56</v>
      </c>
      <c r="E1427">
        <f>'0370 table 2'!G6</f>
        <v>242.91</v>
      </c>
      <c r="G1427">
        <v>11355300</v>
      </c>
    </row>
    <row r="1428" spans="1:7" x14ac:dyDescent="0.35">
      <c r="A1428">
        <v>370</v>
      </c>
      <c r="B1428">
        <v>1</v>
      </c>
      <c r="C1428">
        <f>'0370 table 2'!E7</f>
        <v>11359200</v>
      </c>
      <c r="D1428">
        <f>'0370 table 2'!F7</f>
        <v>405.56</v>
      </c>
      <c r="E1428">
        <f>'0370 table 2'!G7</f>
        <v>244</v>
      </c>
      <c r="G1428">
        <v>11359200</v>
      </c>
    </row>
    <row r="1429" spans="1:7" x14ac:dyDescent="0.35">
      <c r="A1429">
        <v>370</v>
      </c>
      <c r="B1429">
        <v>1</v>
      </c>
      <c r="C1429">
        <f>'0370 table 2'!E8</f>
        <v>11355000</v>
      </c>
      <c r="D1429">
        <f>'0370 table 2'!F8</f>
        <v>405.56</v>
      </c>
      <c r="E1429">
        <f>'0370 table 2'!G8</f>
        <v>244.06</v>
      </c>
      <c r="G1429">
        <v>11355000</v>
      </c>
    </row>
    <row r="1430" spans="1:7" x14ac:dyDescent="0.35">
      <c r="A1430">
        <v>370</v>
      </c>
      <c r="B1430">
        <v>1</v>
      </c>
      <c r="C1430">
        <f>'0370 table 2'!E9</f>
        <v>11357500</v>
      </c>
      <c r="D1430">
        <f>'0370 table 2'!F9</f>
        <v>405.56</v>
      </c>
      <c r="E1430">
        <f>'0370 table 2'!G9</f>
        <v>244.95</v>
      </c>
      <c r="G1430">
        <v>11357500</v>
      </c>
    </row>
    <row r="1431" spans="1:7" x14ac:dyDescent="0.35">
      <c r="A1431">
        <v>370</v>
      </c>
      <c r="B1431">
        <v>1</v>
      </c>
      <c r="C1431">
        <f>'0370 table 2'!E10</f>
        <v>11356200</v>
      </c>
      <c r="D1431">
        <f>'0370 table 2'!F10</f>
        <v>405.565</v>
      </c>
      <c r="E1431">
        <f>'0370 table 2'!G10</f>
        <v>242.97</v>
      </c>
      <c r="G1431">
        <v>11356200</v>
      </c>
    </row>
    <row r="1432" spans="1:7" x14ac:dyDescent="0.35">
      <c r="A1432">
        <v>370</v>
      </c>
      <c r="B1432">
        <v>1</v>
      </c>
      <c r="C1432">
        <f>'0370 table 2'!E11</f>
        <v>11358000</v>
      </c>
      <c r="D1432">
        <f>'0370 table 2'!F11</f>
        <v>405.565</v>
      </c>
      <c r="E1432">
        <f>'0370 table 2'!G11</f>
        <v>243.49</v>
      </c>
      <c r="G1432">
        <v>11358000</v>
      </c>
    </row>
    <row r="1433" spans="1:7" x14ac:dyDescent="0.35">
      <c r="A1433">
        <v>370</v>
      </c>
      <c r="B1433">
        <v>1</v>
      </c>
      <c r="C1433">
        <f>'0370 table 2'!E12</f>
        <v>11357400</v>
      </c>
      <c r="D1433">
        <f>'0370 table 2'!F12</f>
        <v>405.565</v>
      </c>
      <c r="E1433">
        <f>'0370 table 2'!G12</f>
        <v>244.01</v>
      </c>
      <c r="G1433">
        <v>11357400</v>
      </c>
    </row>
    <row r="1434" spans="1:7" x14ac:dyDescent="0.35">
      <c r="A1434">
        <v>370</v>
      </c>
      <c r="B1434">
        <v>1</v>
      </c>
      <c r="C1434">
        <f>'0370 table 2'!E13</f>
        <v>11360100</v>
      </c>
      <c r="D1434">
        <f>'0370 table 2'!F13</f>
        <v>405.57</v>
      </c>
      <c r="E1434">
        <f>'0370 table 2'!G13</f>
        <v>241.94</v>
      </c>
      <c r="G1434">
        <v>11360100</v>
      </c>
    </row>
    <row r="1435" spans="1:7" x14ac:dyDescent="0.35">
      <c r="A1435">
        <v>370</v>
      </c>
      <c r="B1435">
        <v>1</v>
      </c>
      <c r="C1435">
        <f>'0370 table 2'!E14</f>
        <v>11370200</v>
      </c>
      <c r="D1435">
        <f>'0370 table 2'!F14</f>
        <v>405.57</v>
      </c>
      <c r="E1435">
        <f>'0370 table 2'!G14</f>
        <v>242.83</v>
      </c>
      <c r="G1435">
        <v>11370200</v>
      </c>
    </row>
    <row r="1436" spans="1:7" x14ac:dyDescent="0.35">
      <c r="A1436">
        <v>370</v>
      </c>
      <c r="B1436">
        <v>1</v>
      </c>
      <c r="C1436">
        <f>'0370 table 2'!E15</f>
        <v>11357800</v>
      </c>
      <c r="D1436">
        <f>'0370 table 2'!F15</f>
        <v>405.57</v>
      </c>
      <c r="E1436">
        <f>'0370 table 2'!G15</f>
        <v>242.95</v>
      </c>
      <c r="G1436">
        <v>11357800</v>
      </c>
    </row>
    <row r="1437" spans="1:7" x14ac:dyDescent="0.35">
      <c r="A1437">
        <v>370</v>
      </c>
      <c r="B1437">
        <v>1</v>
      </c>
      <c r="C1437">
        <f>'0370 table 2'!E16</f>
        <v>11360700</v>
      </c>
      <c r="D1437">
        <f>'0370 table 2'!F16</f>
        <v>405.57</v>
      </c>
      <c r="E1437">
        <f>'0370 table 2'!G16</f>
        <v>243.96</v>
      </c>
      <c r="G1437">
        <v>11360700</v>
      </c>
    </row>
    <row r="1438" spans="1:7" x14ac:dyDescent="0.35">
      <c r="A1438">
        <v>370</v>
      </c>
      <c r="B1438">
        <v>1</v>
      </c>
      <c r="C1438">
        <f>'0370 table 2'!E17</f>
        <v>11359500</v>
      </c>
      <c r="D1438">
        <f>'0370 table 2'!F17</f>
        <v>405.57</v>
      </c>
      <c r="E1438">
        <f>'0370 table 2'!G17</f>
        <v>244.1</v>
      </c>
      <c r="G1438">
        <v>11359500</v>
      </c>
    </row>
    <row r="1439" spans="1:7" x14ac:dyDescent="0.35">
      <c r="A1439">
        <v>370</v>
      </c>
      <c r="B1439">
        <v>1</v>
      </c>
      <c r="C1439">
        <f>'0370 table 2'!E18</f>
        <v>11360300</v>
      </c>
      <c r="D1439">
        <f>'0370 table 2'!F18</f>
        <v>405.57</v>
      </c>
      <c r="E1439">
        <f>'0370 table 2'!G18</f>
        <v>245.04</v>
      </c>
      <c r="G1439">
        <v>11360300</v>
      </c>
    </row>
    <row r="1440" spans="1:7" x14ac:dyDescent="0.35">
      <c r="A1440">
        <v>370</v>
      </c>
      <c r="B1440">
        <v>1</v>
      </c>
      <c r="C1440">
        <f>'0370 table 2'!E19</f>
        <v>11361600</v>
      </c>
      <c r="D1440">
        <f>'0370 table 2'!F19</f>
        <v>405.58</v>
      </c>
      <c r="E1440">
        <f>'0370 table 2'!G19</f>
        <v>242.02</v>
      </c>
      <c r="G1440">
        <v>11361600</v>
      </c>
    </row>
    <row r="1441" spans="1:7" x14ac:dyDescent="0.35">
      <c r="A1441">
        <v>370</v>
      </c>
      <c r="B1441">
        <v>1</v>
      </c>
      <c r="C1441">
        <f>'0370 table 2'!E20</f>
        <v>11359900</v>
      </c>
      <c r="D1441">
        <f>'0370 table 2'!F20</f>
        <v>405.58</v>
      </c>
      <c r="E1441">
        <f>'0370 table 2'!G20</f>
        <v>243.01</v>
      </c>
      <c r="G1441">
        <v>11359900</v>
      </c>
    </row>
    <row r="1442" spans="1:7" x14ac:dyDescent="0.35">
      <c r="A1442">
        <v>370</v>
      </c>
      <c r="B1442">
        <v>1</v>
      </c>
      <c r="C1442">
        <f>'0370 table 2'!E21</f>
        <v>11362500</v>
      </c>
      <c r="D1442">
        <f>'0370 table 2'!F21</f>
        <v>405.58</v>
      </c>
      <c r="E1442">
        <f>'0370 table 2'!G21</f>
        <v>244.08</v>
      </c>
      <c r="G1442">
        <v>11362500</v>
      </c>
    </row>
    <row r="1443" spans="1:7" x14ac:dyDescent="0.35">
      <c r="A1443">
        <v>370</v>
      </c>
      <c r="B1443">
        <v>1</v>
      </c>
      <c r="C1443">
        <f>'0370 table 2'!E22</f>
        <v>11362500</v>
      </c>
      <c r="D1443">
        <f>'0370 table 2'!F22</f>
        <v>405.58</v>
      </c>
      <c r="E1443">
        <f>'0370 table 2'!G22</f>
        <v>244.99</v>
      </c>
      <c r="G1443">
        <v>11362500</v>
      </c>
    </row>
    <row r="1444" spans="1:7" x14ac:dyDescent="0.35">
      <c r="A1444">
        <v>370</v>
      </c>
      <c r="B1444">
        <v>1</v>
      </c>
      <c r="C1444">
        <f>'0370 table 2'!E23</f>
        <v>11355400</v>
      </c>
      <c r="D1444">
        <f>'0370 table 2'!F23</f>
        <v>405.6</v>
      </c>
      <c r="E1444">
        <f>'0370 table 2'!G23</f>
        <v>224.92</v>
      </c>
      <c r="G1444">
        <v>11355400</v>
      </c>
    </row>
    <row r="1445" spans="1:7" x14ac:dyDescent="0.35">
      <c r="A1445">
        <v>370</v>
      </c>
      <c r="B1445">
        <v>1</v>
      </c>
      <c r="C1445">
        <f>'0370 table 2'!E24</f>
        <v>11356100</v>
      </c>
      <c r="D1445">
        <f>'0370 table 2'!F24</f>
        <v>405.6</v>
      </c>
      <c r="E1445">
        <f>'0370 table 2'!G24</f>
        <v>229.9</v>
      </c>
      <c r="G1445">
        <v>11356100</v>
      </c>
    </row>
    <row r="1446" spans="1:7" x14ac:dyDescent="0.35">
      <c r="A1446">
        <v>370</v>
      </c>
      <c r="B1446">
        <v>1</v>
      </c>
      <c r="C1446">
        <f>'0370 table 2'!E25</f>
        <v>11361700</v>
      </c>
      <c r="D1446">
        <f>'0370 table 2'!F25</f>
        <v>405.6</v>
      </c>
      <c r="E1446">
        <f>'0370 table 2'!G25</f>
        <v>235.14</v>
      </c>
      <c r="G1446">
        <v>11361700</v>
      </c>
    </row>
    <row r="1447" spans="1:7" x14ac:dyDescent="0.35">
      <c r="A1447">
        <v>370</v>
      </c>
      <c r="B1447">
        <v>1</v>
      </c>
      <c r="C1447">
        <f>'0370 table 2'!E26</f>
        <v>11363000</v>
      </c>
      <c r="D1447">
        <f>'0370 table 2'!F26</f>
        <v>405.6</v>
      </c>
      <c r="E1447">
        <f>'0370 table 2'!G26</f>
        <v>239.9</v>
      </c>
      <c r="G1447">
        <v>11363000</v>
      </c>
    </row>
    <row r="1448" spans="1:7" x14ac:dyDescent="0.35">
      <c r="A1448">
        <v>370</v>
      </c>
      <c r="B1448">
        <v>1</v>
      </c>
      <c r="C1448">
        <f>'0370 table 2'!E27</f>
        <v>11367200</v>
      </c>
      <c r="D1448">
        <f>'0370 table 2'!F27</f>
        <v>405.6</v>
      </c>
      <c r="E1448">
        <f>'0370 table 2'!G27</f>
        <v>245.12</v>
      </c>
      <c r="G1448">
        <v>11367200</v>
      </c>
    </row>
    <row r="1449" spans="1:7" x14ac:dyDescent="0.35">
      <c r="A1449">
        <v>371</v>
      </c>
      <c r="B1449">
        <v>2</v>
      </c>
      <c r="C1449">
        <f>'0371 table 2'!E2</f>
        <v>6079</v>
      </c>
      <c r="D1449">
        <f>'0371 table 2'!F2</f>
        <v>195.48</v>
      </c>
      <c r="E1449">
        <f>'0371 table 2'!G2</f>
        <v>733.91596638655483</v>
      </c>
      <c r="G1449">
        <v>6079</v>
      </c>
    </row>
    <row r="1450" spans="1:7" x14ac:dyDescent="0.35">
      <c r="A1450">
        <v>371</v>
      </c>
      <c r="B1450">
        <v>2</v>
      </c>
      <c r="C1450">
        <f>'0371 table 2'!E3</f>
        <v>7915</v>
      </c>
      <c r="D1450">
        <f>'0371 table 2'!F3</f>
        <v>198.84</v>
      </c>
      <c r="E1450">
        <f>'0371 table 2'!G3</f>
        <v>729.95242381381001</v>
      </c>
      <c r="G1450">
        <v>7915</v>
      </c>
    </row>
    <row r="1451" spans="1:7" x14ac:dyDescent="0.35">
      <c r="A1451">
        <v>371</v>
      </c>
      <c r="B1451">
        <v>2</v>
      </c>
      <c r="C1451">
        <f>'0371 table 2'!E4</f>
        <v>8649</v>
      </c>
      <c r="D1451">
        <f>'0371 table 2'!F4</f>
        <v>200</v>
      </c>
      <c r="E1451">
        <f>'0371 table 2'!G4</f>
        <v>728.60956618464968</v>
      </c>
      <c r="G1451">
        <v>8649</v>
      </c>
    </row>
    <row r="1452" spans="1:7" x14ac:dyDescent="0.35">
      <c r="A1452">
        <v>371</v>
      </c>
      <c r="B1452">
        <v>2</v>
      </c>
      <c r="C1452">
        <f>'0371 table 2'!E5</f>
        <v>17749</v>
      </c>
      <c r="D1452">
        <f>'0371 table 2'!F5</f>
        <v>210</v>
      </c>
      <c r="E1452">
        <f>'0371 table 2'!G5</f>
        <v>716.98395992085204</v>
      </c>
      <c r="G1452">
        <v>17749</v>
      </c>
    </row>
    <row r="1453" spans="1:7" x14ac:dyDescent="0.35">
      <c r="A1453">
        <v>371</v>
      </c>
      <c r="B1453">
        <v>2</v>
      </c>
      <c r="C1453">
        <f>'0371 table 2'!E6</f>
        <v>33814</v>
      </c>
      <c r="D1453">
        <f>'0371 table 2'!F6</f>
        <v>220</v>
      </c>
      <c r="E1453">
        <f>'0371 table 2'!G6</f>
        <v>705.46042003231025</v>
      </c>
      <c r="G1453">
        <v>33814</v>
      </c>
    </row>
    <row r="1454" spans="1:7" x14ac:dyDescent="0.35">
      <c r="A1454">
        <v>371</v>
      </c>
      <c r="B1454">
        <v>2</v>
      </c>
      <c r="C1454">
        <f>'0371 table 2'!E7</f>
        <v>60442</v>
      </c>
      <c r="D1454">
        <f>'0371 table 2'!F7</f>
        <v>230</v>
      </c>
      <c r="E1454">
        <f>'0371 table 2'!G7</f>
        <v>693.79231678005465</v>
      </c>
      <c r="G1454">
        <v>60442</v>
      </c>
    </row>
    <row r="1455" spans="1:7" x14ac:dyDescent="0.35">
      <c r="A1455">
        <v>371</v>
      </c>
      <c r="B1455">
        <v>2</v>
      </c>
      <c r="C1455">
        <f>'0371 table 2'!E8</f>
        <v>101324</v>
      </c>
      <c r="D1455">
        <f>'0371 table 2'!F8</f>
        <v>239.82</v>
      </c>
      <c r="E1455">
        <f>'0371 table 2'!G8</f>
        <v>682.06656253754659</v>
      </c>
      <c r="G1455">
        <v>101324</v>
      </c>
    </row>
    <row r="1456" spans="1:7" x14ac:dyDescent="0.35">
      <c r="A1456">
        <v>371</v>
      </c>
      <c r="B1456">
        <v>2</v>
      </c>
      <c r="C1456">
        <f>'0371 table 2'!E9</f>
        <v>102263</v>
      </c>
      <c r="D1456">
        <f>'0371 table 2'!F9</f>
        <v>240</v>
      </c>
      <c r="E1456">
        <f>'0371 table 2'!G9</f>
        <v>681.84810025223203</v>
      </c>
      <c r="G1456">
        <v>102263</v>
      </c>
    </row>
    <row r="1457" spans="1:7" x14ac:dyDescent="0.35">
      <c r="A1457">
        <v>371</v>
      </c>
      <c r="B1457">
        <v>2</v>
      </c>
      <c r="C1457">
        <f>'0371 table 2'!E10</f>
        <v>112710</v>
      </c>
      <c r="D1457">
        <f>'0371 table 2'!F10</f>
        <v>241.96</v>
      </c>
      <c r="E1457">
        <f>'0371 table 2'!G10</f>
        <v>679.45421903052068</v>
      </c>
      <c r="G1457">
        <v>112710</v>
      </c>
    </row>
    <row r="1458" spans="1:7" x14ac:dyDescent="0.35">
      <c r="A1458">
        <v>371</v>
      </c>
      <c r="B1458">
        <v>2</v>
      </c>
      <c r="C1458">
        <f>'0371 table 2'!E11</f>
        <v>164970</v>
      </c>
      <c r="D1458">
        <f>'0371 table 2'!F11</f>
        <v>250</v>
      </c>
      <c r="E1458">
        <f>'0371 table 2'!G11</f>
        <v>669.4913122100794</v>
      </c>
      <c r="G1458">
        <v>164970</v>
      </c>
    </row>
    <row r="1459" spans="1:7" x14ac:dyDescent="0.35">
      <c r="A1459">
        <v>371</v>
      </c>
      <c r="B1459">
        <v>2</v>
      </c>
      <c r="C1459">
        <f>'0371 table 2'!E12</f>
        <v>255311</v>
      </c>
      <c r="D1459">
        <f>'0371 table 2'!F12</f>
        <v>260</v>
      </c>
      <c r="E1459">
        <f>'0371 table 2'!G12</f>
        <v>656.61101900759525</v>
      </c>
      <c r="G1459">
        <v>255311</v>
      </c>
    </row>
    <row r="1460" spans="1:7" x14ac:dyDescent="0.35">
      <c r="A1460">
        <v>371</v>
      </c>
      <c r="B1460">
        <v>2</v>
      </c>
      <c r="C1460">
        <f>'0371 table 2'!E13</f>
        <v>381038</v>
      </c>
      <c r="D1460">
        <f>'0371 table 2'!F13</f>
        <v>270</v>
      </c>
      <c r="E1460">
        <f>'0371 table 2'!G13</f>
        <v>643.12223858615619</v>
      </c>
      <c r="G1460">
        <v>381038</v>
      </c>
    </row>
    <row r="1461" spans="1:7" x14ac:dyDescent="0.35">
      <c r="A1461">
        <v>371</v>
      </c>
      <c r="B1461">
        <v>2</v>
      </c>
      <c r="C1461">
        <f>'0371 table 2'!E14</f>
        <v>550829</v>
      </c>
      <c r="D1461">
        <f>'0371 table 2'!F14</f>
        <v>280</v>
      </c>
      <c r="E1461">
        <f>'0371 table 2'!G14</f>
        <v>628.96628134579157</v>
      </c>
      <c r="G1461">
        <v>550829</v>
      </c>
    </row>
    <row r="1462" spans="1:7" x14ac:dyDescent="0.35">
      <c r="A1462">
        <v>371</v>
      </c>
      <c r="B1462">
        <v>2</v>
      </c>
      <c r="C1462">
        <f>'0371 table 2'!E15</f>
        <v>774209</v>
      </c>
      <c r="D1462">
        <f>'0371 table 2'!F15</f>
        <v>290</v>
      </c>
      <c r="E1462">
        <f>'0371 table 2'!G15</f>
        <v>614.13291983700549</v>
      </c>
      <c r="G1462">
        <v>774209</v>
      </c>
    </row>
    <row r="1463" spans="1:7" x14ac:dyDescent="0.35">
      <c r="A1463">
        <v>372</v>
      </c>
      <c r="B1463">
        <v>1</v>
      </c>
      <c r="C1463">
        <f>'0372 table 1'!E2</f>
        <v>8429400</v>
      </c>
      <c r="D1463">
        <f>'0372 table 1'!F2</f>
        <v>317.89999999999998</v>
      </c>
      <c r="E1463">
        <f>'0372 table 1'!G2</f>
        <v>579.6</v>
      </c>
      <c r="G1463">
        <v>8429400</v>
      </c>
    </row>
    <row r="1464" spans="1:7" x14ac:dyDescent="0.35">
      <c r="A1464">
        <v>372</v>
      </c>
      <c r="B1464">
        <v>1</v>
      </c>
      <c r="C1464">
        <f>'0372 table 1'!E3</f>
        <v>16323300</v>
      </c>
      <c r="D1464">
        <f>'0372 table 1'!F3</f>
        <v>323.72999999999996</v>
      </c>
      <c r="E1464">
        <f>'0372 table 1'!G3</f>
        <v>579.4</v>
      </c>
      <c r="G1464">
        <v>16323300</v>
      </c>
    </row>
    <row r="1465" spans="1:7" x14ac:dyDescent="0.35">
      <c r="A1465">
        <v>372</v>
      </c>
      <c r="B1465">
        <v>1</v>
      </c>
      <c r="C1465">
        <f>'0372 table 1'!E4</f>
        <v>16351200</v>
      </c>
      <c r="D1465">
        <f>'0372 table 1'!F4</f>
        <v>323.76</v>
      </c>
      <c r="E1465">
        <f>'0372 table 1'!G4</f>
        <v>579.4</v>
      </c>
      <c r="G1465">
        <v>16351200</v>
      </c>
    </row>
    <row r="1466" spans="1:7" x14ac:dyDescent="0.35">
      <c r="A1466">
        <v>372</v>
      </c>
      <c r="B1466">
        <v>1</v>
      </c>
      <c r="C1466">
        <f>'0372 table 1'!E5</f>
        <v>22670900</v>
      </c>
      <c r="D1466">
        <f>'0372 table 1'!F5</f>
        <v>328.45</v>
      </c>
      <c r="E1466">
        <f>'0372 table 1'!G5</f>
        <v>579.20000000000005</v>
      </c>
      <c r="G1466">
        <v>22670900</v>
      </c>
    </row>
    <row r="1467" spans="1:7" x14ac:dyDescent="0.35">
      <c r="A1467">
        <v>372</v>
      </c>
      <c r="B1467">
        <v>1</v>
      </c>
      <c r="C1467">
        <f>'0372 table 1'!E6</f>
        <v>28956900</v>
      </c>
      <c r="D1467">
        <f>'0372 table 1'!F6</f>
        <v>333.16999999999996</v>
      </c>
      <c r="E1467">
        <f>'0372 table 1'!G6</f>
        <v>579</v>
      </c>
      <c r="G1467">
        <v>28956900</v>
      </c>
    </row>
    <row r="1468" spans="1:7" x14ac:dyDescent="0.35">
      <c r="A1468">
        <v>372</v>
      </c>
      <c r="B1468">
        <v>1</v>
      </c>
      <c r="C1468">
        <f>'0372 table 1'!E7</f>
        <v>35227800</v>
      </c>
      <c r="D1468">
        <f>'0372 table 1'!F7</f>
        <v>337.78</v>
      </c>
      <c r="E1468">
        <f>'0372 table 1'!G7</f>
        <v>578.79999999999995</v>
      </c>
      <c r="G1468">
        <v>35227800</v>
      </c>
    </row>
    <row r="1469" spans="1:7" x14ac:dyDescent="0.35">
      <c r="A1469">
        <v>372</v>
      </c>
      <c r="B1469">
        <v>1</v>
      </c>
      <c r="C1469">
        <f>'0372 table 1'!E8</f>
        <v>4525000</v>
      </c>
      <c r="D1469">
        <f>'0372 table 1'!F8</f>
        <v>288.44</v>
      </c>
      <c r="E1469">
        <f>'0372 table 1'!G8</f>
        <v>619.70000000000005</v>
      </c>
      <c r="G1469">
        <v>4525000</v>
      </c>
    </row>
    <row r="1470" spans="1:7" x14ac:dyDescent="0.35">
      <c r="A1470">
        <v>372</v>
      </c>
      <c r="B1470">
        <v>1</v>
      </c>
      <c r="C1470">
        <f>'0372 table 1'!E9</f>
        <v>13144800</v>
      </c>
      <c r="D1470">
        <f>'0372 table 1'!F9</f>
        <v>293.63</v>
      </c>
      <c r="E1470">
        <f>'0372 table 1'!G9</f>
        <v>619.5</v>
      </c>
      <c r="G1470">
        <v>13144800</v>
      </c>
    </row>
    <row r="1471" spans="1:7" x14ac:dyDescent="0.35">
      <c r="A1471">
        <v>372</v>
      </c>
      <c r="B1471">
        <v>1</v>
      </c>
      <c r="C1471">
        <f>'0372 table 1'!E10</f>
        <v>21284000</v>
      </c>
      <c r="D1471">
        <f>'0372 table 1'!F10</f>
        <v>298.53999999999996</v>
      </c>
      <c r="E1471">
        <f>'0372 table 1'!G10</f>
        <v>619.19999999999993</v>
      </c>
      <c r="G1471">
        <v>21284000</v>
      </c>
    </row>
    <row r="1472" spans="1:7" x14ac:dyDescent="0.35">
      <c r="A1472">
        <v>372</v>
      </c>
      <c r="B1472">
        <v>1</v>
      </c>
      <c r="C1472">
        <f>'0372 table 1'!E11</f>
        <v>29126799.999999996</v>
      </c>
      <c r="D1472">
        <f>'0372 table 1'!F11</f>
        <v>303.28999999999996</v>
      </c>
      <c r="E1472">
        <f>'0372 table 1'!G11</f>
        <v>619</v>
      </c>
      <c r="G1472">
        <v>29126799.999999996</v>
      </c>
    </row>
    <row r="1473" spans="1:7" x14ac:dyDescent="0.35">
      <c r="A1473">
        <v>372</v>
      </c>
      <c r="B1473">
        <v>1</v>
      </c>
      <c r="C1473">
        <f>'0372 table 1'!E12</f>
        <v>29694700</v>
      </c>
      <c r="D1473">
        <f>'0372 table 1'!F12</f>
        <v>303.62</v>
      </c>
      <c r="E1473">
        <f>'0372 table 1'!G12</f>
        <v>619</v>
      </c>
      <c r="G1473">
        <v>29694700</v>
      </c>
    </row>
    <row r="1474" spans="1:7" x14ac:dyDescent="0.35">
      <c r="A1474">
        <v>372</v>
      </c>
      <c r="B1474">
        <v>1</v>
      </c>
      <c r="C1474">
        <f>'0372 table 1'!E13</f>
        <v>29671900</v>
      </c>
      <c r="D1474">
        <f>'0372 table 1'!F13</f>
        <v>303.63</v>
      </c>
      <c r="E1474">
        <f>'0372 table 1'!G13</f>
        <v>619</v>
      </c>
      <c r="G1474">
        <v>29671900</v>
      </c>
    </row>
    <row r="1475" spans="1:7" x14ac:dyDescent="0.35">
      <c r="A1475">
        <v>372</v>
      </c>
      <c r="B1475">
        <v>1</v>
      </c>
      <c r="C1475">
        <f>'0372 table 1'!E14</f>
        <v>37290800</v>
      </c>
      <c r="D1475">
        <f>'0372 table 1'!F14</f>
        <v>308.27</v>
      </c>
      <c r="E1475">
        <f>'0372 table 1'!G14</f>
        <v>618.80000000000007</v>
      </c>
      <c r="G1475">
        <v>37290800</v>
      </c>
    </row>
    <row r="1476" spans="1:7" x14ac:dyDescent="0.35">
      <c r="A1476">
        <v>372</v>
      </c>
      <c r="B1476">
        <v>1</v>
      </c>
      <c r="C1476">
        <f>'0372 table 1'!E15</f>
        <v>10506300</v>
      </c>
      <c r="D1476">
        <f>'0372 table 1'!F15</f>
        <v>260.58</v>
      </c>
      <c r="E1476">
        <f>'0372 table 1'!G15</f>
        <v>661.1</v>
      </c>
      <c r="G1476">
        <v>10506300</v>
      </c>
    </row>
    <row r="1477" spans="1:7" x14ac:dyDescent="0.35">
      <c r="A1477">
        <v>372</v>
      </c>
      <c r="B1477">
        <v>1</v>
      </c>
      <c r="C1477">
        <f>'0372 table 1'!E16</f>
        <v>17380000</v>
      </c>
      <c r="D1477">
        <f>'0372 table 1'!F16</f>
        <v>263.91999999999996</v>
      </c>
      <c r="E1477">
        <f>'0372 table 1'!G16</f>
        <v>660.90000000000009</v>
      </c>
      <c r="G1477">
        <v>17380000</v>
      </c>
    </row>
    <row r="1478" spans="1:7" x14ac:dyDescent="0.35">
      <c r="A1478">
        <v>372</v>
      </c>
      <c r="B1478">
        <v>1</v>
      </c>
      <c r="C1478">
        <f>'0372 table 1'!E17</f>
        <v>27592399.999999996</v>
      </c>
      <c r="D1478">
        <f>'0372 table 1'!F17</f>
        <v>268.96999999999997</v>
      </c>
      <c r="E1478">
        <f>'0372 table 1'!G17</f>
        <v>660.6</v>
      </c>
      <c r="G1478">
        <v>27592399.999999996</v>
      </c>
    </row>
    <row r="1479" spans="1:7" x14ac:dyDescent="0.35">
      <c r="A1479">
        <v>372</v>
      </c>
      <c r="B1479">
        <v>1</v>
      </c>
      <c r="C1479">
        <f>'0372 table 1'!E18</f>
        <v>35348000</v>
      </c>
      <c r="D1479">
        <f>'0372 table 1'!F18</f>
        <v>272.85999999999996</v>
      </c>
      <c r="E1479">
        <f>'0372 table 1'!G18</f>
        <v>660.4</v>
      </c>
      <c r="G1479">
        <v>35348000</v>
      </c>
    </row>
    <row r="1480" spans="1:7" x14ac:dyDescent="0.35">
      <c r="A1480">
        <v>372</v>
      </c>
      <c r="B1480">
        <v>1</v>
      </c>
      <c r="C1480">
        <f>'0372 table 1'!E19</f>
        <v>4967200</v>
      </c>
      <c r="D1480">
        <f>'0372 table 1'!F19</f>
        <v>223.74999999999997</v>
      </c>
      <c r="E1480">
        <f>'0372 table 1'!G19</f>
        <v>703.2</v>
      </c>
      <c r="G1480">
        <v>4967200</v>
      </c>
    </row>
    <row r="1481" spans="1:7" x14ac:dyDescent="0.35">
      <c r="A1481">
        <v>372</v>
      </c>
      <c r="B1481">
        <v>1</v>
      </c>
      <c r="C1481">
        <f>'0372 table 1'!E20</f>
        <v>8971100</v>
      </c>
      <c r="D1481">
        <f>'0372 table 1'!F20</f>
        <v>225.35999999999999</v>
      </c>
      <c r="E1481">
        <f>'0372 table 1'!G20</f>
        <v>703</v>
      </c>
      <c r="G1481">
        <v>8971100</v>
      </c>
    </row>
    <row r="1482" spans="1:7" x14ac:dyDescent="0.35">
      <c r="A1482">
        <v>372</v>
      </c>
      <c r="B1482">
        <v>1</v>
      </c>
      <c r="C1482">
        <f>'0372 table 1'!E21</f>
        <v>17949400</v>
      </c>
      <c r="D1482">
        <f>'0372 table 1'!F21</f>
        <v>228.89999999999998</v>
      </c>
      <c r="E1482">
        <f>'0372 table 1'!G21</f>
        <v>702.8</v>
      </c>
      <c r="G1482">
        <v>17949400</v>
      </c>
    </row>
    <row r="1483" spans="1:7" x14ac:dyDescent="0.35">
      <c r="A1483">
        <v>372</v>
      </c>
      <c r="B1483">
        <v>1</v>
      </c>
      <c r="C1483">
        <f>'0372 table 1'!E22</f>
        <v>26641699.999999996</v>
      </c>
      <c r="D1483">
        <f>'0372 table 1'!F22</f>
        <v>232.40999999999997</v>
      </c>
      <c r="E1483">
        <f>'0372 table 1'!G22</f>
        <v>702.6</v>
      </c>
      <c r="G1483">
        <v>26641699.999999996</v>
      </c>
    </row>
    <row r="1484" spans="1:7" x14ac:dyDescent="0.35">
      <c r="A1484">
        <v>372</v>
      </c>
      <c r="B1484">
        <v>1</v>
      </c>
      <c r="C1484">
        <f>'0372 table 1'!E23</f>
        <v>33902800</v>
      </c>
      <c r="D1484">
        <f>'0372 table 1'!F23</f>
        <v>235.34999999999997</v>
      </c>
      <c r="E1484">
        <f>'0372 table 1'!G23</f>
        <v>702.40000000000009</v>
      </c>
      <c r="G1484">
        <v>33902800</v>
      </c>
    </row>
    <row r="1485" spans="1:7" x14ac:dyDescent="0.35">
      <c r="A1485">
        <v>373</v>
      </c>
      <c r="B1485">
        <v>4</v>
      </c>
      <c r="C1485">
        <f>'0373 table 4'!E2</f>
        <v>50000000</v>
      </c>
      <c r="D1485">
        <f>'0373 table 4'!F2</f>
        <v>298</v>
      </c>
      <c r="E1485">
        <f>'0373 table 4'!G2</f>
        <v>642.6</v>
      </c>
      <c r="G1485">
        <v>50000000</v>
      </c>
    </row>
    <row r="1486" spans="1:7" x14ac:dyDescent="0.35">
      <c r="A1486">
        <v>373</v>
      </c>
      <c r="B1486">
        <v>4</v>
      </c>
      <c r="C1486">
        <f>'0373 table 4'!E3</f>
        <v>100000000</v>
      </c>
      <c r="D1486">
        <f>'0373 table 4'!F3</f>
        <v>298</v>
      </c>
      <c r="E1486">
        <f>'0373 table 4'!G3</f>
        <v>669.00000000000011</v>
      </c>
      <c r="G1486">
        <v>100000000</v>
      </c>
    </row>
    <row r="1487" spans="1:7" x14ac:dyDescent="0.35">
      <c r="A1487">
        <v>373</v>
      </c>
      <c r="B1487">
        <v>4</v>
      </c>
      <c r="C1487">
        <f>'0373 table 4'!E4</f>
        <v>150000000</v>
      </c>
      <c r="D1487">
        <f>'0373 table 4'!F4</f>
        <v>298</v>
      </c>
      <c r="E1487">
        <f>'0373 table 4'!G4</f>
        <v>689.8</v>
      </c>
      <c r="G1487">
        <v>150000000</v>
      </c>
    </row>
    <row r="1488" spans="1:7" x14ac:dyDescent="0.35">
      <c r="A1488">
        <v>373</v>
      </c>
      <c r="B1488">
        <v>4</v>
      </c>
      <c r="C1488">
        <f>'0373 table 4'!E5</f>
        <v>200000000</v>
      </c>
      <c r="D1488">
        <f>'0373 table 4'!F5</f>
        <v>298</v>
      </c>
      <c r="E1488">
        <f>'0373 table 4'!G5</f>
        <v>707.2</v>
      </c>
      <c r="G1488">
        <v>200000000</v>
      </c>
    </row>
    <row r="1489" spans="1:7" x14ac:dyDescent="0.35">
      <c r="A1489">
        <v>373</v>
      </c>
      <c r="B1489">
        <v>4</v>
      </c>
      <c r="C1489">
        <f>'0373 table 4'!E6</f>
        <v>300000000</v>
      </c>
      <c r="D1489">
        <f>'0373 table 4'!F6</f>
        <v>298</v>
      </c>
      <c r="E1489">
        <f>'0373 table 4'!G6</f>
        <v>735.7</v>
      </c>
      <c r="G1489">
        <v>300000000</v>
      </c>
    </row>
    <row r="1490" spans="1:7" x14ac:dyDescent="0.35">
      <c r="A1490">
        <v>373</v>
      </c>
      <c r="B1490">
        <v>4</v>
      </c>
      <c r="C1490">
        <f>'0373 table 4'!E7</f>
        <v>400000000</v>
      </c>
      <c r="D1490">
        <f>'0373 table 4'!F7</f>
        <v>298</v>
      </c>
      <c r="E1490">
        <f>'0373 table 4'!G7</f>
        <v>758.1</v>
      </c>
      <c r="G1490">
        <v>400000000</v>
      </c>
    </row>
    <row r="1491" spans="1:7" x14ac:dyDescent="0.35">
      <c r="A1491">
        <v>373</v>
      </c>
      <c r="B1491">
        <v>4</v>
      </c>
      <c r="C1491">
        <f>'0373 table 4'!E8</f>
        <v>500000000</v>
      </c>
      <c r="D1491">
        <f>'0373 table 4'!F8</f>
        <v>298</v>
      </c>
      <c r="E1491">
        <f>'0373 table 4'!G8</f>
        <v>776.1</v>
      </c>
      <c r="G1491">
        <v>500000000</v>
      </c>
    </row>
    <row r="1492" spans="1:7" x14ac:dyDescent="0.35">
      <c r="A1492">
        <v>373</v>
      </c>
      <c r="B1492">
        <v>4</v>
      </c>
      <c r="C1492">
        <f>'0373 table 4'!E9</f>
        <v>600000000</v>
      </c>
      <c r="D1492">
        <f>'0373 table 4'!F9</f>
        <v>298</v>
      </c>
      <c r="E1492">
        <f>'0373 table 4'!G9</f>
        <v>791.40000000000009</v>
      </c>
      <c r="G1492">
        <v>600000000</v>
      </c>
    </row>
    <row r="1493" spans="1:7" x14ac:dyDescent="0.35">
      <c r="A1493">
        <v>373</v>
      </c>
      <c r="B1493">
        <v>4</v>
      </c>
      <c r="C1493">
        <f>'0373 table 4'!E10</f>
        <v>700000000</v>
      </c>
      <c r="D1493">
        <f>'0373 table 4'!F10</f>
        <v>298</v>
      </c>
      <c r="E1493">
        <f>'0373 table 4'!G10</f>
        <v>804</v>
      </c>
      <c r="G1493">
        <v>700000000</v>
      </c>
    </row>
    <row r="1494" spans="1:7" x14ac:dyDescent="0.35">
      <c r="A1494">
        <v>373</v>
      </c>
      <c r="B1494">
        <v>4</v>
      </c>
      <c r="C1494">
        <f>'0373 table 4'!E11</f>
        <v>800000000</v>
      </c>
      <c r="D1494">
        <f>'0373 table 4'!F11</f>
        <v>298</v>
      </c>
      <c r="E1494">
        <f>'0373 table 4'!G11</f>
        <v>814.8</v>
      </c>
      <c r="G1494">
        <v>800000000</v>
      </c>
    </row>
    <row r="1495" spans="1:7" x14ac:dyDescent="0.35">
      <c r="A1495">
        <v>373</v>
      </c>
      <c r="B1495">
        <v>4</v>
      </c>
      <c r="C1495">
        <f>'0373 table 4'!E12</f>
        <v>900000000</v>
      </c>
      <c r="D1495">
        <f>'0373 table 4'!F12</f>
        <v>298</v>
      </c>
      <c r="E1495">
        <f>'0373 table 4'!G12</f>
        <v>825.9</v>
      </c>
      <c r="G1495">
        <v>900000000</v>
      </c>
    </row>
    <row r="1496" spans="1:7" x14ac:dyDescent="0.35">
      <c r="A1496">
        <v>373</v>
      </c>
      <c r="B1496">
        <v>4</v>
      </c>
      <c r="C1496">
        <f>'0373 table 4'!E13</f>
        <v>950000000</v>
      </c>
      <c r="D1496">
        <f>'0373 table 4'!F13</f>
        <v>298</v>
      </c>
      <c r="E1496">
        <f>'0373 table 4'!G13</f>
        <v>828.7</v>
      </c>
      <c r="G1496">
        <v>950000000</v>
      </c>
    </row>
    <row r="1497" spans="1:7" x14ac:dyDescent="0.35">
      <c r="A1497">
        <v>373</v>
      </c>
      <c r="B1497">
        <v>4</v>
      </c>
      <c r="C1497">
        <f>'0373 table 4'!E14</f>
        <v>50000000</v>
      </c>
      <c r="D1497">
        <f>'0373 table 4'!F14</f>
        <v>323</v>
      </c>
      <c r="E1497">
        <f>'0373 table 4'!G14</f>
        <v>612.1</v>
      </c>
      <c r="G1497">
        <v>50000000</v>
      </c>
    </row>
    <row r="1498" spans="1:7" x14ac:dyDescent="0.35">
      <c r="A1498">
        <v>373</v>
      </c>
      <c r="B1498">
        <v>4</v>
      </c>
      <c r="C1498">
        <f>'0373 table 4'!E15</f>
        <v>100000000</v>
      </c>
      <c r="D1498">
        <f>'0373 table 4'!F15</f>
        <v>323</v>
      </c>
      <c r="E1498">
        <f>'0373 table 4'!G15</f>
        <v>644.4</v>
      </c>
      <c r="G1498">
        <v>100000000</v>
      </c>
    </row>
    <row r="1499" spans="1:7" x14ac:dyDescent="0.35">
      <c r="A1499">
        <v>373</v>
      </c>
      <c r="B1499">
        <v>4</v>
      </c>
      <c r="C1499">
        <f>'0373 table 4'!E16</f>
        <v>150000000</v>
      </c>
      <c r="D1499">
        <f>'0373 table 4'!F16</f>
        <v>323</v>
      </c>
      <c r="E1499">
        <f>'0373 table 4'!G16</f>
        <v>667.7</v>
      </c>
      <c r="G1499">
        <v>150000000</v>
      </c>
    </row>
    <row r="1500" spans="1:7" x14ac:dyDescent="0.35">
      <c r="A1500">
        <v>373</v>
      </c>
      <c r="B1500">
        <v>4</v>
      </c>
      <c r="C1500">
        <f>'0373 table 4'!E17</f>
        <v>200000000</v>
      </c>
      <c r="D1500">
        <f>'0373 table 4'!F17</f>
        <v>323</v>
      </c>
      <c r="E1500">
        <f>'0373 table 4'!G17</f>
        <v>686.4</v>
      </c>
      <c r="G1500">
        <v>200000000</v>
      </c>
    </row>
    <row r="1501" spans="1:7" x14ac:dyDescent="0.35">
      <c r="A1501">
        <v>373</v>
      </c>
      <c r="B1501">
        <v>4</v>
      </c>
      <c r="C1501">
        <f>'0373 table 4'!E18</f>
        <v>300000000</v>
      </c>
      <c r="D1501">
        <f>'0373 table 4'!F18</f>
        <v>323</v>
      </c>
      <c r="E1501">
        <f>'0373 table 4'!G18</f>
        <v>717.09999999999991</v>
      </c>
      <c r="G1501">
        <v>300000000</v>
      </c>
    </row>
    <row r="1502" spans="1:7" x14ac:dyDescent="0.35">
      <c r="A1502">
        <v>373</v>
      </c>
      <c r="B1502">
        <v>4</v>
      </c>
      <c r="C1502">
        <f>'0373 table 4'!E19</f>
        <v>400000000</v>
      </c>
      <c r="D1502">
        <f>'0373 table 4'!F19</f>
        <v>323</v>
      </c>
      <c r="E1502">
        <f>'0373 table 4'!G19</f>
        <v>741.80000000000007</v>
      </c>
      <c r="G1502">
        <v>400000000</v>
      </c>
    </row>
    <row r="1503" spans="1:7" x14ac:dyDescent="0.35">
      <c r="A1503">
        <v>373</v>
      </c>
      <c r="B1503">
        <v>4</v>
      </c>
      <c r="C1503">
        <f>'0373 table 4'!E20</f>
        <v>500000000</v>
      </c>
      <c r="D1503">
        <f>'0373 table 4'!F20</f>
        <v>323</v>
      </c>
      <c r="E1503">
        <f>'0373 table 4'!G20</f>
        <v>761.4</v>
      </c>
      <c r="G1503">
        <v>500000000</v>
      </c>
    </row>
    <row r="1504" spans="1:7" x14ac:dyDescent="0.35">
      <c r="A1504">
        <v>373</v>
      </c>
      <c r="B1504">
        <v>4</v>
      </c>
      <c r="C1504">
        <f>'0373 table 4'!E21</f>
        <v>600000000</v>
      </c>
      <c r="D1504">
        <f>'0373 table 4'!F21</f>
        <v>323</v>
      </c>
      <c r="E1504">
        <f>'0373 table 4'!G21</f>
        <v>777.2</v>
      </c>
      <c r="G1504">
        <v>600000000</v>
      </c>
    </row>
    <row r="1505" spans="1:7" x14ac:dyDescent="0.35">
      <c r="A1505">
        <v>373</v>
      </c>
      <c r="B1505">
        <v>4</v>
      </c>
      <c r="C1505">
        <f>'0373 table 4'!E22</f>
        <v>700000000</v>
      </c>
      <c r="D1505">
        <f>'0373 table 4'!F22</f>
        <v>323</v>
      </c>
      <c r="E1505">
        <f>'0373 table 4'!G22</f>
        <v>790.1</v>
      </c>
      <c r="G1505">
        <v>700000000</v>
      </c>
    </row>
    <row r="1506" spans="1:7" x14ac:dyDescent="0.35">
      <c r="A1506">
        <v>373</v>
      </c>
      <c r="B1506">
        <v>4</v>
      </c>
      <c r="C1506">
        <f>'0373 table 4'!E23</f>
        <v>800000000</v>
      </c>
      <c r="D1506">
        <f>'0373 table 4'!F23</f>
        <v>323</v>
      </c>
      <c r="E1506">
        <f>'0373 table 4'!G23</f>
        <v>801.5</v>
      </c>
      <c r="G1506">
        <v>800000000</v>
      </c>
    </row>
    <row r="1507" spans="1:7" x14ac:dyDescent="0.35">
      <c r="A1507">
        <v>373</v>
      </c>
      <c r="B1507">
        <v>4</v>
      </c>
      <c r="C1507">
        <f>'0373 table 4'!E24</f>
        <v>900000000</v>
      </c>
      <c r="D1507">
        <f>'0373 table 4'!F24</f>
        <v>323</v>
      </c>
      <c r="E1507">
        <f>'0373 table 4'!G24</f>
        <v>812.1</v>
      </c>
      <c r="G1507">
        <v>900000000</v>
      </c>
    </row>
    <row r="1508" spans="1:7" x14ac:dyDescent="0.35">
      <c r="A1508">
        <v>373</v>
      </c>
      <c r="B1508">
        <v>4</v>
      </c>
      <c r="C1508">
        <f>'0373 table 4'!E25</f>
        <v>950000000</v>
      </c>
      <c r="D1508">
        <f>'0373 table 4'!F25</f>
        <v>323</v>
      </c>
      <c r="E1508">
        <f>'0373 table 4'!G25</f>
        <v>811.69999999999993</v>
      </c>
      <c r="G1508">
        <v>950000000</v>
      </c>
    </row>
    <row r="1509" spans="1:7" x14ac:dyDescent="0.35">
      <c r="A1509">
        <v>373</v>
      </c>
      <c r="B1509">
        <v>4</v>
      </c>
      <c r="C1509">
        <f>'0373 table 4'!E26</f>
        <v>50000000</v>
      </c>
      <c r="D1509">
        <f>'0373 table 4'!F26</f>
        <v>373</v>
      </c>
      <c r="E1509">
        <f>'0373 table 4'!G26</f>
        <v>548.79999999999995</v>
      </c>
      <c r="G1509">
        <v>50000000</v>
      </c>
    </row>
    <row r="1510" spans="1:7" x14ac:dyDescent="0.35">
      <c r="A1510">
        <v>373</v>
      </c>
      <c r="B1510">
        <v>4</v>
      </c>
      <c r="C1510">
        <f>'0373 table 4'!E27</f>
        <v>100000000</v>
      </c>
      <c r="D1510">
        <f>'0373 table 4'!F27</f>
        <v>373</v>
      </c>
      <c r="E1510">
        <f>'0373 table 4'!G27</f>
        <v>594.50000000000011</v>
      </c>
      <c r="G1510">
        <v>100000000</v>
      </c>
    </row>
    <row r="1511" spans="1:7" x14ac:dyDescent="0.35">
      <c r="A1511">
        <v>373</v>
      </c>
      <c r="B1511">
        <v>4</v>
      </c>
      <c r="C1511">
        <f>'0373 table 4'!E28</f>
        <v>150000000</v>
      </c>
      <c r="D1511">
        <f>'0373 table 4'!F28</f>
        <v>373</v>
      </c>
      <c r="E1511">
        <f>'0373 table 4'!G28</f>
        <v>625.09999999999991</v>
      </c>
      <c r="G1511">
        <v>150000000</v>
      </c>
    </row>
    <row r="1512" spans="1:7" x14ac:dyDescent="0.35">
      <c r="A1512">
        <v>373</v>
      </c>
      <c r="B1512">
        <v>4</v>
      </c>
      <c r="C1512">
        <f>'0373 table 4'!E29</f>
        <v>200000000</v>
      </c>
      <c r="D1512">
        <f>'0373 table 4'!F29</f>
        <v>373</v>
      </c>
      <c r="E1512">
        <f>'0373 table 4'!G29</f>
        <v>648.70000000000005</v>
      </c>
      <c r="G1512">
        <v>200000000</v>
      </c>
    </row>
    <row r="1513" spans="1:7" x14ac:dyDescent="0.35">
      <c r="A1513">
        <v>373</v>
      </c>
      <c r="B1513">
        <v>4</v>
      </c>
      <c r="C1513">
        <f>'0373 table 4'!E30</f>
        <v>300000000</v>
      </c>
      <c r="D1513">
        <f>'0373 table 4'!F30</f>
        <v>373</v>
      </c>
      <c r="E1513">
        <f>'0373 table 4'!G30</f>
        <v>686.4</v>
      </c>
      <c r="G1513">
        <v>300000000</v>
      </c>
    </row>
    <row r="1514" spans="1:7" x14ac:dyDescent="0.35">
      <c r="A1514">
        <v>373</v>
      </c>
      <c r="B1514">
        <v>4</v>
      </c>
      <c r="C1514">
        <f>'0373 table 4'!E31</f>
        <v>400000000</v>
      </c>
      <c r="D1514">
        <f>'0373 table 4'!F31</f>
        <v>373</v>
      </c>
      <c r="E1514">
        <f>'0373 table 4'!G31</f>
        <v>715.80000000000007</v>
      </c>
      <c r="G1514">
        <v>400000000</v>
      </c>
    </row>
    <row r="1515" spans="1:7" x14ac:dyDescent="0.35">
      <c r="A1515">
        <v>373</v>
      </c>
      <c r="B1515">
        <v>4</v>
      </c>
      <c r="C1515">
        <f>'0373 table 4'!E32</f>
        <v>500000000</v>
      </c>
      <c r="D1515">
        <f>'0373 table 4'!F32</f>
        <v>373</v>
      </c>
      <c r="E1515">
        <f>'0373 table 4'!G32</f>
        <v>739.7</v>
      </c>
      <c r="G1515">
        <v>500000000</v>
      </c>
    </row>
    <row r="1516" spans="1:7" x14ac:dyDescent="0.35">
      <c r="A1516">
        <v>373</v>
      </c>
      <c r="B1516">
        <v>4</v>
      </c>
      <c r="C1516">
        <f>'0373 table 4'!E33</f>
        <v>600000000</v>
      </c>
      <c r="D1516">
        <f>'0373 table 4'!F33</f>
        <v>373</v>
      </c>
      <c r="E1516">
        <f>'0373 table 4'!G33</f>
        <v>761.9</v>
      </c>
      <c r="G1516">
        <v>600000000</v>
      </c>
    </row>
    <row r="1517" spans="1:7" x14ac:dyDescent="0.35">
      <c r="A1517">
        <v>373</v>
      </c>
      <c r="B1517">
        <v>4</v>
      </c>
      <c r="C1517">
        <f>'0373 table 4'!E34</f>
        <v>700000000</v>
      </c>
      <c r="D1517">
        <f>'0373 table 4'!F34</f>
        <v>373</v>
      </c>
      <c r="E1517">
        <f>'0373 table 4'!G34</f>
        <v>782.2</v>
      </c>
      <c r="G1517">
        <v>700000000</v>
      </c>
    </row>
    <row r="1518" spans="1:7" x14ac:dyDescent="0.35">
      <c r="A1518">
        <v>373</v>
      </c>
      <c r="B1518">
        <v>4</v>
      </c>
      <c r="C1518">
        <f>'0373 table 4'!E35</f>
        <v>800000000</v>
      </c>
      <c r="D1518">
        <f>'0373 table 4'!F35</f>
        <v>373</v>
      </c>
      <c r="E1518">
        <f>'0373 table 4'!G35</f>
        <v>799.5</v>
      </c>
      <c r="G1518">
        <v>800000000</v>
      </c>
    </row>
    <row r="1519" spans="1:7" x14ac:dyDescent="0.35">
      <c r="A1519">
        <v>373</v>
      </c>
      <c r="B1519">
        <v>4</v>
      </c>
      <c r="C1519">
        <f>'0373 table 4'!E36</f>
        <v>900000000</v>
      </c>
      <c r="D1519">
        <f>'0373 table 4'!F36</f>
        <v>373</v>
      </c>
      <c r="E1519">
        <f>'0373 table 4'!G36</f>
        <v>817.80000000000007</v>
      </c>
      <c r="G1519">
        <v>900000000</v>
      </c>
    </row>
    <row r="1520" spans="1:7" x14ac:dyDescent="0.35">
      <c r="A1520">
        <v>373</v>
      </c>
      <c r="B1520">
        <v>4</v>
      </c>
      <c r="C1520">
        <f>'0373 table 4'!E37</f>
        <v>950000000</v>
      </c>
      <c r="D1520">
        <f>'0373 table 4'!F37</f>
        <v>373</v>
      </c>
      <c r="E1520">
        <f>'0373 table 4'!G37</f>
        <v>823.8</v>
      </c>
      <c r="G1520">
        <v>950000000</v>
      </c>
    </row>
    <row r="1521" spans="1:7" x14ac:dyDescent="0.35">
      <c r="A1521">
        <v>373</v>
      </c>
      <c r="B1521">
        <v>4</v>
      </c>
      <c r="C1521">
        <f>'0373 table 4'!E38</f>
        <v>50000000</v>
      </c>
      <c r="D1521">
        <f>'0373 table 4'!F38</f>
        <v>423</v>
      </c>
      <c r="E1521">
        <f>'0373 table 4'!G38</f>
        <v>479.7</v>
      </c>
      <c r="G1521">
        <v>50000000</v>
      </c>
    </row>
    <row r="1522" spans="1:7" x14ac:dyDescent="0.35">
      <c r="A1522">
        <v>373</v>
      </c>
      <c r="B1522">
        <v>4</v>
      </c>
      <c r="C1522">
        <f>'0373 table 4'!E39</f>
        <v>100000000</v>
      </c>
      <c r="D1522">
        <f>'0373 table 4'!F39</f>
        <v>423</v>
      </c>
      <c r="E1522">
        <f>'0373 table 4'!G39</f>
        <v>543.90000000000009</v>
      </c>
      <c r="G1522">
        <v>100000000</v>
      </c>
    </row>
    <row r="1523" spans="1:7" x14ac:dyDescent="0.35">
      <c r="A1523">
        <v>373</v>
      </c>
      <c r="B1523">
        <v>4</v>
      </c>
      <c r="C1523">
        <f>'0373 table 4'!E40</f>
        <v>150000000</v>
      </c>
      <c r="D1523">
        <f>'0373 table 4'!F40</f>
        <v>423</v>
      </c>
      <c r="E1523">
        <f>'0373 table 4'!G40</f>
        <v>581.30000000000007</v>
      </c>
      <c r="G1523">
        <v>150000000</v>
      </c>
    </row>
    <row r="1524" spans="1:7" x14ac:dyDescent="0.35">
      <c r="A1524">
        <v>373</v>
      </c>
      <c r="B1524">
        <v>4</v>
      </c>
      <c r="C1524">
        <f>'0373 table 4'!E41</f>
        <v>200000000</v>
      </c>
      <c r="D1524">
        <f>'0373 table 4'!F41</f>
        <v>423</v>
      </c>
      <c r="E1524">
        <f>'0373 table 4'!G41</f>
        <v>610.29999999999995</v>
      </c>
      <c r="G1524">
        <v>200000000</v>
      </c>
    </row>
    <row r="1525" spans="1:7" x14ac:dyDescent="0.35">
      <c r="A1525">
        <v>373</v>
      </c>
      <c r="B1525">
        <v>4</v>
      </c>
      <c r="C1525">
        <f>'0373 table 4'!E42</f>
        <v>300000000</v>
      </c>
      <c r="D1525">
        <f>'0373 table 4'!F42</f>
        <v>423</v>
      </c>
      <c r="E1525">
        <f>'0373 table 4'!G42</f>
        <v>653.5</v>
      </c>
      <c r="G1525">
        <v>300000000</v>
      </c>
    </row>
    <row r="1526" spans="1:7" x14ac:dyDescent="0.35">
      <c r="A1526">
        <v>373</v>
      </c>
      <c r="B1526">
        <v>4</v>
      </c>
      <c r="C1526">
        <f>'0373 table 4'!E43</f>
        <v>400000000</v>
      </c>
      <c r="D1526">
        <f>'0373 table 4'!F43</f>
        <v>423</v>
      </c>
      <c r="E1526">
        <f>'0373 table 4'!G43</f>
        <v>685.7</v>
      </c>
      <c r="G1526">
        <v>400000000</v>
      </c>
    </row>
    <row r="1527" spans="1:7" x14ac:dyDescent="0.35">
      <c r="A1527">
        <v>373</v>
      </c>
      <c r="B1527">
        <v>4</v>
      </c>
      <c r="C1527">
        <f>'0373 table 4'!E44</f>
        <v>500000000</v>
      </c>
      <c r="D1527">
        <f>'0373 table 4'!F44</f>
        <v>423</v>
      </c>
      <c r="E1527">
        <f>'0373 table 4'!G44</f>
        <v>712.30000000000007</v>
      </c>
      <c r="G1527">
        <v>500000000</v>
      </c>
    </row>
    <row r="1528" spans="1:7" x14ac:dyDescent="0.35">
      <c r="A1528">
        <v>373</v>
      </c>
      <c r="B1528">
        <v>4</v>
      </c>
      <c r="C1528">
        <f>'0373 table 4'!E45</f>
        <v>600000000</v>
      </c>
      <c r="D1528">
        <f>'0373 table 4'!F45</f>
        <v>423</v>
      </c>
      <c r="E1528">
        <f>'0373 table 4'!G45</f>
        <v>734.5</v>
      </c>
      <c r="G1528">
        <v>600000000</v>
      </c>
    </row>
    <row r="1529" spans="1:7" x14ac:dyDescent="0.35">
      <c r="A1529">
        <v>373</v>
      </c>
      <c r="B1529">
        <v>4</v>
      </c>
      <c r="C1529">
        <f>'0373 table 4'!E46</f>
        <v>700000000</v>
      </c>
      <c r="D1529">
        <f>'0373 table 4'!F46</f>
        <v>423</v>
      </c>
      <c r="E1529">
        <f>'0373 table 4'!G46</f>
        <v>754.80000000000007</v>
      </c>
      <c r="G1529">
        <v>700000000</v>
      </c>
    </row>
    <row r="1530" spans="1:7" x14ac:dyDescent="0.35">
      <c r="A1530">
        <v>373</v>
      </c>
      <c r="B1530">
        <v>4</v>
      </c>
      <c r="C1530">
        <f>'0373 table 4'!E47</f>
        <v>800000000</v>
      </c>
      <c r="D1530">
        <f>'0373 table 4'!F47</f>
        <v>423</v>
      </c>
      <c r="E1530">
        <f>'0373 table 4'!G47</f>
        <v>772.90000000000009</v>
      </c>
      <c r="G1530">
        <v>800000000</v>
      </c>
    </row>
    <row r="1531" spans="1:7" x14ac:dyDescent="0.35">
      <c r="A1531">
        <v>373</v>
      </c>
      <c r="B1531">
        <v>4</v>
      </c>
      <c r="C1531">
        <f>'0373 table 4'!E48</f>
        <v>900000000</v>
      </c>
      <c r="D1531">
        <f>'0373 table 4'!F48</f>
        <v>423</v>
      </c>
      <c r="E1531">
        <f>'0373 table 4'!G48</f>
        <v>782.90000000000009</v>
      </c>
      <c r="G1531">
        <v>900000000</v>
      </c>
    </row>
    <row r="1532" spans="1:7" x14ac:dyDescent="0.35">
      <c r="A1532">
        <v>373</v>
      </c>
      <c r="B1532">
        <v>4</v>
      </c>
      <c r="C1532">
        <f>'0373 table 4'!E49</f>
        <v>950000000</v>
      </c>
      <c r="D1532">
        <f>'0373 table 4'!F49</f>
        <v>423</v>
      </c>
      <c r="E1532">
        <f>'0373 table 4'!G49</f>
        <v>794.2</v>
      </c>
      <c r="G1532">
        <v>950000000</v>
      </c>
    </row>
    <row r="1533" spans="1:7" x14ac:dyDescent="0.35">
      <c r="A1533">
        <v>373</v>
      </c>
      <c r="B1533">
        <v>4</v>
      </c>
      <c r="C1533">
        <f>'0373 table 4'!E50</f>
        <v>100000000</v>
      </c>
      <c r="D1533">
        <f>'0373 table 4'!F50</f>
        <v>473</v>
      </c>
      <c r="E1533">
        <f>'0373 table 4'!G50</f>
        <v>492.80000000000007</v>
      </c>
      <c r="G1533">
        <v>100000000</v>
      </c>
    </row>
    <row r="1534" spans="1:7" x14ac:dyDescent="0.35">
      <c r="A1534">
        <v>373</v>
      </c>
      <c r="B1534">
        <v>4</v>
      </c>
      <c r="C1534">
        <f>'0373 table 4'!E51</f>
        <v>150000000</v>
      </c>
      <c r="D1534">
        <f>'0373 table 4'!F51</f>
        <v>473</v>
      </c>
      <c r="E1534">
        <f>'0373 table 4'!G51</f>
        <v>539.00000000000011</v>
      </c>
      <c r="G1534">
        <v>150000000</v>
      </c>
    </row>
    <row r="1535" spans="1:7" x14ac:dyDescent="0.35">
      <c r="A1535">
        <v>373</v>
      </c>
      <c r="B1535">
        <v>4</v>
      </c>
      <c r="C1535">
        <f>'0373 table 4'!E52</f>
        <v>200000000</v>
      </c>
      <c r="D1535">
        <f>'0373 table 4'!F52</f>
        <v>473</v>
      </c>
      <c r="E1535">
        <f>'0373 table 4'!G52</f>
        <v>573.10000000000014</v>
      </c>
      <c r="G1535">
        <v>200000000</v>
      </c>
    </row>
    <row r="1536" spans="1:7" x14ac:dyDescent="0.35">
      <c r="A1536">
        <v>373</v>
      </c>
      <c r="B1536">
        <v>4</v>
      </c>
      <c r="C1536">
        <f>'0373 table 4'!E53</f>
        <v>300000000</v>
      </c>
      <c r="D1536">
        <f>'0373 table 4'!F53</f>
        <v>473</v>
      </c>
      <c r="E1536">
        <f>'0373 table 4'!G53</f>
        <v>621.80000000000007</v>
      </c>
      <c r="G1536">
        <v>300000000</v>
      </c>
    </row>
    <row r="1537" spans="1:7" x14ac:dyDescent="0.35">
      <c r="A1537">
        <v>373</v>
      </c>
      <c r="B1537">
        <v>4</v>
      </c>
      <c r="C1537">
        <f>'0373 table 4'!E54</f>
        <v>400000000</v>
      </c>
      <c r="D1537">
        <f>'0373 table 4'!F54</f>
        <v>473</v>
      </c>
      <c r="E1537">
        <f>'0373 table 4'!G54</f>
        <v>656</v>
      </c>
      <c r="G1537">
        <v>400000000</v>
      </c>
    </row>
    <row r="1538" spans="1:7" x14ac:dyDescent="0.35">
      <c r="A1538">
        <v>373</v>
      </c>
      <c r="B1538">
        <v>4</v>
      </c>
      <c r="C1538">
        <f>'0373 table 4'!E55</f>
        <v>500000000</v>
      </c>
      <c r="D1538">
        <f>'0373 table 4'!F55</f>
        <v>473</v>
      </c>
      <c r="E1538">
        <f>'0373 table 4'!G55</f>
        <v>684.6</v>
      </c>
      <c r="G1538">
        <v>500000000</v>
      </c>
    </row>
    <row r="1539" spans="1:7" x14ac:dyDescent="0.35">
      <c r="A1539">
        <v>373</v>
      </c>
      <c r="B1539">
        <v>4</v>
      </c>
      <c r="C1539">
        <f>'0373 table 4'!E56</f>
        <v>600000000</v>
      </c>
      <c r="D1539">
        <f>'0373 table 4'!F56</f>
        <v>473</v>
      </c>
      <c r="E1539">
        <f>'0373 table 4'!G56</f>
        <v>707.40000000000009</v>
      </c>
      <c r="G1539">
        <v>600000000</v>
      </c>
    </row>
    <row r="1540" spans="1:7" x14ac:dyDescent="0.35">
      <c r="A1540">
        <v>373</v>
      </c>
      <c r="B1540">
        <v>4</v>
      </c>
      <c r="C1540">
        <f>'0373 table 4'!E57</f>
        <v>700000000</v>
      </c>
      <c r="D1540">
        <f>'0373 table 4'!F57</f>
        <v>473</v>
      </c>
      <c r="E1540">
        <f>'0373 table 4'!G57</f>
        <v>725.9</v>
      </c>
      <c r="G1540">
        <v>700000000</v>
      </c>
    </row>
    <row r="1541" spans="1:7" x14ac:dyDescent="0.35">
      <c r="A1541">
        <v>373</v>
      </c>
      <c r="B1541">
        <v>4</v>
      </c>
      <c r="C1541">
        <f>'0373 table 4'!E58</f>
        <v>800000000</v>
      </c>
      <c r="D1541">
        <f>'0373 table 4'!F58</f>
        <v>473</v>
      </c>
      <c r="E1541">
        <f>'0373 table 4'!G58</f>
        <v>743.5</v>
      </c>
      <c r="G1541">
        <v>800000000</v>
      </c>
    </row>
    <row r="1542" spans="1:7" x14ac:dyDescent="0.35">
      <c r="A1542">
        <v>373</v>
      </c>
      <c r="B1542">
        <v>4</v>
      </c>
      <c r="C1542">
        <f>'0373 table 4'!E59</f>
        <v>900000000</v>
      </c>
      <c r="D1542">
        <f>'0373 table 4'!F59</f>
        <v>473</v>
      </c>
      <c r="E1542">
        <f>'0373 table 4'!G59</f>
        <v>756</v>
      </c>
      <c r="G1542">
        <v>900000000</v>
      </c>
    </row>
    <row r="1543" spans="1:7" x14ac:dyDescent="0.35">
      <c r="A1543">
        <v>373</v>
      </c>
      <c r="B1543">
        <v>4</v>
      </c>
      <c r="C1543">
        <f>'0373 table 4'!E60</f>
        <v>100000000</v>
      </c>
      <c r="D1543">
        <f>'0373 table 4'!F60</f>
        <v>523</v>
      </c>
      <c r="E1543">
        <f>'0373 table 4'!G60</f>
        <v>440.3</v>
      </c>
      <c r="G1543">
        <v>100000000</v>
      </c>
    </row>
    <row r="1544" spans="1:7" x14ac:dyDescent="0.35">
      <c r="A1544">
        <v>373</v>
      </c>
      <c r="B1544">
        <v>4</v>
      </c>
      <c r="C1544">
        <f>'0373 table 4'!E61</f>
        <v>150000000</v>
      </c>
      <c r="D1544">
        <f>'0373 table 4'!F61</f>
        <v>523</v>
      </c>
      <c r="E1544">
        <f>'0373 table 4'!G61</f>
        <v>499.30000000000007</v>
      </c>
      <c r="G1544">
        <v>150000000</v>
      </c>
    </row>
    <row r="1545" spans="1:7" x14ac:dyDescent="0.35">
      <c r="A1545">
        <v>373</v>
      </c>
      <c r="B1545">
        <v>4</v>
      </c>
      <c r="C1545">
        <f>'0373 table 4'!E62</f>
        <v>200000000</v>
      </c>
      <c r="D1545">
        <f>'0373 table 4'!F62</f>
        <v>523</v>
      </c>
      <c r="E1545">
        <f>'0373 table 4'!G62</f>
        <v>538.4</v>
      </c>
      <c r="G1545">
        <v>200000000</v>
      </c>
    </row>
    <row r="1546" spans="1:7" x14ac:dyDescent="0.35">
      <c r="A1546">
        <v>373</v>
      </c>
      <c r="B1546">
        <v>4</v>
      </c>
      <c r="C1546">
        <f>'0373 table 4'!E63</f>
        <v>300000000</v>
      </c>
      <c r="D1546">
        <f>'0373 table 4'!F63</f>
        <v>523</v>
      </c>
      <c r="E1546">
        <f>'0373 table 4'!G63</f>
        <v>593.70000000000005</v>
      </c>
      <c r="G1546">
        <v>300000000</v>
      </c>
    </row>
    <row r="1547" spans="1:7" x14ac:dyDescent="0.35">
      <c r="A1547">
        <v>373</v>
      </c>
      <c r="B1547">
        <v>4</v>
      </c>
      <c r="C1547">
        <f>'0373 table 4'!E64</f>
        <v>400000000</v>
      </c>
      <c r="D1547">
        <f>'0373 table 4'!F64</f>
        <v>523</v>
      </c>
      <c r="E1547">
        <f>'0373 table 4'!G64</f>
        <v>634.4</v>
      </c>
      <c r="G1547">
        <v>400000000</v>
      </c>
    </row>
    <row r="1548" spans="1:7" x14ac:dyDescent="0.35">
      <c r="A1548">
        <v>373</v>
      </c>
      <c r="B1548">
        <v>4</v>
      </c>
      <c r="C1548">
        <f>'0373 table 4'!E65</f>
        <v>500000000</v>
      </c>
      <c r="D1548">
        <f>'0373 table 4'!F65</f>
        <v>523</v>
      </c>
      <c r="E1548">
        <f>'0373 table 4'!G65</f>
        <v>669.5</v>
      </c>
      <c r="G1548">
        <v>500000000</v>
      </c>
    </row>
    <row r="1549" spans="1:7" x14ac:dyDescent="0.35">
      <c r="A1549">
        <v>373</v>
      </c>
      <c r="B1549">
        <v>4</v>
      </c>
      <c r="C1549">
        <f>'0373 table 4'!E66</f>
        <v>600000000</v>
      </c>
      <c r="D1549">
        <f>'0373 table 4'!F66</f>
        <v>523</v>
      </c>
      <c r="E1549">
        <f>'0373 table 4'!G66</f>
        <v>699.5</v>
      </c>
      <c r="G1549">
        <v>600000000</v>
      </c>
    </row>
    <row r="1550" spans="1:7" x14ac:dyDescent="0.35">
      <c r="A1550">
        <v>373</v>
      </c>
      <c r="B1550">
        <v>4</v>
      </c>
      <c r="C1550">
        <f>'0373 table 4'!E67</f>
        <v>700000000</v>
      </c>
      <c r="D1550">
        <f>'0373 table 4'!F67</f>
        <v>523</v>
      </c>
      <c r="E1550">
        <f>'0373 table 4'!G67</f>
        <v>726.6</v>
      </c>
      <c r="G1550">
        <v>700000000</v>
      </c>
    </row>
    <row r="1551" spans="1:7" x14ac:dyDescent="0.35">
      <c r="A1551">
        <v>373</v>
      </c>
      <c r="B1551">
        <v>4</v>
      </c>
      <c r="C1551">
        <f>'0373 table 4'!E68</f>
        <v>800000000</v>
      </c>
      <c r="D1551">
        <f>'0373 table 4'!F68</f>
        <v>523</v>
      </c>
      <c r="E1551">
        <f>'0373 table 4'!G68</f>
        <v>751.4</v>
      </c>
      <c r="G1551">
        <v>800000000</v>
      </c>
    </row>
    <row r="1552" spans="1:7" x14ac:dyDescent="0.35">
      <c r="A1552">
        <v>373</v>
      </c>
      <c r="B1552">
        <v>4</v>
      </c>
      <c r="C1552">
        <f>'0373 table 4'!E69</f>
        <v>150000000</v>
      </c>
      <c r="D1552">
        <f>'0373 table 4'!F69</f>
        <v>573</v>
      </c>
      <c r="E1552">
        <f>'0373 table 4'!G69</f>
        <v>461.3</v>
      </c>
      <c r="G1552">
        <v>150000000</v>
      </c>
    </row>
    <row r="1553" spans="1:7" x14ac:dyDescent="0.35">
      <c r="A1553">
        <v>373</v>
      </c>
      <c r="B1553">
        <v>4</v>
      </c>
      <c r="C1553">
        <f>'0373 table 4'!E70</f>
        <v>200000000</v>
      </c>
      <c r="D1553">
        <f>'0373 table 4'!F70</f>
        <v>573</v>
      </c>
      <c r="E1553">
        <f>'0373 table 4'!G70</f>
        <v>504</v>
      </c>
      <c r="G1553">
        <v>200000000</v>
      </c>
    </row>
    <row r="1554" spans="1:7" x14ac:dyDescent="0.35">
      <c r="A1554">
        <v>373</v>
      </c>
      <c r="B1554">
        <v>4</v>
      </c>
      <c r="C1554">
        <f>'0373 table 4'!E71</f>
        <v>300000000</v>
      </c>
      <c r="D1554">
        <f>'0373 table 4'!F71</f>
        <v>573</v>
      </c>
      <c r="E1554">
        <f>'0373 table 4'!G71</f>
        <v>564.29999999999995</v>
      </c>
      <c r="G1554">
        <v>300000000</v>
      </c>
    </row>
    <row r="1555" spans="1:7" x14ac:dyDescent="0.35">
      <c r="A1555">
        <v>373</v>
      </c>
      <c r="B1555">
        <v>4</v>
      </c>
      <c r="C1555">
        <f>'0373 table 4'!E72</f>
        <v>400000000</v>
      </c>
      <c r="D1555">
        <f>'0373 table 4'!F72</f>
        <v>573</v>
      </c>
      <c r="E1555">
        <f>'0373 table 4'!G72</f>
        <v>607.70000000000005</v>
      </c>
      <c r="G1555">
        <v>400000000</v>
      </c>
    </row>
    <row r="1556" spans="1:7" x14ac:dyDescent="0.35">
      <c r="A1556">
        <v>373</v>
      </c>
      <c r="B1556">
        <v>4</v>
      </c>
      <c r="C1556">
        <f>'0373 table 4'!E73</f>
        <v>500000000</v>
      </c>
      <c r="D1556">
        <f>'0373 table 4'!F73</f>
        <v>573</v>
      </c>
      <c r="E1556">
        <f>'0373 table 4'!G73</f>
        <v>642.5</v>
      </c>
      <c r="G1556">
        <v>500000000</v>
      </c>
    </row>
    <row r="1557" spans="1:7" x14ac:dyDescent="0.35">
      <c r="A1557">
        <v>373</v>
      </c>
      <c r="B1557">
        <v>4</v>
      </c>
      <c r="C1557">
        <f>'0373 table 4'!E74</f>
        <v>600000000</v>
      </c>
      <c r="D1557">
        <f>'0373 table 4'!F74</f>
        <v>573</v>
      </c>
      <c r="E1557">
        <f>'0373 table 4'!G74</f>
        <v>672.1</v>
      </c>
      <c r="G1557">
        <v>600000000</v>
      </c>
    </row>
    <row r="1558" spans="1:7" x14ac:dyDescent="0.35">
      <c r="A1558">
        <v>373</v>
      </c>
      <c r="B1558">
        <v>4</v>
      </c>
      <c r="C1558">
        <f>'0373 table 4'!E75</f>
        <v>700000000</v>
      </c>
      <c r="D1558">
        <f>'0373 table 4'!F75</f>
        <v>573</v>
      </c>
      <c r="E1558">
        <f>'0373 table 4'!G75</f>
        <v>697.2</v>
      </c>
      <c r="G1558">
        <v>700000000</v>
      </c>
    </row>
    <row r="1559" spans="1:7" x14ac:dyDescent="0.35">
      <c r="A1559">
        <v>373</v>
      </c>
      <c r="B1559">
        <v>4</v>
      </c>
      <c r="C1559">
        <f>'0373 table 4'!E76</f>
        <v>800000000</v>
      </c>
      <c r="D1559">
        <f>'0373 table 4'!F76</f>
        <v>573</v>
      </c>
      <c r="E1559">
        <f>'0373 table 4'!G76</f>
        <v>719.99999999999989</v>
      </c>
      <c r="G1559">
        <v>800000000</v>
      </c>
    </row>
    <row r="1560" spans="1:7" x14ac:dyDescent="0.35">
      <c r="A1560">
        <v>373</v>
      </c>
      <c r="B1560">
        <v>4</v>
      </c>
      <c r="C1560">
        <f>'0373 table 4'!E77</f>
        <v>150000000</v>
      </c>
      <c r="D1560">
        <f>'0373 table 4'!F77</f>
        <v>623</v>
      </c>
      <c r="E1560">
        <f>'0373 table 4'!G77</f>
        <v>425.59999999999997</v>
      </c>
      <c r="G1560">
        <v>150000000</v>
      </c>
    </row>
    <row r="1561" spans="1:7" x14ac:dyDescent="0.35">
      <c r="A1561">
        <v>373</v>
      </c>
      <c r="B1561">
        <v>4</v>
      </c>
      <c r="C1561">
        <f>'0373 table 4'!E78</f>
        <v>200000000</v>
      </c>
      <c r="D1561">
        <f>'0373 table 4'!F78</f>
        <v>623</v>
      </c>
      <c r="E1561">
        <f>'0373 table 4'!G78</f>
        <v>472.9</v>
      </c>
      <c r="G1561">
        <v>200000000</v>
      </c>
    </row>
    <row r="1562" spans="1:7" x14ac:dyDescent="0.35">
      <c r="A1562">
        <v>373</v>
      </c>
      <c r="B1562">
        <v>4</v>
      </c>
      <c r="C1562">
        <f>'0373 table 4'!E79</f>
        <v>300000000</v>
      </c>
      <c r="D1562">
        <f>'0373 table 4'!F79</f>
        <v>623</v>
      </c>
      <c r="E1562">
        <f>'0373 table 4'!G79</f>
        <v>538.30000000000007</v>
      </c>
      <c r="G1562">
        <v>300000000</v>
      </c>
    </row>
    <row r="1563" spans="1:7" x14ac:dyDescent="0.35">
      <c r="A1563">
        <v>373</v>
      </c>
      <c r="B1563">
        <v>4</v>
      </c>
      <c r="C1563">
        <f>'0373 table 4'!E80</f>
        <v>400000000</v>
      </c>
      <c r="D1563">
        <f>'0373 table 4'!F80</f>
        <v>623</v>
      </c>
      <c r="E1563">
        <f>'0373 table 4'!G80</f>
        <v>583.40000000000009</v>
      </c>
      <c r="G1563">
        <v>400000000</v>
      </c>
    </row>
    <row r="1564" spans="1:7" x14ac:dyDescent="0.35">
      <c r="A1564">
        <v>373</v>
      </c>
      <c r="B1564">
        <v>4</v>
      </c>
      <c r="C1564">
        <f>'0373 table 4'!E81</f>
        <v>500000000</v>
      </c>
      <c r="D1564">
        <f>'0373 table 4'!F81</f>
        <v>623</v>
      </c>
      <c r="E1564">
        <f>'0373 table 4'!G81</f>
        <v>618.6</v>
      </c>
      <c r="G1564">
        <v>500000000</v>
      </c>
    </row>
    <row r="1565" spans="1:7" x14ac:dyDescent="0.35">
      <c r="A1565">
        <v>373</v>
      </c>
      <c r="B1565">
        <v>4</v>
      </c>
      <c r="C1565">
        <f>'0373 table 4'!E82</f>
        <v>600000000</v>
      </c>
      <c r="D1565">
        <f>'0373 table 4'!F82</f>
        <v>623</v>
      </c>
      <c r="E1565">
        <f>'0373 table 4'!G82</f>
        <v>648</v>
      </c>
      <c r="G1565">
        <v>600000000</v>
      </c>
    </row>
    <row r="1566" spans="1:7" x14ac:dyDescent="0.35">
      <c r="A1566">
        <v>373</v>
      </c>
      <c r="B1566">
        <v>4</v>
      </c>
      <c r="C1566">
        <f>'0373 table 4'!E83</f>
        <v>700000000</v>
      </c>
      <c r="D1566">
        <f>'0373 table 4'!F83</f>
        <v>623</v>
      </c>
      <c r="E1566">
        <f>'0373 table 4'!G83</f>
        <v>672.30000000000007</v>
      </c>
      <c r="G1566">
        <v>700000000</v>
      </c>
    </row>
    <row r="1567" spans="1:7" x14ac:dyDescent="0.35">
      <c r="A1567">
        <v>373</v>
      </c>
      <c r="B1567">
        <v>4</v>
      </c>
      <c r="C1567">
        <f>'0373 table 4'!E84</f>
        <v>800000000</v>
      </c>
      <c r="D1567">
        <f>'0373 table 4'!F84</f>
        <v>623</v>
      </c>
      <c r="E1567">
        <f>'0373 table 4'!G84</f>
        <v>694.30000000000007</v>
      </c>
      <c r="G1567">
        <v>800000000</v>
      </c>
    </row>
    <row r="1568" spans="1:7" x14ac:dyDescent="0.35">
      <c r="A1568">
        <v>373</v>
      </c>
      <c r="B1568">
        <v>4</v>
      </c>
      <c r="C1568">
        <f>'0373 table 4'!E85</f>
        <v>150000000</v>
      </c>
      <c r="D1568">
        <f>'0373 table 4'!F85</f>
        <v>673</v>
      </c>
      <c r="E1568">
        <f>'0373 table 4'!G85</f>
        <v>390.3</v>
      </c>
      <c r="G1568">
        <v>150000000</v>
      </c>
    </row>
    <row r="1569" spans="1:7" x14ac:dyDescent="0.35">
      <c r="A1569">
        <v>373</v>
      </c>
      <c r="B1569">
        <v>4</v>
      </c>
      <c r="C1569">
        <f>'0373 table 4'!E86</f>
        <v>200000000</v>
      </c>
      <c r="D1569">
        <f>'0373 table 4'!F86</f>
        <v>673</v>
      </c>
      <c r="E1569">
        <f>'0373 table 4'!G86</f>
        <v>444.40000000000003</v>
      </c>
      <c r="G1569">
        <v>200000000</v>
      </c>
    </row>
    <row r="1570" spans="1:7" x14ac:dyDescent="0.35">
      <c r="A1570">
        <v>373</v>
      </c>
      <c r="B1570">
        <v>4</v>
      </c>
      <c r="C1570">
        <f>'0373 table 4'!E87</f>
        <v>300000000</v>
      </c>
      <c r="D1570">
        <f>'0373 table 4'!F87</f>
        <v>673</v>
      </c>
      <c r="E1570">
        <f>'0373 table 4'!G87</f>
        <v>511.60000000000008</v>
      </c>
      <c r="G1570">
        <v>300000000</v>
      </c>
    </row>
    <row r="1571" spans="1:7" x14ac:dyDescent="0.35">
      <c r="A1571">
        <v>373</v>
      </c>
      <c r="B1571">
        <v>4</v>
      </c>
      <c r="C1571">
        <f>'0373 table 4'!E88</f>
        <v>400000000</v>
      </c>
      <c r="D1571">
        <f>'0373 table 4'!F88</f>
        <v>673</v>
      </c>
      <c r="E1571">
        <f>'0373 table 4'!G88</f>
        <v>560.20000000000005</v>
      </c>
      <c r="G1571">
        <v>400000000</v>
      </c>
    </row>
    <row r="1572" spans="1:7" x14ac:dyDescent="0.35">
      <c r="A1572">
        <v>373</v>
      </c>
      <c r="B1572">
        <v>4</v>
      </c>
      <c r="C1572">
        <f>'0373 table 4'!E89</f>
        <v>500000000</v>
      </c>
      <c r="D1572">
        <f>'0373 table 4'!F89</f>
        <v>673</v>
      </c>
      <c r="E1572">
        <f>'0373 table 4'!G89</f>
        <v>597.6</v>
      </c>
      <c r="G1572">
        <v>500000000</v>
      </c>
    </row>
    <row r="1573" spans="1:7" x14ac:dyDescent="0.35">
      <c r="A1573">
        <v>373</v>
      </c>
      <c r="B1573">
        <v>4</v>
      </c>
      <c r="C1573">
        <f>'0373 table 4'!E90</f>
        <v>600000000</v>
      </c>
      <c r="D1573">
        <f>'0373 table 4'!F90</f>
        <v>673</v>
      </c>
      <c r="E1573">
        <f>'0373 table 4'!G90</f>
        <v>628</v>
      </c>
      <c r="G1573">
        <v>600000000</v>
      </c>
    </row>
    <row r="1574" spans="1:7" x14ac:dyDescent="0.35">
      <c r="A1574">
        <v>373</v>
      </c>
      <c r="B1574">
        <v>4</v>
      </c>
      <c r="C1574">
        <f>'0373 table 4'!E91</f>
        <v>700000000</v>
      </c>
      <c r="D1574">
        <f>'0373 table 4'!F91</f>
        <v>673</v>
      </c>
      <c r="E1574">
        <f>'0373 table 4'!G91</f>
        <v>654.4</v>
      </c>
      <c r="G1574">
        <v>700000000</v>
      </c>
    </row>
    <row r="1575" spans="1:7" x14ac:dyDescent="0.35">
      <c r="A1575">
        <v>373</v>
      </c>
      <c r="B1575">
        <v>4</v>
      </c>
      <c r="C1575">
        <f>'0373 table 4'!E92</f>
        <v>800000000</v>
      </c>
      <c r="D1575">
        <f>'0373 table 4'!F92</f>
        <v>673</v>
      </c>
      <c r="E1575">
        <f>'0373 table 4'!G92</f>
        <v>676.5</v>
      </c>
      <c r="G1575">
        <v>800000000</v>
      </c>
    </row>
    <row r="1576" spans="1:7" x14ac:dyDescent="0.35">
      <c r="A1576">
        <v>373</v>
      </c>
      <c r="B1576">
        <v>4</v>
      </c>
      <c r="C1576">
        <f>'0373 table 4'!E93</f>
        <v>200000000</v>
      </c>
      <c r="D1576">
        <f>'0373 table 4'!F93</f>
        <v>723</v>
      </c>
      <c r="E1576">
        <f>'0373 table 4'!G93</f>
        <v>417.6</v>
      </c>
      <c r="G1576">
        <v>200000000</v>
      </c>
    </row>
    <row r="1577" spans="1:7" x14ac:dyDescent="0.35">
      <c r="A1577">
        <v>373</v>
      </c>
      <c r="B1577">
        <v>4</v>
      </c>
      <c r="C1577">
        <f>'0373 table 4'!E94</f>
        <v>300000000</v>
      </c>
      <c r="D1577">
        <f>'0373 table 4'!F94</f>
        <v>723</v>
      </c>
      <c r="E1577">
        <f>'0373 table 4'!G94</f>
        <v>488.90000000000003</v>
      </c>
      <c r="G1577">
        <v>300000000</v>
      </c>
    </row>
    <row r="1578" spans="1:7" x14ac:dyDescent="0.35">
      <c r="A1578">
        <v>373</v>
      </c>
      <c r="B1578">
        <v>4</v>
      </c>
      <c r="C1578">
        <f>'0373 table 4'!E95</f>
        <v>400000000</v>
      </c>
      <c r="D1578">
        <f>'0373 table 4'!F95</f>
        <v>723</v>
      </c>
      <c r="E1578">
        <f>'0373 table 4'!G95</f>
        <v>538.69999999999993</v>
      </c>
      <c r="G1578">
        <v>400000000</v>
      </c>
    </row>
    <row r="1579" spans="1:7" x14ac:dyDescent="0.35">
      <c r="A1579">
        <v>373</v>
      </c>
      <c r="B1579">
        <v>4</v>
      </c>
      <c r="C1579">
        <f>'0373 table 4'!E96</f>
        <v>500000000</v>
      </c>
      <c r="D1579">
        <f>'0373 table 4'!F96</f>
        <v>723</v>
      </c>
      <c r="E1579">
        <f>'0373 table 4'!G96</f>
        <v>576.99999999999989</v>
      </c>
      <c r="G1579">
        <v>500000000</v>
      </c>
    </row>
    <row r="1580" spans="1:7" x14ac:dyDescent="0.35">
      <c r="A1580">
        <v>373</v>
      </c>
      <c r="B1580">
        <v>4</v>
      </c>
      <c r="C1580">
        <f>'0373 table 4'!E97</f>
        <v>600000000</v>
      </c>
      <c r="D1580">
        <f>'0373 table 4'!F97</f>
        <v>723</v>
      </c>
      <c r="E1580">
        <f>'0373 table 4'!G97</f>
        <v>608.6</v>
      </c>
      <c r="G1580">
        <v>600000000</v>
      </c>
    </row>
    <row r="1581" spans="1:7" x14ac:dyDescent="0.35">
      <c r="A1581">
        <v>373</v>
      </c>
      <c r="B1581">
        <v>4</v>
      </c>
      <c r="C1581">
        <f>'0373 table 4'!E98</f>
        <v>700000000</v>
      </c>
      <c r="D1581">
        <f>'0373 table 4'!F98</f>
        <v>723</v>
      </c>
      <c r="E1581">
        <f>'0373 table 4'!G98</f>
        <v>634.4</v>
      </c>
      <c r="G1581">
        <v>700000000</v>
      </c>
    </row>
    <row r="1582" spans="1:7" x14ac:dyDescent="0.35">
      <c r="A1582">
        <v>373</v>
      </c>
      <c r="B1582">
        <v>4</v>
      </c>
      <c r="C1582">
        <f>'0373 table 4'!E99</f>
        <v>800000000</v>
      </c>
      <c r="D1582">
        <f>'0373 table 4'!F99</f>
        <v>723</v>
      </c>
      <c r="E1582">
        <f>'0373 table 4'!G99</f>
        <v>657.90000000000009</v>
      </c>
      <c r="G1582">
        <v>800000000</v>
      </c>
    </row>
    <row r="1583" spans="1:7" x14ac:dyDescent="0.35">
      <c r="A1583">
        <v>374</v>
      </c>
      <c r="B1583">
        <v>5</v>
      </c>
      <c r="C1583">
        <f>'0374 table 5'!E2</f>
        <v>34473.800000000003</v>
      </c>
      <c r="D1583">
        <f>'0374 table 5'!F2</f>
        <v>227.59444444444443</v>
      </c>
      <c r="E1583">
        <f>'0374 table 5'!G2</f>
        <v>0.3137796916386561</v>
      </c>
    </row>
    <row r="1584" spans="1:7" x14ac:dyDescent="0.35">
      <c r="A1584">
        <v>374</v>
      </c>
      <c r="B1584">
        <v>5</v>
      </c>
      <c r="C1584">
        <f>'0374 table 5'!E3</f>
        <v>34473.800000000003</v>
      </c>
      <c r="D1584">
        <f>'0374 table 5'!F3</f>
        <v>233.14999999999998</v>
      </c>
      <c r="E1584">
        <f>'0374 table 5'!G3</f>
        <v>0.3059292066110274</v>
      </c>
    </row>
    <row r="1585" spans="1:5" x14ac:dyDescent="0.35">
      <c r="A1585">
        <v>374</v>
      </c>
      <c r="B1585">
        <v>5</v>
      </c>
      <c r="C1585">
        <f>'0374 table 5'!E4</f>
        <v>34473.800000000003</v>
      </c>
      <c r="D1585">
        <f>'0374 table 5'!F4</f>
        <v>238.70555555555552</v>
      </c>
      <c r="E1585">
        <f>'0374 table 5'!G4</f>
        <v>0.29846195748375987</v>
      </c>
    </row>
    <row r="1586" spans="1:5" x14ac:dyDescent="0.35">
      <c r="A1586">
        <v>374</v>
      </c>
      <c r="B1586">
        <v>5</v>
      </c>
      <c r="C1586">
        <f>'0374 table 5'!E5</f>
        <v>34473.800000000003</v>
      </c>
      <c r="D1586">
        <f>'0374 table 5'!F5</f>
        <v>244.26111111111109</v>
      </c>
      <c r="E1586">
        <f>'0374 table 5'!G5</f>
        <v>0.29140355208574481</v>
      </c>
    </row>
    <row r="1587" spans="1:5" x14ac:dyDescent="0.35">
      <c r="A1587">
        <v>374</v>
      </c>
      <c r="B1587">
        <v>5</v>
      </c>
      <c r="C1587">
        <f>'0374 table 5'!E6</f>
        <v>34473.800000000003</v>
      </c>
      <c r="D1587">
        <f>'0374 table 5'!F6</f>
        <v>249.81666666666663</v>
      </c>
      <c r="E1587">
        <f>'0374 table 5'!G6</f>
        <v>0.284721885143146</v>
      </c>
    </row>
    <row r="1588" spans="1:5" x14ac:dyDescent="0.35">
      <c r="A1588">
        <v>374</v>
      </c>
      <c r="B1588">
        <v>5</v>
      </c>
      <c r="C1588">
        <f>'0374 table 5'!E7</f>
        <v>34473.800000000003</v>
      </c>
      <c r="D1588">
        <f>'0374 table 5'!F7</f>
        <v>255.37222222222221</v>
      </c>
      <c r="E1588">
        <f>'0374 table 5'!G7</f>
        <v>0.27833976121899906</v>
      </c>
    </row>
    <row r="1589" spans="1:5" x14ac:dyDescent="0.35">
      <c r="A1589">
        <v>374</v>
      </c>
      <c r="B1589">
        <v>5</v>
      </c>
      <c r="C1589">
        <f>'0374 table 5'!E8</f>
        <v>34473.800000000003</v>
      </c>
      <c r="D1589">
        <f>'0374 table 5'!F8</f>
        <v>260.92777777777775</v>
      </c>
      <c r="E1589">
        <f>'0374 table 5'!G8</f>
        <v>0.27223747889451722</v>
      </c>
    </row>
    <row r="1590" spans="1:5" x14ac:dyDescent="0.35">
      <c r="A1590">
        <v>374</v>
      </c>
      <c r="B1590">
        <v>5</v>
      </c>
      <c r="C1590">
        <f>'0374 table 5'!E9</f>
        <v>34473.800000000003</v>
      </c>
      <c r="D1590">
        <f>'0374 table 5'!F9</f>
        <v>266.48333333333329</v>
      </c>
      <c r="E1590">
        <f>'0374 table 5'!G9</f>
        <v>0.26644133829263794</v>
      </c>
    </row>
    <row r="1591" spans="1:5" x14ac:dyDescent="0.35">
      <c r="A1591">
        <v>374</v>
      </c>
      <c r="B1591">
        <v>5</v>
      </c>
      <c r="C1591">
        <f>'0374 table 5'!E10</f>
        <v>34473.800000000003</v>
      </c>
      <c r="D1591">
        <f>'0374 table 5'!F10</f>
        <v>272.03888888888889</v>
      </c>
      <c r="E1591">
        <f>'0374 table 5'!G10</f>
        <v>0.26084437808424349</v>
      </c>
    </row>
    <row r="1592" spans="1:5" x14ac:dyDescent="0.35">
      <c r="A1592">
        <v>374</v>
      </c>
      <c r="B1592">
        <v>5</v>
      </c>
      <c r="C1592">
        <f>'0374 table 5'!E11</f>
        <v>34473.800000000003</v>
      </c>
      <c r="D1592">
        <f>'0374 table 5'!F11</f>
        <v>277.59444444444443</v>
      </c>
      <c r="E1592">
        <f>'0374 table 5'!G11</f>
        <v>0.25551847596352517</v>
      </c>
    </row>
    <row r="1593" spans="1:5" x14ac:dyDescent="0.35">
      <c r="A1593">
        <v>374</v>
      </c>
      <c r="B1593">
        <v>5</v>
      </c>
      <c r="C1593">
        <f>'0374 table 5'!E12</f>
        <v>34473.800000000003</v>
      </c>
      <c r="D1593">
        <f>'0374 table 5'!F12</f>
        <v>283.14999999999998</v>
      </c>
      <c r="E1593">
        <f>'0374 table 5'!G12</f>
        <v>0.25044486019626944</v>
      </c>
    </row>
    <row r="1594" spans="1:5" x14ac:dyDescent="0.35">
      <c r="A1594">
        <v>374</v>
      </c>
      <c r="B1594">
        <v>5</v>
      </c>
      <c r="C1594">
        <f>'0374 table 5'!E13</f>
        <v>34473.800000000003</v>
      </c>
      <c r="D1594">
        <f>'0374 table 5'!F13</f>
        <v>288.70555555555552</v>
      </c>
      <c r="E1594">
        <f>'0374 table 5'!G13</f>
        <v>0.24553116582086748</v>
      </c>
    </row>
    <row r="1595" spans="1:5" x14ac:dyDescent="0.35">
      <c r="A1595">
        <v>374</v>
      </c>
      <c r="B1595">
        <v>5</v>
      </c>
      <c r="C1595">
        <f>'0374 table 5'!E14</f>
        <v>34473.800000000003</v>
      </c>
      <c r="D1595">
        <f>'0374 table 5'!F14</f>
        <v>294.26111111111106</v>
      </c>
      <c r="E1595">
        <f>'0374 table 5'!G14</f>
        <v>0.24084277940390006</v>
      </c>
    </row>
    <row r="1596" spans="1:5" x14ac:dyDescent="0.35">
      <c r="A1596">
        <v>374</v>
      </c>
      <c r="B1596">
        <v>5</v>
      </c>
      <c r="C1596">
        <f>'0374 table 5'!E15</f>
        <v>34473.800000000003</v>
      </c>
      <c r="D1596">
        <f>'0374 table 5'!F15</f>
        <v>299.81666666666666</v>
      </c>
      <c r="E1596">
        <f>'0374 table 5'!G15</f>
        <v>0.23629522434213587</v>
      </c>
    </row>
    <row r="1597" spans="1:5" x14ac:dyDescent="0.35">
      <c r="A1597">
        <v>374</v>
      </c>
      <c r="B1597">
        <v>5</v>
      </c>
      <c r="C1597">
        <f>'0374 table 5'!E16</f>
        <v>34473.800000000003</v>
      </c>
      <c r="D1597">
        <f>'0374 table 5'!F16</f>
        <v>305.37222222222221</v>
      </c>
      <c r="E1597">
        <f>'0374 table 5'!G16</f>
        <v>0.23194980101583251</v>
      </c>
    </row>
    <row r="1598" spans="1:5" x14ac:dyDescent="0.35">
      <c r="A1598">
        <v>374</v>
      </c>
      <c r="B1598">
        <v>5</v>
      </c>
      <c r="C1598">
        <f>'0374 table 5'!E17</f>
        <v>34473.800000000003</v>
      </c>
      <c r="D1598">
        <f>'0374 table 5'!F17</f>
        <v>310.92777777777775</v>
      </c>
      <c r="E1598">
        <f>'0374 table 5'!G17</f>
        <v>0.22776131463320623</v>
      </c>
    </row>
    <row r="1599" spans="1:5" x14ac:dyDescent="0.35">
      <c r="A1599">
        <v>374</v>
      </c>
      <c r="B1599">
        <v>5</v>
      </c>
      <c r="C1599">
        <f>'0374 table 5'!E18</f>
        <v>34473.800000000003</v>
      </c>
      <c r="D1599">
        <f>'0374 table 5'!F18</f>
        <v>316.48333333333329</v>
      </c>
      <c r="E1599">
        <f>'0374 table 5'!G18</f>
        <v>0.22372141422001945</v>
      </c>
    </row>
    <row r="1600" spans="1:5" x14ac:dyDescent="0.35">
      <c r="A1600">
        <v>374</v>
      </c>
      <c r="B1600">
        <v>5</v>
      </c>
      <c r="C1600">
        <f>'0374 table 5'!E19</f>
        <v>34473.800000000003</v>
      </c>
      <c r="D1600">
        <f>'0374 table 5'!F19</f>
        <v>322.03888888888889</v>
      </c>
      <c r="E1600">
        <f>'0374 table 5'!G19</f>
        <v>0.21982233097507056</v>
      </c>
    </row>
    <row r="1601" spans="1:5" x14ac:dyDescent="0.35">
      <c r="A1601">
        <v>374</v>
      </c>
      <c r="B1601">
        <v>5</v>
      </c>
      <c r="C1601">
        <f>'0374 table 5'!E20</f>
        <v>34473.800000000003</v>
      </c>
      <c r="D1601">
        <f>'0374 table 5'!F20</f>
        <v>327.59444444444443</v>
      </c>
      <c r="E1601">
        <f>'0374 table 5'!G20</f>
        <v>0.21605682840778789</v>
      </c>
    </row>
    <row r="1602" spans="1:5" x14ac:dyDescent="0.35">
      <c r="A1602">
        <v>374</v>
      </c>
      <c r="B1602">
        <v>5</v>
      </c>
      <c r="C1602">
        <f>'0374 table 5'!E21</f>
        <v>34473.800000000003</v>
      </c>
      <c r="D1602">
        <f>'0374 table 5'!F21</f>
        <v>333.15</v>
      </c>
      <c r="E1602">
        <f>'0374 table 5'!G21</f>
        <v>0.2124181575143004</v>
      </c>
    </row>
    <row r="1603" spans="1:5" x14ac:dyDescent="0.35">
      <c r="A1603">
        <v>374</v>
      </c>
      <c r="B1603">
        <v>5</v>
      </c>
      <c r="C1603">
        <f>'0374 table 5'!E22</f>
        <v>34473.800000000003</v>
      </c>
      <c r="D1603">
        <f>'0374 table 5'!F22</f>
        <v>338.70555555555552</v>
      </c>
      <c r="E1603">
        <f>'0374 table 5'!G22</f>
        <v>0.20890001640784286</v>
      </c>
    </row>
    <row r="1604" spans="1:5" x14ac:dyDescent="0.35">
      <c r="A1604">
        <v>374</v>
      </c>
      <c r="B1604">
        <v>5</v>
      </c>
      <c r="C1604">
        <f>'0374 table 5'!E23</f>
        <v>34473.800000000003</v>
      </c>
      <c r="D1604">
        <f>'0374 table 5'!F23</f>
        <v>344.26111111111106</v>
      </c>
      <c r="E1604">
        <f>'0374 table 5'!G23</f>
        <v>0.20549651389548934</v>
      </c>
    </row>
    <row r="1605" spans="1:5" x14ac:dyDescent="0.35">
      <c r="A1605">
        <v>374</v>
      </c>
      <c r="B1605">
        <v>5</v>
      </c>
      <c r="C1605">
        <f>'0374 table 5'!E24</f>
        <v>34473.800000000003</v>
      </c>
      <c r="D1605">
        <f>'0374 table 5'!F24</f>
        <v>349.81666666666666</v>
      </c>
      <c r="E1605">
        <f>'0374 table 5'!G24</f>
        <v>0.20222766390800903</v>
      </c>
    </row>
    <row r="1606" spans="1:5" x14ac:dyDescent="0.35">
      <c r="A1606">
        <v>374</v>
      </c>
      <c r="B1606">
        <v>5</v>
      </c>
      <c r="C1606">
        <f>'0374 table 5'!E25</f>
        <v>34473.800000000003</v>
      </c>
      <c r="D1606">
        <f>'0374 table 5'!F25</f>
        <v>355.37222222222221</v>
      </c>
      <c r="E1606">
        <f>'0374 table 5'!G25</f>
        <v>0.19903644704464951</v>
      </c>
    </row>
    <row r="1607" spans="1:5" x14ac:dyDescent="0.35">
      <c r="A1607">
        <v>374</v>
      </c>
      <c r="B1607">
        <v>5</v>
      </c>
      <c r="C1607">
        <f>'0374 table 5'!E26</f>
        <v>41368.559999999998</v>
      </c>
      <c r="D1607">
        <f>'0374 table 5'!F26</f>
        <v>227.59444444444443</v>
      </c>
      <c r="E1607">
        <f>'0374 table 5'!G26</f>
        <v>0.37743763567750693</v>
      </c>
    </row>
    <row r="1608" spans="1:5" x14ac:dyDescent="0.35">
      <c r="A1608">
        <v>374</v>
      </c>
      <c r="B1608">
        <v>5</v>
      </c>
      <c r="C1608">
        <f>'0374 table 5'!E27</f>
        <v>41368.559999999998</v>
      </c>
      <c r="D1608">
        <f>'0374 table 5'!F27</f>
        <v>233.14999999999998</v>
      </c>
      <c r="E1608">
        <f>'0374 table 5'!G27</f>
        <v>0.36781752601959578</v>
      </c>
    </row>
    <row r="1609" spans="1:5" x14ac:dyDescent="0.35">
      <c r="A1609">
        <v>374</v>
      </c>
      <c r="B1609">
        <v>5</v>
      </c>
      <c r="C1609">
        <f>'0374 table 5'!E28</f>
        <v>41368.559999999998</v>
      </c>
      <c r="D1609">
        <f>'0374 table 5'!F28</f>
        <v>238.70555555555552</v>
      </c>
      <c r="E1609">
        <f>'0374 table 5'!G28</f>
        <v>0.35883631850702047</v>
      </c>
    </row>
    <row r="1610" spans="1:5" x14ac:dyDescent="0.35">
      <c r="A1610">
        <v>374</v>
      </c>
      <c r="B1610">
        <v>5</v>
      </c>
      <c r="C1610">
        <f>'0374 table 5'!E29</f>
        <v>41368.559999999998</v>
      </c>
      <c r="D1610">
        <f>'0374 table 5'!F29</f>
        <v>244.26111111111109</v>
      </c>
      <c r="E1610">
        <f>'0374 table 5'!G29</f>
        <v>0.35028325515314662</v>
      </c>
    </row>
    <row r="1611" spans="1:5" x14ac:dyDescent="0.35">
      <c r="A1611">
        <v>374</v>
      </c>
      <c r="B1611">
        <v>5</v>
      </c>
      <c r="C1611">
        <f>'0374 table 5'!E30</f>
        <v>41368.559999999998</v>
      </c>
      <c r="D1611">
        <f>'0374 table 5'!F30</f>
        <v>249.81666666666663</v>
      </c>
      <c r="E1611">
        <f>'0374 table 5'!G30</f>
        <v>0.34212843353595457</v>
      </c>
    </row>
    <row r="1612" spans="1:5" x14ac:dyDescent="0.35">
      <c r="A1612">
        <v>374</v>
      </c>
      <c r="B1612">
        <v>5</v>
      </c>
      <c r="C1612">
        <f>'0374 table 5'!E31</f>
        <v>41368.559999999998</v>
      </c>
      <c r="D1612">
        <f>'0374 table 5'!F31</f>
        <v>255.37222222222221</v>
      </c>
      <c r="E1612">
        <f>'0374 table 5'!G31</f>
        <v>0.33441447303034227</v>
      </c>
    </row>
    <row r="1613" spans="1:5" x14ac:dyDescent="0.35">
      <c r="A1613">
        <v>374</v>
      </c>
      <c r="B1613">
        <v>5</v>
      </c>
      <c r="C1613">
        <f>'0374 table 5'!E32</f>
        <v>41368.559999999998</v>
      </c>
      <c r="D1613">
        <f>'0374 table 5'!F32</f>
        <v>260.92777777777775</v>
      </c>
      <c r="E1613">
        <f>'0374 table 5'!G32</f>
        <v>0.32704069534817054</v>
      </c>
    </row>
    <row r="1614" spans="1:5" x14ac:dyDescent="0.35">
      <c r="A1614">
        <v>374</v>
      </c>
      <c r="B1614">
        <v>5</v>
      </c>
      <c r="C1614">
        <f>'0374 table 5'!E33</f>
        <v>41368.559999999998</v>
      </c>
      <c r="D1614">
        <f>'0374 table 5'!F33</f>
        <v>266.48333333333329</v>
      </c>
      <c r="E1614">
        <f>'0374 table 5'!G33</f>
        <v>0.32004901614692094</v>
      </c>
    </row>
    <row r="1615" spans="1:5" x14ac:dyDescent="0.35">
      <c r="A1615">
        <v>374</v>
      </c>
      <c r="B1615">
        <v>5</v>
      </c>
      <c r="C1615">
        <f>'0374 table 5'!E34</f>
        <v>41368.559999999998</v>
      </c>
      <c r="D1615">
        <f>'0374 table 5'!F34</f>
        <v>272.03888888888889</v>
      </c>
      <c r="E1615">
        <f>'0374 table 5'!G34</f>
        <v>0.31335002461176437</v>
      </c>
    </row>
    <row r="1616" spans="1:5" x14ac:dyDescent="0.35">
      <c r="A1616">
        <v>374</v>
      </c>
      <c r="B1616">
        <v>5</v>
      </c>
      <c r="C1616">
        <f>'0374 table 5'!E35</f>
        <v>41368.559999999998</v>
      </c>
      <c r="D1616">
        <f>'0374 table 5'!F35</f>
        <v>277.59444444444443</v>
      </c>
      <c r="E1616">
        <f>'0374 table 5'!G35</f>
        <v>0.30692571868467894</v>
      </c>
    </row>
    <row r="1617" spans="1:5" x14ac:dyDescent="0.35">
      <c r="A1617">
        <v>374</v>
      </c>
      <c r="B1617">
        <v>5</v>
      </c>
      <c r="C1617">
        <f>'0374 table 5'!E36</f>
        <v>41368.559999999998</v>
      </c>
      <c r="D1617">
        <f>'0374 table 5'!F36</f>
        <v>283.14999999999998</v>
      </c>
      <c r="E1617">
        <f>'0374 table 5'!G36</f>
        <v>0.30075954296194879</v>
      </c>
    </row>
    <row r="1618" spans="1:5" x14ac:dyDescent="0.35">
      <c r="A1618">
        <v>374</v>
      </c>
      <c r="B1618">
        <v>5</v>
      </c>
      <c r="C1618">
        <f>'0374 table 5'!E37</f>
        <v>41368.559999999998</v>
      </c>
      <c r="D1618">
        <f>'0374 table 5'!F37</f>
        <v>288.70555555555552</v>
      </c>
      <c r="E1618">
        <f>'0374 table 5'!G37</f>
        <v>0.29489052389825837</v>
      </c>
    </row>
    <row r="1619" spans="1:5" x14ac:dyDescent="0.35">
      <c r="A1619">
        <v>374</v>
      </c>
      <c r="B1619">
        <v>5</v>
      </c>
      <c r="C1619">
        <f>'0374 table 5'!E38</f>
        <v>41368.559999999998</v>
      </c>
      <c r="D1619">
        <f>'0374 table 5'!F38</f>
        <v>294.26111111111106</v>
      </c>
      <c r="E1619">
        <f>'0374 table 5'!G38</f>
        <v>0.28919395663754094</v>
      </c>
    </row>
    <row r="1620" spans="1:5" x14ac:dyDescent="0.35">
      <c r="A1620">
        <v>374</v>
      </c>
      <c r="B1620">
        <v>5</v>
      </c>
      <c r="C1620">
        <f>'0374 table 5'!E39</f>
        <v>41368.559999999998</v>
      </c>
      <c r="D1620">
        <f>'0374 table 5'!F39</f>
        <v>299.81666666666666</v>
      </c>
      <c r="E1620">
        <f>'0374 table 5'!G39</f>
        <v>0.2837635652462957</v>
      </c>
    </row>
    <row r="1621" spans="1:5" x14ac:dyDescent="0.35">
      <c r="A1621">
        <v>374</v>
      </c>
      <c r="B1621">
        <v>5</v>
      </c>
      <c r="C1621">
        <f>'0374 table 5'!E40</f>
        <v>41368.559999999998</v>
      </c>
      <c r="D1621">
        <f>'0374 table 5'!F40</f>
        <v>305.37222222222221</v>
      </c>
      <c r="E1621">
        <f>'0374 table 5'!G40</f>
        <v>0.27853335521045719</v>
      </c>
    </row>
    <row r="1622" spans="1:5" x14ac:dyDescent="0.35">
      <c r="A1622">
        <v>374</v>
      </c>
      <c r="B1622">
        <v>5</v>
      </c>
      <c r="C1622">
        <f>'0374 table 5'!E41</f>
        <v>41368.559999999998</v>
      </c>
      <c r="D1622">
        <f>'0374 table 5'!F41</f>
        <v>310.92777777777775</v>
      </c>
      <c r="E1622">
        <f>'0374 table 5'!G41</f>
        <v>0.27344577088005112</v>
      </c>
    </row>
    <row r="1623" spans="1:5" x14ac:dyDescent="0.35">
      <c r="A1623">
        <v>374</v>
      </c>
      <c r="B1623">
        <v>5</v>
      </c>
      <c r="C1623">
        <f>'0374 table 5'!E42</f>
        <v>41368.559999999998</v>
      </c>
      <c r="D1623">
        <f>'0374 table 5'!F42</f>
        <v>316.48333333333329</v>
      </c>
      <c r="E1623">
        <f>'0374 table 5'!G42</f>
        <v>0.26858573538151231</v>
      </c>
    </row>
    <row r="1624" spans="1:5" x14ac:dyDescent="0.35">
      <c r="A1624">
        <v>374</v>
      </c>
      <c r="B1624">
        <v>5</v>
      </c>
      <c r="C1624">
        <f>'0374 table 5'!E43</f>
        <v>41368.559999999998</v>
      </c>
      <c r="D1624">
        <f>'0374 table 5'!F43</f>
        <v>322.03888888888889</v>
      </c>
      <c r="E1624">
        <f>'0374 table 5'!G43</f>
        <v>0.26389544082625027</v>
      </c>
    </row>
    <row r="1625" spans="1:5" x14ac:dyDescent="0.35">
      <c r="A1625">
        <v>374</v>
      </c>
      <c r="B1625">
        <v>5</v>
      </c>
      <c r="C1625">
        <f>'0374 table 5'!E44</f>
        <v>41368.559999999998</v>
      </c>
      <c r="D1625">
        <f>'0374 table 5'!F44</f>
        <v>327.59444444444443</v>
      </c>
      <c r="E1625">
        <f>'0374 table 5'!G44</f>
        <v>0.2593661473146599</v>
      </c>
    </row>
    <row r="1626" spans="1:5" x14ac:dyDescent="0.35">
      <c r="A1626">
        <v>374</v>
      </c>
      <c r="B1626">
        <v>5</v>
      </c>
      <c r="C1626">
        <f>'0374 table 5'!E45</f>
        <v>41368.559999999998</v>
      </c>
      <c r="D1626">
        <f>'0374 table 5'!F45</f>
        <v>333.15</v>
      </c>
      <c r="E1626">
        <f>'0374 table 5'!G45</f>
        <v>0.25498970484166494</v>
      </c>
    </row>
    <row r="1627" spans="1:5" x14ac:dyDescent="0.35">
      <c r="A1627">
        <v>374</v>
      </c>
      <c r="B1627">
        <v>5</v>
      </c>
      <c r="C1627">
        <f>'0374 table 5'!E46</f>
        <v>41368.559999999998</v>
      </c>
      <c r="D1627">
        <f>'0374 table 5'!F46</f>
        <v>338.70555555555552</v>
      </c>
      <c r="E1627">
        <f>'0374 table 5'!G46</f>
        <v>0.25079776511904484</v>
      </c>
    </row>
    <row r="1628" spans="1:5" x14ac:dyDescent="0.35">
      <c r="A1628">
        <v>374</v>
      </c>
      <c r="B1628">
        <v>5</v>
      </c>
      <c r="C1628">
        <f>'0374 table 5'!E47</f>
        <v>41368.559999999998</v>
      </c>
      <c r="D1628">
        <f>'0374 table 5'!F47</f>
        <v>344.26111111111106</v>
      </c>
      <c r="E1628">
        <f>'0374 table 5'!G47</f>
        <v>0.24670342304255954</v>
      </c>
    </row>
    <row r="1629" spans="1:5" x14ac:dyDescent="0.35">
      <c r="A1629">
        <v>374</v>
      </c>
      <c r="B1629">
        <v>5</v>
      </c>
      <c r="C1629">
        <f>'0374 table 5'!E48</f>
        <v>41368.559999999998</v>
      </c>
      <c r="D1629">
        <f>'0374 table 5'!F48</f>
        <v>349.81666666666666</v>
      </c>
      <c r="E1629">
        <f>'0374 table 5'!G48</f>
        <v>0.24274061612597958</v>
      </c>
    </row>
    <row r="1630" spans="1:5" x14ac:dyDescent="0.35">
      <c r="A1630">
        <v>374</v>
      </c>
      <c r="B1630">
        <v>5</v>
      </c>
      <c r="C1630">
        <f>'0374 table 5'!E49</f>
        <v>41368.559999999998</v>
      </c>
      <c r="D1630">
        <f>'0374 table 5'!F49</f>
        <v>355.37222222222221</v>
      </c>
      <c r="E1630">
        <f>'0374 table 5'!G49</f>
        <v>0.23890310601272774</v>
      </c>
    </row>
    <row r="1631" spans="1:5" x14ac:dyDescent="0.35">
      <c r="A1631">
        <v>374</v>
      </c>
      <c r="B1631">
        <v>5</v>
      </c>
      <c r="C1631">
        <f>'0374 table 5'!E50</f>
        <v>48263.32</v>
      </c>
      <c r="D1631">
        <f>'0374 table 5'!F50</f>
        <v>227.59444444444443</v>
      </c>
      <c r="E1631">
        <f>'0374 table 5'!G50</f>
        <v>0.44140130223624674</v>
      </c>
    </row>
    <row r="1632" spans="1:5" x14ac:dyDescent="0.35">
      <c r="A1632">
        <v>374</v>
      </c>
      <c r="B1632">
        <v>5</v>
      </c>
      <c r="C1632">
        <f>'0374 table 5'!E51</f>
        <v>48263.32</v>
      </c>
      <c r="D1632">
        <f>'0374 table 5'!F51</f>
        <v>233.14999999999998</v>
      </c>
      <c r="E1632">
        <f>'0374 table 5'!G51</f>
        <v>0.43002559082290986</v>
      </c>
    </row>
    <row r="1633" spans="1:5" x14ac:dyDescent="0.35">
      <c r="A1633">
        <v>374</v>
      </c>
      <c r="B1633">
        <v>5</v>
      </c>
      <c r="C1633">
        <f>'0374 table 5'!E52</f>
        <v>48263.32</v>
      </c>
      <c r="D1633">
        <f>'0374 table 5'!F52</f>
        <v>238.70555555555552</v>
      </c>
      <c r="E1633">
        <f>'0374 table 5'!G52</f>
        <v>0.41944103844339864</v>
      </c>
    </row>
    <row r="1634" spans="1:5" x14ac:dyDescent="0.35">
      <c r="A1634">
        <v>374</v>
      </c>
      <c r="B1634">
        <v>5</v>
      </c>
      <c r="C1634">
        <f>'0374 table 5'!E53</f>
        <v>48263.32</v>
      </c>
      <c r="D1634">
        <f>'0374 table 5'!F53</f>
        <v>244.26111111111109</v>
      </c>
      <c r="E1634">
        <f>'0374 table 5'!G53</f>
        <v>0.40936502065303843</v>
      </c>
    </row>
    <row r="1635" spans="1:5" x14ac:dyDescent="0.35">
      <c r="A1635">
        <v>374</v>
      </c>
      <c r="B1635">
        <v>5</v>
      </c>
      <c r="C1635">
        <f>'0374 table 5'!E54</f>
        <v>48263.32</v>
      </c>
      <c r="D1635">
        <f>'0374 table 5'!F54</f>
        <v>249.81666666666663</v>
      </c>
      <c r="E1635">
        <f>'0374 table 5'!G54</f>
        <v>0.39976174839414508</v>
      </c>
    </row>
    <row r="1636" spans="1:5" x14ac:dyDescent="0.35">
      <c r="A1636">
        <v>374</v>
      </c>
      <c r="B1636">
        <v>5</v>
      </c>
      <c r="C1636">
        <f>'0374 table 5'!E55</f>
        <v>48263.32</v>
      </c>
      <c r="D1636">
        <f>'0374 table 5'!F55</f>
        <v>255.37222222222221</v>
      </c>
      <c r="E1636">
        <f>'0374 table 5'!G55</f>
        <v>0.39069398190618032</v>
      </c>
    </row>
    <row r="1637" spans="1:5" x14ac:dyDescent="0.35">
      <c r="A1637">
        <v>374</v>
      </c>
      <c r="B1637">
        <v>5</v>
      </c>
      <c r="C1637">
        <f>'0374 table 5'!E56</f>
        <v>48263.32</v>
      </c>
      <c r="D1637">
        <f>'0374 table 5'!F56</f>
        <v>260.92777777777775</v>
      </c>
      <c r="E1637">
        <f>'0374 table 5'!G56</f>
        <v>0.38202845833897908</v>
      </c>
    </row>
    <row r="1638" spans="1:5" x14ac:dyDescent="0.35">
      <c r="A1638">
        <v>374</v>
      </c>
      <c r="B1638">
        <v>5</v>
      </c>
      <c r="C1638">
        <f>'0374 table 5'!E57</f>
        <v>48263.32</v>
      </c>
      <c r="D1638">
        <f>'0374 table 5'!F57</f>
        <v>266.48333333333329</v>
      </c>
      <c r="E1638">
        <f>'0374 table 5'!G57</f>
        <v>0.37382621372586683</v>
      </c>
    </row>
    <row r="1639" spans="1:5" x14ac:dyDescent="0.35">
      <c r="A1639">
        <v>374</v>
      </c>
      <c r="B1639">
        <v>5</v>
      </c>
      <c r="C1639">
        <f>'0374 table 5'!E58</f>
        <v>48263.32</v>
      </c>
      <c r="D1639">
        <f>'0374 table 5'!F58</f>
        <v>272.03888888888889</v>
      </c>
      <c r="E1639">
        <f>'0374 table 5'!G58</f>
        <v>0.36596877446089537</v>
      </c>
    </row>
    <row r="1640" spans="1:5" x14ac:dyDescent="0.35">
      <c r="A1640">
        <v>374</v>
      </c>
      <c r="B1640">
        <v>5</v>
      </c>
      <c r="C1640">
        <f>'0374 table 5'!E59</f>
        <v>48263.32</v>
      </c>
      <c r="D1640">
        <f>'0374 table 5'!F59</f>
        <v>277.59444444444443</v>
      </c>
      <c r="E1640">
        <f>'0374 table 5'!G59</f>
        <v>0.35843484578548657</v>
      </c>
    </row>
    <row r="1641" spans="1:5" x14ac:dyDescent="0.35">
      <c r="A1641">
        <v>374</v>
      </c>
      <c r="B1641">
        <v>5</v>
      </c>
      <c r="C1641">
        <f>'0374 table 5'!E60</f>
        <v>48263.32</v>
      </c>
      <c r="D1641">
        <f>'0374 table 5'!F60</f>
        <v>283.14999999999998</v>
      </c>
      <c r="E1641">
        <f>'0374 table 5'!G60</f>
        <v>0.35120485108865152</v>
      </c>
    </row>
    <row r="1642" spans="1:5" x14ac:dyDescent="0.35">
      <c r="A1642">
        <v>374</v>
      </c>
      <c r="B1642">
        <v>5</v>
      </c>
      <c r="C1642">
        <f>'0374 table 5'!E61</f>
        <v>48263.32</v>
      </c>
      <c r="D1642">
        <f>'0374 table 5'!F61</f>
        <v>288.70555555555552</v>
      </c>
      <c r="E1642">
        <f>'0374 table 5'!G61</f>
        <v>0.34426076204928846</v>
      </c>
    </row>
    <row r="1643" spans="1:5" x14ac:dyDescent="0.35">
      <c r="A1643">
        <v>374</v>
      </c>
      <c r="B1643">
        <v>5</v>
      </c>
      <c r="C1643">
        <f>'0374 table 5'!E62</f>
        <v>48263.32</v>
      </c>
      <c r="D1643">
        <f>'0374 table 5'!F62</f>
        <v>294.26111111111106</v>
      </c>
      <c r="E1643">
        <f>'0374 table 5'!G62</f>
        <v>0.33765710915163144</v>
      </c>
    </row>
    <row r="1644" spans="1:5" x14ac:dyDescent="0.35">
      <c r="A1644">
        <v>374</v>
      </c>
      <c r="B1644">
        <v>5</v>
      </c>
      <c r="C1644">
        <f>'0374 table 5'!E63</f>
        <v>48263.32</v>
      </c>
      <c r="D1644">
        <f>'0374 table 5'!F63</f>
        <v>299.81666666666666</v>
      </c>
      <c r="E1644">
        <f>'0374 table 5'!G63</f>
        <v>0.33123352477571116</v>
      </c>
    </row>
    <row r="1645" spans="1:5" x14ac:dyDescent="0.35">
      <c r="A1645">
        <v>374</v>
      </c>
      <c r="B1645">
        <v>5</v>
      </c>
      <c r="C1645">
        <f>'0374 table 5'!E64</f>
        <v>48263.32</v>
      </c>
      <c r="D1645">
        <f>'0374 table 5'!F64</f>
        <v>305.37222222222221</v>
      </c>
      <c r="E1645">
        <f>'0374 table 5'!G64</f>
        <v>0.32511575518882468</v>
      </c>
    </row>
    <row r="1646" spans="1:5" x14ac:dyDescent="0.35">
      <c r="A1646">
        <v>374</v>
      </c>
      <c r="B1646">
        <v>5</v>
      </c>
      <c r="C1646">
        <f>'0374 table 5'!E65</f>
        <v>48263.32</v>
      </c>
      <c r="D1646">
        <f>'0374 table 5'!F65</f>
        <v>310.92777777777775</v>
      </c>
      <c r="E1646">
        <f>'0374 table 5'!G65</f>
        <v>0.31921987361804294</v>
      </c>
    </row>
    <row r="1647" spans="1:5" x14ac:dyDescent="0.35">
      <c r="A1647">
        <v>374</v>
      </c>
      <c r="B1647">
        <v>5</v>
      </c>
      <c r="C1647">
        <f>'0374 table 5'!E66</f>
        <v>48263.32</v>
      </c>
      <c r="D1647">
        <f>'0374 table 5'!F66</f>
        <v>316.48333333333329</v>
      </c>
      <c r="E1647">
        <f>'0374 table 5'!G66</f>
        <v>0.31353402345181819</v>
      </c>
    </row>
    <row r="1648" spans="1:5" x14ac:dyDescent="0.35">
      <c r="A1648">
        <v>374</v>
      </c>
      <c r="B1648">
        <v>5</v>
      </c>
      <c r="C1648">
        <f>'0374 table 5'!E67</f>
        <v>48263.32</v>
      </c>
      <c r="D1648">
        <f>'0374 table 5'!F67</f>
        <v>322.03888888888889</v>
      </c>
      <c r="E1648">
        <f>'0374 table 5'!G67</f>
        <v>0.30804717804141141</v>
      </c>
    </row>
    <row r="1649" spans="1:5" x14ac:dyDescent="0.35">
      <c r="A1649">
        <v>374</v>
      </c>
      <c r="B1649">
        <v>5</v>
      </c>
      <c r="C1649">
        <f>'0374 table 5'!E68</f>
        <v>48263.32</v>
      </c>
      <c r="D1649">
        <f>'0374 table 5'!F68</f>
        <v>327.59444444444443</v>
      </c>
      <c r="E1649">
        <f>'0374 table 5'!G68</f>
        <v>0.30274906932816847</v>
      </c>
    </row>
    <row r="1650" spans="1:5" x14ac:dyDescent="0.35">
      <c r="A1650">
        <v>374</v>
      </c>
      <c r="B1650">
        <v>5</v>
      </c>
      <c r="C1650">
        <f>'0374 table 5'!E69</f>
        <v>48263.32</v>
      </c>
      <c r="D1650">
        <f>'0374 table 5'!F69</f>
        <v>333.15</v>
      </c>
      <c r="E1650">
        <f>'0374 table 5'!G69</f>
        <v>0.2976301237115086</v>
      </c>
    </row>
    <row r="1651" spans="1:5" x14ac:dyDescent="0.35">
      <c r="A1651">
        <v>374</v>
      </c>
      <c r="B1651">
        <v>5</v>
      </c>
      <c r="C1651">
        <f>'0374 table 5'!E70</f>
        <v>48263.32</v>
      </c>
      <c r="D1651">
        <f>'0374 table 5'!F70</f>
        <v>338.70555555555552</v>
      </c>
      <c r="E1651">
        <f>'0374 table 5'!G70</f>
        <v>0.29268140431488021</v>
      </c>
    </row>
    <row r="1652" spans="1:5" x14ac:dyDescent="0.35">
      <c r="A1652">
        <v>374</v>
      </c>
      <c r="B1652">
        <v>5</v>
      </c>
      <c r="C1652">
        <f>'0374 table 5'!E71</f>
        <v>48263.32</v>
      </c>
      <c r="D1652">
        <f>'0374 table 5'!F71</f>
        <v>344.26111111111106</v>
      </c>
      <c r="E1652">
        <f>'0374 table 5'!G71</f>
        <v>0.28794631059056974</v>
      </c>
    </row>
    <row r="1653" spans="1:5" x14ac:dyDescent="0.35">
      <c r="A1653">
        <v>374</v>
      </c>
      <c r="B1653">
        <v>5</v>
      </c>
      <c r="C1653">
        <f>'0374 table 5'!E72</f>
        <v>48263.32</v>
      </c>
      <c r="D1653">
        <f>'0374 table 5'!F72</f>
        <v>349.81666666666666</v>
      </c>
      <c r="E1653">
        <f>'0374 table 5'!G72</f>
        <v>0.28331187227013427</v>
      </c>
    </row>
    <row r="1654" spans="1:5" x14ac:dyDescent="0.35">
      <c r="A1654">
        <v>374</v>
      </c>
      <c r="B1654">
        <v>5</v>
      </c>
      <c r="C1654">
        <f>'0374 table 5'!E73</f>
        <v>48263.32</v>
      </c>
      <c r="D1654">
        <f>'0374 table 5'!F73</f>
        <v>355.37222222222221</v>
      </c>
      <c r="E1654">
        <f>'0374 table 5'!G73</f>
        <v>0.27882425166498509</v>
      </c>
    </row>
    <row r="1655" spans="1:5" x14ac:dyDescent="0.35">
      <c r="A1655">
        <v>374</v>
      </c>
      <c r="B1655">
        <v>5</v>
      </c>
      <c r="C1655">
        <f>'0374 table 5'!E74</f>
        <v>68947.600000000006</v>
      </c>
      <c r="D1655">
        <f>'0374 table 5'!F74</f>
        <v>238.70555555555552</v>
      </c>
      <c r="E1655">
        <f>'0374 table 5'!G74</f>
        <v>0.60265061166867551</v>
      </c>
    </row>
    <row r="1656" spans="1:5" x14ac:dyDescent="0.35">
      <c r="A1656">
        <v>374</v>
      </c>
      <c r="B1656">
        <v>5</v>
      </c>
      <c r="C1656">
        <f>'0374 table 5'!E75</f>
        <v>68947.600000000006</v>
      </c>
      <c r="D1656">
        <f>'0374 table 5'!F75</f>
        <v>244.26111111111109</v>
      </c>
      <c r="E1656">
        <f>'0374 table 5'!G75</f>
        <v>0.58761750763585441</v>
      </c>
    </row>
    <row r="1657" spans="1:5" x14ac:dyDescent="0.35">
      <c r="A1657">
        <v>374</v>
      </c>
      <c r="B1657">
        <v>5</v>
      </c>
      <c r="C1657">
        <f>'0374 table 5'!E76</f>
        <v>68947.600000000006</v>
      </c>
      <c r="D1657">
        <f>'0374 table 5'!F76</f>
        <v>249.81666666666663</v>
      </c>
      <c r="E1657">
        <f>'0374 table 5'!G76</f>
        <v>0.57372683589374618</v>
      </c>
    </row>
    <row r="1658" spans="1:5" x14ac:dyDescent="0.35">
      <c r="A1658">
        <v>374</v>
      </c>
      <c r="B1658">
        <v>5</v>
      </c>
      <c r="C1658">
        <f>'0374 table 5'!E77</f>
        <v>68947.600000000006</v>
      </c>
      <c r="D1658">
        <f>'0374 table 5'!F77</f>
        <v>255.37222222222221</v>
      </c>
      <c r="E1658">
        <f>'0374 table 5'!G77</f>
        <v>0.56047772071915303</v>
      </c>
    </row>
    <row r="1659" spans="1:5" x14ac:dyDescent="0.35">
      <c r="A1659">
        <v>374</v>
      </c>
      <c r="B1659">
        <v>5</v>
      </c>
      <c r="C1659">
        <f>'0374 table 5'!E78</f>
        <v>68947.600000000006</v>
      </c>
      <c r="D1659">
        <f>'0374 table 5'!F78</f>
        <v>260.92777777777775</v>
      </c>
      <c r="E1659">
        <f>'0374 table 5'!G78</f>
        <v>0.54782671881509559</v>
      </c>
    </row>
    <row r="1660" spans="1:5" x14ac:dyDescent="0.35">
      <c r="A1660">
        <v>374</v>
      </c>
      <c r="B1660">
        <v>5</v>
      </c>
      <c r="C1660">
        <f>'0374 table 5'!E79</f>
        <v>68947.600000000006</v>
      </c>
      <c r="D1660">
        <f>'0374 table 5'!F79</f>
        <v>266.48333333333329</v>
      </c>
      <c r="E1660">
        <f>'0374 table 5'!G79</f>
        <v>0.53573422268071558</v>
      </c>
    </row>
    <row r="1661" spans="1:5" x14ac:dyDescent="0.35">
      <c r="A1661">
        <v>374</v>
      </c>
      <c r="B1661">
        <v>5</v>
      </c>
      <c r="C1661">
        <f>'0374 table 5'!E80</f>
        <v>68947.600000000006</v>
      </c>
      <c r="D1661">
        <f>'0374 table 5'!F80</f>
        <v>272.03888888888889</v>
      </c>
      <c r="E1661">
        <f>'0374 table 5'!G80</f>
        <v>0.52433562219814711</v>
      </c>
    </row>
    <row r="1662" spans="1:5" x14ac:dyDescent="0.35">
      <c r="A1662">
        <v>374</v>
      </c>
      <c r="B1662">
        <v>5</v>
      </c>
      <c r="C1662">
        <f>'0374 table 5'!E81</f>
        <v>68947.600000000006</v>
      </c>
      <c r="D1662">
        <f>'0374 table 5'!F81</f>
        <v>277.59444444444443</v>
      </c>
      <c r="E1662">
        <f>'0374 table 5'!G81</f>
        <v>0.51341196340235229</v>
      </c>
    </row>
    <row r="1663" spans="1:5" x14ac:dyDescent="0.35">
      <c r="A1663">
        <v>374</v>
      </c>
      <c r="B1663">
        <v>5</v>
      </c>
      <c r="C1663">
        <f>'0374 table 5'!E82</f>
        <v>68947.600000000006</v>
      </c>
      <c r="D1663">
        <f>'0374 table 5'!F82</f>
        <v>283.14999999999998</v>
      </c>
      <c r="E1663">
        <f>'0374 table 5'!G82</f>
        <v>0.50293416823087578</v>
      </c>
    </row>
    <row r="1664" spans="1:5" x14ac:dyDescent="0.35">
      <c r="A1664">
        <v>374</v>
      </c>
      <c r="B1664">
        <v>5</v>
      </c>
      <c r="C1664">
        <f>'0374 table 5'!E83</f>
        <v>68947.600000000006</v>
      </c>
      <c r="D1664">
        <f>'0374 table 5'!F83</f>
        <v>288.70555555555552</v>
      </c>
      <c r="E1664">
        <f>'0374 table 5'!G83</f>
        <v>0.4930271855387317</v>
      </c>
    </row>
    <row r="1665" spans="1:5" x14ac:dyDescent="0.35">
      <c r="A1665">
        <v>374</v>
      </c>
      <c r="B1665">
        <v>5</v>
      </c>
      <c r="C1665">
        <f>'0374 table 5'!E84</f>
        <v>68947.600000000006</v>
      </c>
      <c r="D1665">
        <f>'0374 table 5'!F84</f>
        <v>294.26111111111106</v>
      </c>
      <c r="E1665">
        <f>'0374 table 5'!G84</f>
        <v>0.48335706874331297</v>
      </c>
    </row>
    <row r="1666" spans="1:5" x14ac:dyDescent="0.35">
      <c r="A1666">
        <v>374</v>
      </c>
      <c r="B1666">
        <v>5</v>
      </c>
      <c r="C1666">
        <f>'0374 table 5'!E85</f>
        <v>68947.600000000006</v>
      </c>
      <c r="D1666">
        <f>'0374 table 5'!F85</f>
        <v>299.81666666666666</v>
      </c>
      <c r="E1666">
        <f>'0374 table 5'!G85</f>
        <v>0.47419932676593823</v>
      </c>
    </row>
    <row r="1667" spans="1:5" x14ac:dyDescent="0.35">
      <c r="A1667">
        <v>374</v>
      </c>
      <c r="B1667">
        <v>5</v>
      </c>
      <c r="C1667">
        <f>'0374 table 5'!E86</f>
        <v>68947.600000000006</v>
      </c>
      <c r="D1667">
        <f>'0374 table 5'!F86</f>
        <v>305.37222222222221</v>
      </c>
      <c r="E1667">
        <f>'0374 table 5'!G86</f>
        <v>0.46538213998121425</v>
      </c>
    </row>
    <row r="1668" spans="1:5" x14ac:dyDescent="0.35">
      <c r="A1668">
        <v>374</v>
      </c>
      <c r="B1668">
        <v>5</v>
      </c>
      <c r="C1668">
        <f>'0374 table 5'!E87</f>
        <v>68947.600000000006</v>
      </c>
      <c r="D1668">
        <f>'0374 table 5'!F87</f>
        <v>310.92777777777775</v>
      </c>
      <c r="E1668">
        <f>'0374 table 5'!G87</f>
        <v>0.45675657993023649</v>
      </c>
    </row>
    <row r="1669" spans="1:5" x14ac:dyDescent="0.35">
      <c r="A1669">
        <v>374</v>
      </c>
      <c r="B1669">
        <v>5</v>
      </c>
      <c r="C1669">
        <f>'0374 table 5'!E88</f>
        <v>68947.600000000006</v>
      </c>
      <c r="D1669">
        <f>'0374 table 5'!F88</f>
        <v>316.48333333333329</v>
      </c>
      <c r="E1669">
        <f>'0374 table 5'!G88</f>
        <v>0.44857051969065792</v>
      </c>
    </row>
    <row r="1670" spans="1:5" x14ac:dyDescent="0.35">
      <c r="A1670">
        <v>374</v>
      </c>
      <c r="B1670">
        <v>5</v>
      </c>
      <c r="C1670">
        <f>'0374 table 5'!E89</f>
        <v>68947.600000000006</v>
      </c>
      <c r="D1670">
        <f>'0374 table 5'!F89</f>
        <v>322.03888888888889</v>
      </c>
      <c r="E1670">
        <f>'0374 table 5'!G89</f>
        <v>0.44067271686804382</v>
      </c>
    </row>
    <row r="1671" spans="1:5" x14ac:dyDescent="0.35">
      <c r="A1671">
        <v>374</v>
      </c>
      <c r="B1671">
        <v>5</v>
      </c>
      <c r="C1671">
        <f>'0374 table 5'!E90</f>
        <v>68947.600000000006</v>
      </c>
      <c r="D1671">
        <f>'0374 table 5'!F90</f>
        <v>327.59444444444443</v>
      </c>
      <c r="E1671">
        <f>'0374 table 5'!G90</f>
        <v>0.43304820919582032</v>
      </c>
    </row>
    <row r="1672" spans="1:5" x14ac:dyDescent="0.35">
      <c r="A1672">
        <v>374</v>
      </c>
      <c r="B1672">
        <v>5</v>
      </c>
      <c r="C1672">
        <f>'0374 table 5'!E91</f>
        <v>68947.600000000006</v>
      </c>
      <c r="D1672">
        <f>'0374 table 5'!F91</f>
        <v>333.15</v>
      </c>
      <c r="E1672">
        <f>'0374 table 5'!G91</f>
        <v>0.42579620569254106</v>
      </c>
    </row>
    <row r="1673" spans="1:5" x14ac:dyDescent="0.35">
      <c r="A1673">
        <v>374</v>
      </c>
      <c r="B1673">
        <v>5</v>
      </c>
      <c r="C1673">
        <f>'0374 table 5'!E92</f>
        <v>68947.600000000006</v>
      </c>
      <c r="D1673">
        <f>'0374 table 5'!F92</f>
        <v>338.70555555555552</v>
      </c>
      <c r="E1673">
        <f>'0374 table 5'!G92</f>
        <v>0.41867363455706724</v>
      </c>
    </row>
    <row r="1674" spans="1:5" x14ac:dyDescent="0.35">
      <c r="A1674">
        <v>374</v>
      </c>
      <c r="B1674">
        <v>5</v>
      </c>
      <c r="C1674">
        <f>'0374 table 5'!E93</f>
        <v>68947.600000000006</v>
      </c>
      <c r="D1674">
        <f>'0374 table 5'!F93</f>
        <v>344.26111111111106</v>
      </c>
      <c r="E1674">
        <f>'0374 table 5'!G93</f>
        <v>0.41178543080085844</v>
      </c>
    </row>
    <row r="1675" spans="1:5" x14ac:dyDescent="0.35">
      <c r="A1675">
        <v>374</v>
      </c>
      <c r="B1675">
        <v>5</v>
      </c>
      <c r="C1675">
        <f>'0374 table 5'!E94</f>
        <v>68947.600000000006</v>
      </c>
      <c r="D1675">
        <f>'0374 table 5'!F94</f>
        <v>349.81666666666666</v>
      </c>
      <c r="E1675">
        <f>'0374 table 5'!G94</f>
        <v>0.40512021391384401</v>
      </c>
    </row>
    <row r="1676" spans="1:5" x14ac:dyDescent="0.35">
      <c r="A1676">
        <v>374</v>
      </c>
      <c r="B1676">
        <v>5</v>
      </c>
      <c r="C1676">
        <f>'0374 table 5'!E95</f>
        <v>68947.600000000006</v>
      </c>
      <c r="D1676">
        <f>'0374 table 5'!F95</f>
        <v>355.37222222222221</v>
      </c>
      <c r="E1676">
        <f>'0374 table 5'!G95</f>
        <v>0.39876657351639017</v>
      </c>
    </row>
    <row r="1677" spans="1:5" x14ac:dyDescent="0.35">
      <c r="A1677">
        <v>374</v>
      </c>
      <c r="B1677">
        <v>5</v>
      </c>
      <c r="C1677">
        <f>'0374 table 5'!E96</f>
        <v>68947.600000000006</v>
      </c>
      <c r="D1677">
        <f>'0374 table 5'!F96</f>
        <v>360.92777777777775</v>
      </c>
      <c r="E1677">
        <f>'0374 table 5'!G96</f>
        <v>0.39251294433112943</v>
      </c>
    </row>
    <row r="1678" spans="1:5" x14ac:dyDescent="0.35">
      <c r="A1678">
        <v>374</v>
      </c>
      <c r="B1678">
        <v>5</v>
      </c>
      <c r="C1678">
        <f>'0374 table 5'!E97</f>
        <v>68947.600000000006</v>
      </c>
      <c r="D1678">
        <f>'0374 table 5'!F97</f>
        <v>366.48333333333329</v>
      </c>
      <c r="E1678">
        <f>'0374 table 5'!G97</f>
        <v>0.3864524308360287</v>
      </c>
    </row>
    <row r="1679" spans="1:5" x14ac:dyDescent="0.35">
      <c r="A1679">
        <v>374</v>
      </c>
      <c r="B1679">
        <v>5</v>
      </c>
      <c r="C1679">
        <f>'0374 table 5'!E98</f>
        <v>75842.36</v>
      </c>
      <c r="D1679">
        <f>'0374 table 5'!F98</f>
        <v>238.70555555555552</v>
      </c>
      <c r="E1679">
        <f>'0374 table 5'!G98</f>
        <v>0.66411497753538118</v>
      </c>
    </row>
    <row r="1680" spans="1:5" x14ac:dyDescent="0.35">
      <c r="A1680">
        <v>374</v>
      </c>
      <c r="B1680">
        <v>5</v>
      </c>
      <c r="C1680">
        <f>'0374 table 5'!E99</f>
        <v>75842.36</v>
      </c>
      <c r="D1680">
        <f>'0374 table 5'!F99</f>
        <v>244.26111111111109</v>
      </c>
      <c r="E1680">
        <f>'0374 table 5'!G99</f>
        <v>0.64747183743546466</v>
      </c>
    </row>
    <row r="1681" spans="1:5" x14ac:dyDescent="0.35">
      <c r="A1681">
        <v>374</v>
      </c>
      <c r="B1681">
        <v>5</v>
      </c>
      <c r="C1681">
        <f>'0374 table 5'!E100</f>
        <v>75842.36</v>
      </c>
      <c r="D1681">
        <f>'0374 table 5'!F100</f>
        <v>249.81666666666663</v>
      </c>
      <c r="E1681">
        <f>'0374 table 5'!G100</f>
        <v>0.63189164726443359</v>
      </c>
    </row>
    <row r="1682" spans="1:5" x14ac:dyDescent="0.35">
      <c r="A1682">
        <v>374</v>
      </c>
      <c r="B1682">
        <v>5</v>
      </c>
      <c r="C1682">
        <f>'0374 table 5'!E101</f>
        <v>75842.36</v>
      </c>
      <c r="D1682">
        <f>'0374 table 5'!F101</f>
        <v>255.37222222222221</v>
      </c>
      <c r="E1682">
        <f>'0374 table 5'!G101</f>
        <v>0.61728143576699013</v>
      </c>
    </row>
    <row r="1683" spans="1:5" x14ac:dyDescent="0.35">
      <c r="A1683">
        <v>374</v>
      </c>
      <c r="B1683">
        <v>5</v>
      </c>
      <c r="C1683">
        <f>'0374 table 5'!E102</f>
        <v>75842.36</v>
      </c>
      <c r="D1683">
        <f>'0374 table 5'!F102</f>
        <v>260.92777777777775</v>
      </c>
      <c r="E1683">
        <f>'0374 table 5'!G102</f>
        <v>0.60333157281180394</v>
      </c>
    </row>
    <row r="1684" spans="1:5" x14ac:dyDescent="0.35">
      <c r="A1684">
        <v>374</v>
      </c>
      <c r="B1684">
        <v>5</v>
      </c>
      <c r="C1684">
        <f>'0374 table 5'!E103</f>
        <v>75842.36</v>
      </c>
      <c r="D1684">
        <f>'0374 table 5'!F103</f>
        <v>266.48333333333329</v>
      </c>
      <c r="E1684">
        <f>'0374 table 5'!G103</f>
        <v>0.58999827838502372</v>
      </c>
    </row>
    <row r="1685" spans="1:5" x14ac:dyDescent="0.35">
      <c r="A1685">
        <v>374</v>
      </c>
      <c r="B1685">
        <v>5</v>
      </c>
      <c r="C1685">
        <f>'0374 table 5'!E104</f>
        <v>75842.36</v>
      </c>
      <c r="D1685">
        <f>'0374 table 5'!F104</f>
        <v>272.03888888888889</v>
      </c>
      <c r="E1685">
        <f>'0374 table 5'!G104</f>
        <v>0.57744964881591188</v>
      </c>
    </row>
    <row r="1686" spans="1:5" x14ac:dyDescent="0.35">
      <c r="A1686">
        <v>374</v>
      </c>
      <c r="B1686">
        <v>5</v>
      </c>
      <c r="C1686">
        <f>'0374 table 5'!E105</f>
        <v>75842.36</v>
      </c>
      <c r="D1686">
        <f>'0374 table 5'!F105</f>
        <v>277.59444444444443</v>
      </c>
      <c r="E1686">
        <f>'0374 table 5'!G105</f>
        <v>0.56522417989249796</v>
      </c>
    </row>
    <row r="1687" spans="1:5" x14ac:dyDescent="0.35">
      <c r="A1687">
        <v>374</v>
      </c>
      <c r="B1687">
        <v>5</v>
      </c>
      <c r="C1687">
        <f>'0374 table 5'!E106</f>
        <v>75842.36</v>
      </c>
      <c r="D1687">
        <f>'0374 table 5'!F106</f>
        <v>283.14999999999998</v>
      </c>
      <c r="E1687">
        <f>'0374 table 5'!G106</f>
        <v>0.55369696709828531</v>
      </c>
    </row>
    <row r="1688" spans="1:5" x14ac:dyDescent="0.35">
      <c r="A1688">
        <v>374</v>
      </c>
      <c r="B1688">
        <v>5</v>
      </c>
      <c r="C1688">
        <f>'0374 table 5'!E107</f>
        <v>75842.36</v>
      </c>
      <c r="D1688">
        <f>'0374 table 5'!F107</f>
        <v>288.70555555555552</v>
      </c>
      <c r="E1688">
        <f>'0374 table 5'!G107</f>
        <v>0.54263053042525045</v>
      </c>
    </row>
    <row r="1689" spans="1:5" x14ac:dyDescent="0.35">
      <c r="A1689">
        <v>374</v>
      </c>
      <c r="B1689">
        <v>5</v>
      </c>
      <c r="C1689">
        <f>'0374 table 5'!E108</f>
        <v>75842.36</v>
      </c>
      <c r="D1689">
        <f>'0374 table 5'!F108</f>
        <v>294.26111111111106</v>
      </c>
      <c r="E1689">
        <f>'0374 table 5'!G108</f>
        <v>0.53217452684894995</v>
      </c>
    </row>
    <row r="1690" spans="1:5" x14ac:dyDescent="0.35">
      <c r="A1690">
        <v>374</v>
      </c>
      <c r="B1690">
        <v>5</v>
      </c>
      <c r="C1690">
        <f>'0374 table 5'!E109</f>
        <v>75842.36</v>
      </c>
      <c r="D1690">
        <f>'0374 table 5'!F109</f>
        <v>299.81666666666666</v>
      </c>
      <c r="E1690">
        <f>'0374 table 5'!G109</f>
        <v>0.52194373601021149</v>
      </c>
    </row>
    <row r="1691" spans="1:5" x14ac:dyDescent="0.35">
      <c r="A1691">
        <v>374</v>
      </c>
      <c r="B1691">
        <v>5</v>
      </c>
      <c r="C1691">
        <f>'0374 table 5'!E110</f>
        <v>75842.36</v>
      </c>
      <c r="D1691">
        <f>'0374 table 5'!F110</f>
        <v>305.37222222222221</v>
      </c>
      <c r="E1691">
        <f>'0374 table 5'!G110</f>
        <v>0.51209888932715453</v>
      </c>
    </row>
    <row r="1692" spans="1:5" x14ac:dyDescent="0.35">
      <c r="A1692">
        <v>374</v>
      </c>
      <c r="B1692">
        <v>5</v>
      </c>
      <c r="C1692">
        <f>'0374 table 5'!E111</f>
        <v>75842.36</v>
      </c>
      <c r="D1692">
        <f>'0374 table 5'!F111</f>
        <v>310.92777777777775</v>
      </c>
      <c r="E1692">
        <f>'0374 table 5'!G111</f>
        <v>0.5027763106765033</v>
      </c>
    </row>
    <row r="1693" spans="1:5" x14ac:dyDescent="0.35">
      <c r="A1693">
        <v>374</v>
      </c>
      <c r="B1693">
        <v>5</v>
      </c>
      <c r="C1693">
        <f>'0374 table 5'!E112</f>
        <v>75842.36</v>
      </c>
      <c r="D1693">
        <f>'0374 table 5'!F112</f>
        <v>316.48333333333329</v>
      </c>
      <c r="E1693">
        <f>'0374 table 5'!G112</f>
        <v>0.49378709180497521</v>
      </c>
    </row>
    <row r="1694" spans="1:5" x14ac:dyDescent="0.35">
      <c r="A1694">
        <v>374</v>
      </c>
      <c r="B1694">
        <v>5</v>
      </c>
      <c r="C1694">
        <f>'0374 table 5'!E113</f>
        <v>75842.36</v>
      </c>
      <c r="D1694">
        <f>'0374 table 5'!F113</f>
        <v>322.03888888888889</v>
      </c>
      <c r="E1694">
        <f>'0374 table 5'!G113</f>
        <v>0.48496679558442002</v>
      </c>
    </row>
    <row r="1695" spans="1:5" x14ac:dyDescent="0.35">
      <c r="A1695">
        <v>374</v>
      </c>
      <c r="B1695">
        <v>5</v>
      </c>
      <c r="C1695">
        <f>'0374 table 5'!E114</f>
        <v>75842.36</v>
      </c>
      <c r="D1695">
        <f>'0374 table 5'!F114</f>
        <v>327.59444444444443</v>
      </c>
      <c r="E1695">
        <f>'0374 table 5'!G114</f>
        <v>0.47659783570822351</v>
      </c>
    </row>
    <row r="1696" spans="1:5" x14ac:dyDescent="0.35">
      <c r="A1696">
        <v>374</v>
      </c>
      <c r="B1696">
        <v>5</v>
      </c>
      <c r="C1696">
        <f>'0374 table 5'!E115</f>
        <v>75842.36</v>
      </c>
      <c r="D1696">
        <f>'0374 table 5'!F115</f>
        <v>333.15</v>
      </c>
      <c r="E1696">
        <f>'0374 table 5'!G115</f>
        <v>0.46851281831393377</v>
      </c>
    </row>
    <row r="1697" spans="1:5" x14ac:dyDescent="0.35">
      <c r="A1697">
        <v>374</v>
      </c>
      <c r="B1697">
        <v>5</v>
      </c>
      <c r="C1697">
        <f>'0374 table 5'!E116</f>
        <v>75842.36</v>
      </c>
      <c r="D1697">
        <f>'0374 table 5'!F116</f>
        <v>338.70555555555552</v>
      </c>
      <c r="E1697">
        <f>'0374 table 5'!G116</f>
        <v>0.46069753402799513</v>
      </c>
    </row>
    <row r="1698" spans="1:5" x14ac:dyDescent="0.35">
      <c r="A1698">
        <v>374</v>
      </c>
      <c r="B1698">
        <v>5</v>
      </c>
      <c r="C1698">
        <f>'0374 table 5'!E117</f>
        <v>75842.36</v>
      </c>
      <c r="D1698">
        <f>'0374 table 5'!F117</f>
        <v>344.26111111111106</v>
      </c>
      <c r="E1698">
        <f>'0374 table 5'!G117</f>
        <v>0.45313870602979894</v>
      </c>
    </row>
    <row r="1699" spans="1:5" x14ac:dyDescent="0.35">
      <c r="A1699">
        <v>374</v>
      </c>
      <c r="B1699">
        <v>5</v>
      </c>
      <c r="C1699">
        <f>'0374 table 5'!E118</f>
        <v>75842.36</v>
      </c>
      <c r="D1699">
        <f>'0374 table 5'!F118</f>
        <v>349.81666666666666</v>
      </c>
      <c r="E1699">
        <f>'0374 table 5'!G118</f>
        <v>0.44582391478300565</v>
      </c>
    </row>
    <row r="1700" spans="1:5" x14ac:dyDescent="0.35">
      <c r="A1700">
        <v>374</v>
      </c>
      <c r="B1700">
        <v>5</v>
      </c>
      <c r="C1700">
        <f>'0374 table 5'!E119</f>
        <v>75842.36</v>
      </c>
      <c r="D1700">
        <f>'0374 table 5'!F119</f>
        <v>355.37222222222221</v>
      </c>
      <c r="E1700">
        <f>'0374 table 5'!G119</f>
        <v>0.43874152994120502</v>
      </c>
    </row>
    <row r="1701" spans="1:5" x14ac:dyDescent="0.35">
      <c r="A1701">
        <v>374</v>
      </c>
      <c r="B1701">
        <v>5</v>
      </c>
      <c r="C1701">
        <f>'0374 table 5'!E120</f>
        <v>75842.36</v>
      </c>
      <c r="D1701">
        <f>'0374 table 5'!F120</f>
        <v>360.92777777777775</v>
      </c>
      <c r="E1701">
        <f>'0374 table 5'!G120</f>
        <v>0.43188064864258263</v>
      </c>
    </row>
    <row r="1702" spans="1:5" x14ac:dyDescent="0.35">
      <c r="A1702">
        <v>374</v>
      </c>
      <c r="B1702">
        <v>5</v>
      </c>
      <c r="C1702">
        <f>'0374 table 5'!E121</f>
        <v>75842.36</v>
      </c>
      <c r="D1702">
        <f>'0374 table 5'!F121</f>
        <v>366.48333333333329</v>
      </c>
      <c r="E1702">
        <f>'0374 table 5'!G121</f>
        <v>0.42523103950500113</v>
      </c>
    </row>
    <row r="1703" spans="1:5" x14ac:dyDescent="0.35">
      <c r="A1703">
        <v>374</v>
      </c>
      <c r="B1703">
        <v>5</v>
      </c>
      <c r="C1703">
        <f>'0374 table 5'!E122</f>
        <v>82737.119999999995</v>
      </c>
      <c r="D1703">
        <f>'0374 table 5'!F122</f>
        <v>238.70555555555552</v>
      </c>
      <c r="E1703">
        <f>'0374 table 5'!G122</f>
        <v>0.72580214128470288</v>
      </c>
    </row>
    <row r="1704" spans="1:5" x14ac:dyDescent="0.35">
      <c r="A1704">
        <v>374</v>
      </c>
      <c r="B1704">
        <v>5</v>
      </c>
      <c r="C1704">
        <f>'0374 table 5'!E123</f>
        <v>82737.119999999995</v>
      </c>
      <c r="D1704">
        <f>'0374 table 5'!F123</f>
        <v>244.26111111111109</v>
      </c>
      <c r="E1704">
        <f>'0374 table 5'!G123</f>
        <v>0.70752885415871869</v>
      </c>
    </row>
    <row r="1705" spans="1:5" x14ac:dyDescent="0.35">
      <c r="A1705">
        <v>374</v>
      </c>
      <c r="B1705">
        <v>5</v>
      </c>
      <c r="C1705">
        <f>'0374 table 5'!E124</f>
        <v>82737.119999999995</v>
      </c>
      <c r="D1705">
        <f>'0374 table 5'!F124</f>
        <v>249.81666666666663</v>
      </c>
      <c r="E1705">
        <f>'0374 table 5'!G124</f>
        <v>0.69045057147212907</v>
      </c>
    </row>
    <row r="1706" spans="1:5" x14ac:dyDescent="0.35">
      <c r="A1706">
        <v>374</v>
      </c>
      <c r="B1706">
        <v>5</v>
      </c>
      <c r="C1706">
        <f>'0374 table 5'!E125</f>
        <v>82737.119999999995</v>
      </c>
      <c r="D1706">
        <f>'0374 table 5'!F125</f>
        <v>255.37222222222221</v>
      </c>
      <c r="E1706">
        <f>'0374 table 5'!G125</f>
        <v>0.674461189816985</v>
      </c>
    </row>
    <row r="1707" spans="1:5" x14ac:dyDescent="0.35">
      <c r="A1707">
        <v>374</v>
      </c>
      <c r="B1707">
        <v>5</v>
      </c>
      <c r="C1707">
        <f>'0374 table 5'!E126</f>
        <v>82737.119999999995</v>
      </c>
      <c r="D1707">
        <f>'0374 table 5'!F126</f>
        <v>260.92777777777775</v>
      </c>
      <c r="E1707">
        <f>'0374 table 5'!G126</f>
        <v>0.65892444500836667</v>
      </c>
    </row>
    <row r="1708" spans="1:5" x14ac:dyDescent="0.35">
      <c r="A1708">
        <v>374</v>
      </c>
      <c r="B1708">
        <v>5</v>
      </c>
      <c r="C1708">
        <f>'0374 table 5'!E127</f>
        <v>82737.119999999995</v>
      </c>
      <c r="D1708">
        <f>'0374 table 5'!F127</f>
        <v>266.48333333333329</v>
      </c>
      <c r="E1708">
        <f>'0374 table 5'!G127</f>
        <v>0.64434647056127892</v>
      </c>
    </row>
    <row r="1709" spans="1:5" x14ac:dyDescent="0.35">
      <c r="A1709">
        <v>374</v>
      </c>
      <c r="B1709">
        <v>5</v>
      </c>
      <c r="C1709">
        <f>'0374 table 5'!E128</f>
        <v>82737.119999999995</v>
      </c>
      <c r="D1709">
        <f>'0374 table 5'!F128</f>
        <v>272.03888888888889</v>
      </c>
      <c r="E1709">
        <f>'0374 table 5'!G128</f>
        <v>0.63039957725908669</v>
      </c>
    </row>
    <row r="1710" spans="1:5" x14ac:dyDescent="0.35">
      <c r="A1710">
        <v>374</v>
      </c>
      <c r="B1710">
        <v>5</v>
      </c>
      <c r="C1710">
        <f>'0374 table 5'!E129</f>
        <v>82737.119999999995</v>
      </c>
      <c r="D1710">
        <f>'0374 table 5'!F129</f>
        <v>277.59444444444443</v>
      </c>
      <c r="E1710">
        <f>'0374 table 5'!G129</f>
        <v>0.61728143576699013</v>
      </c>
    </row>
    <row r="1711" spans="1:5" x14ac:dyDescent="0.35">
      <c r="A1711">
        <v>374</v>
      </c>
      <c r="B1711">
        <v>5</v>
      </c>
      <c r="C1711">
        <f>'0374 table 5'!E130</f>
        <v>82737.119999999995</v>
      </c>
      <c r="D1711">
        <f>'0374 table 5'!F130</f>
        <v>283.14999999999998</v>
      </c>
      <c r="E1711">
        <f>'0374 table 5'!G130</f>
        <v>0.60469812224059627</v>
      </c>
    </row>
    <row r="1712" spans="1:5" x14ac:dyDescent="0.35">
      <c r="A1712">
        <v>374</v>
      </c>
      <c r="B1712">
        <v>5</v>
      </c>
      <c r="C1712">
        <f>'0374 table 5'!E131</f>
        <v>82737.119999999995</v>
      </c>
      <c r="D1712">
        <f>'0374 table 5'!F131</f>
        <v>288.70555555555552</v>
      </c>
      <c r="E1712">
        <f>'0374 table 5'!G131</f>
        <v>0.59261758261758757</v>
      </c>
    </row>
    <row r="1713" spans="1:5" x14ac:dyDescent="0.35">
      <c r="A1713">
        <v>374</v>
      </c>
      <c r="B1713">
        <v>5</v>
      </c>
      <c r="C1713">
        <f>'0374 table 5'!E132</f>
        <v>82737.119999999995</v>
      </c>
      <c r="D1713">
        <f>'0374 table 5'!F132</f>
        <v>294.26111111111106</v>
      </c>
      <c r="E1713">
        <f>'0374 table 5'!G132</f>
        <v>0.58101027414412021</v>
      </c>
    </row>
    <row r="1714" spans="1:5" x14ac:dyDescent="0.35">
      <c r="A1714">
        <v>374</v>
      </c>
      <c r="B1714">
        <v>5</v>
      </c>
      <c r="C1714">
        <f>'0374 table 5'!E133</f>
        <v>82737.119999999995</v>
      </c>
      <c r="D1714">
        <f>'0374 table 5'!F133</f>
        <v>299.81666666666666</v>
      </c>
      <c r="E1714">
        <f>'0374 table 5'!G133</f>
        <v>0.56984892416056188</v>
      </c>
    </row>
    <row r="1715" spans="1:5" x14ac:dyDescent="0.35">
      <c r="A1715">
        <v>374</v>
      </c>
      <c r="B1715">
        <v>5</v>
      </c>
      <c r="C1715">
        <f>'0374 table 5'!E134</f>
        <v>82737.119999999995</v>
      </c>
      <c r="D1715">
        <f>'0374 table 5'!F134</f>
        <v>305.37222222222221</v>
      </c>
      <c r="E1715">
        <f>'0374 table 5'!G134</f>
        <v>0.5591083161659125</v>
      </c>
    </row>
    <row r="1716" spans="1:5" x14ac:dyDescent="0.35">
      <c r="A1716">
        <v>374</v>
      </c>
      <c r="B1716">
        <v>5</v>
      </c>
      <c r="C1716">
        <f>'0374 table 5'!E135</f>
        <v>82737.119999999995</v>
      </c>
      <c r="D1716">
        <f>'0374 table 5'!F135</f>
        <v>310.92777777777775</v>
      </c>
      <c r="E1716">
        <f>'0374 table 5'!G135</f>
        <v>0.54876509962841358</v>
      </c>
    </row>
    <row r="1717" spans="1:5" x14ac:dyDescent="0.35">
      <c r="A1717">
        <v>374</v>
      </c>
      <c r="B1717">
        <v>5</v>
      </c>
      <c r="C1717">
        <f>'0374 table 5'!E136</f>
        <v>82737.119999999995</v>
      </c>
      <c r="D1717">
        <f>'0374 table 5'!F136</f>
        <v>316.48333333333329</v>
      </c>
      <c r="E1717">
        <f>'0374 table 5'!G136</f>
        <v>0.53897891178174273</v>
      </c>
    </row>
    <row r="1718" spans="1:5" x14ac:dyDescent="0.35">
      <c r="A1718">
        <v>374</v>
      </c>
      <c r="B1718">
        <v>5</v>
      </c>
      <c r="C1718">
        <f>'0374 table 5'!E137</f>
        <v>82737.119999999995</v>
      </c>
      <c r="D1718">
        <f>'0374 table 5'!F137</f>
        <v>322.03888888888889</v>
      </c>
      <c r="E1718">
        <f>'0374 table 5'!G137</f>
        <v>0.52936064964155294</v>
      </c>
    </row>
    <row r="1719" spans="1:5" x14ac:dyDescent="0.35">
      <c r="A1719">
        <v>374</v>
      </c>
      <c r="B1719">
        <v>5</v>
      </c>
      <c r="C1719">
        <f>'0374 table 5'!E138</f>
        <v>82737.119999999995</v>
      </c>
      <c r="D1719">
        <f>'0374 table 5'!F138</f>
        <v>327.59444444444443</v>
      </c>
      <c r="E1719">
        <f>'0374 table 5'!G138</f>
        <v>0.5202485631098861</v>
      </c>
    </row>
    <row r="1720" spans="1:5" x14ac:dyDescent="0.35">
      <c r="A1720">
        <v>374</v>
      </c>
      <c r="B1720">
        <v>5</v>
      </c>
      <c r="C1720">
        <f>'0374 table 5'!E139</f>
        <v>82737.119999999995</v>
      </c>
      <c r="D1720">
        <f>'0374 table 5'!F139</f>
        <v>333.15</v>
      </c>
      <c r="E1720">
        <f>'0374 table 5'!G139</f>
        <v>0.51128162330524718</v>
      </c>
    </row>
    <row r="1721" spans="1:5" x14ac:dyDescent="0.35">
      <c r="A1721">
        <v>374</v>
      </c>
      <c r="B1721">
        <v>5</v>
      </c>
      <c r="C1721">
        <f>'0374 table 5'!E140</f>
        <v>82737.119999999995</v>
      </c>
      <c r="D1721">
        <f>'0374 table 5'!F140</f>
        <v>338.70555555555552</v>
      </c>
      <c r="E1721">
        <f>'0374 table 5'!G140</f>
        <v>0.5027763106765033</v>
      </c>
    </row>
    <row r="1722" spans="1:5" x14ac:dyDescent="0.35">
      <c r="A1722">
        <v>374</v>
      </c>
      <c r="B1722">
        <v>5</v>
      </c>
      <c r="C1722">
        <f>'0374 table 5'!E141</f>
        <v>82737.119999999995</v>
      </c>
      <c r="D1722">
        <f>'0374 table 5'!F141</f>
        <v>344.26111111111106</v>
      </c>
      <c r="E1722">
        <f>'0374 table 5'!G141</f>
        <v>0.49454934418503838</v>
      </c>
    </row>
    <row r="1723" spans="1:5" x14ac:dyDescent="0.35">
      <c r="A1723">
        <v>374</v>
      </c>
      <c r="B1723">
        <v>5</v>
      </c>
      <c r="C1723">
        <f>'0374 table 5'!E142</f>
        <v>82737.119999999995</v>
      </c>
      <c r="D1723">
        <f>'0374 table 5'!F142</f>
        <v>349.81666666666666</v>
      </c>
      <c r="E1723">
        <f>'0374 table 5'!G142</f>
        <v>0.48658728001681029</v>
      </c>
    </row>
    <row r="1724" spans="1:5" x14ac:dyDescent="0.35">
      <c r="A1724">
        <v>374</v>
      </c>
      <c r="B1724">
        <v>5</v>
      </c>
      <c r="C1724">
        <f>'0374 table 5'!E143</f>
        <v>82737.119999999995</v>
      </c>
      <c r="D1724">
        <f>'0374 table 5'!F143</f>
        <v>355.37222222222221</v>
      </c>
      <c r="E1724">
        <f>'0374 table 5'!G143</f>
        <v>0.4787344069980094</v>
      </c>
    </row>
    <row r="1725" spans="1:5" x14ac:dyDescent="0.35">
      <c r="A1725">
        <v>374</v>
      </c>
      <c r="B1725">
        <v>5</v>
      </c>
      <c r="C1725">
        <f>'0374 table 5'!E144</f>
        <v>82737.119999999995</v>
      </c>
      <c r="D1725">
        <f>'0374 table 5'!F144</f>
        <v>360.92777777777775</v>
      </c>
      <c r="E1725">
        <f>'0374 table 5'!G144</f>
        <v>0.47126958688300657</v>
      </c>
    </row>
    <row r="1726" spans="1:5" x14ac:dyDescent="0.35">
      <c r="A1726">
        <v>374</v>
      </c>
      <c r="B1726">
        <v>5</v>
      </c>
      <c r="C1726">
        <f>'0374 table 5'!E145</f>
        <v>82737.119999999995</v>
      </c>
      <c r="D1726">
        <f>'0374 table 5'!F145</f>
        <v>366.48333333333329</v>
      </c>
      <c r="E1726">
        <f>'0374 table 5'!G145</f>
        <v>0.46403398777964633</v>
      </c>
    </row>
    <row r="1727" spans="1:5" x14ac:dyDescent="0.35">
      <c r="A1727">
        <v>374</v>
      </c>
      <c r="B1727">
        <v>5</v>
      </c>
      <c r="C1727">
        <f>'0374 table 5'!E146</f>
        <v>55158.080000000002</v>
      </c>
      <c r="D1727">
        <f>'0374 table 5'!F146</f>
        <v>233.14999999999998</v>
      </c>
      <c r="E1727">
        <f>'0374 table 5'!G146</f>
        <v>0.4925723634118509</v>
      </c>
    </row>
    <row r="1728" spans="1:5" x14ac:dyDescent="0.35">
      <c r="A1728">
        <v>374</v>
      </c>
      <c r="B1728">
        <v>5</v>
      </c>
      <c r="C1728">
        <f>'0374 table 5'!E147</f>
        <v>55158.080000000002</v>
      </c>
      <c r="D1728">
        <f>'0374 table 5'!F147</f>
        <v>238.70555555555552</v>
      </c>
      <c r="E1728">
        <f>'0374 table 5'!G147</f>
        <v>0.48016946217486189</v>
      </c>
    </row>
    <row r="1729" spans="1:5" x14ac:dyDescent="0.35">
      <c r="A1729">
        <v>374</v>
      </c>
      <c r="B1729">
        <v>5</v>
      </c>
      <c r="C1729">
        <f>'0374 table 5'!E148</f>
        <v>55158.080000000002</v>
      </c>
      <c r="D1729">
        <f>'0374 table 5'!F148</f>
        <v>244.26111111111109</v>
      </c>
      <c r="E1729">
        <f>'0374 table 5'!G148</f>
        <v>0.46851281831393377</v>
      </c>
    </row>
    <row r="1730" spans="1:5" x14ac:dyDescent="0.35">
      <c r="A1730">
        <v>374</v>
      </c>
      <c r="B1730">
        <v>5</v>
      </c>
      <c r="C1730">
        <f>'0374 table 5'!E149</f>
        <v>55158.080000000002</v>
      </c>
      <c r="D1730">
        <f>'0374 table 5'!F149</f>
        <v>249.81666666666663</v>
      </c>
      <c r="E1730">
        <f>'0374 table 5'!G149</f>
        <v>0.45753936755650942</v>
      </c>
    </row>
    <row r="1731" spans="1:5" x14ac:dyDescent="0.35">
      <c r="A1731">
        <v>374</v>
      </c>
      <c r="B1731">
        <v>5</v>
      </c>
      <c r="C1731">
        <f>'0374 table 5'!E150</f>
        <v>55158.080000000002</v>
      </c>
      <c r="D1731">
        <f>'0374 table 5'!F150</f>
        <v>255.37222222222221</v>
      </c>
      <c r="E1731">
        <f>'0374 table 5'!G150</f>
        <v>0.44706819029174977</v>
      </c>
    </row>
    <row r="1732" spans="1:5" x14ac:dyDescent="0.35">
      <c r="A1732">
        <v>374</v>
      </c>
      <c r="B1732">
        <v>5</v>
      </c>
      <c r="C1732">
        <f>'0374 table 5'!E151</f>
        <v>55158.080000000002</v>
      </c>
      <c r="D1732">
        <f>'0374 table 5'!F151</f>
        <v>260.92777777777775</v>
      </c>
      <c r="E1732">
        <f>'0374 table 5'!G151</f>
        <v>0.43718485966575854</v>
      </c>
    </row>
    <row r="1733" spans="1:5" x14ac:dyDescent="0.35">
      <c r="A1733">
        <v>374</v>
      </c>
      <c r="B1733">
        <v>5</v>
      </c>
      <c r="C1733">
        <f>'0374 table 5'!E152</f>
        <v>55158.080000000002</v>
      </c>
      <c r="D1733">
        <f>'0374 table 5'!F152</f>
        <v>266.48333333333329</v>
      </c>
      <c r="E1733">
        <f>'0374 table 5'!G152</f>
        <v>0.42772905896270741</v>
      </c>
    </row>
    <row r="1734" spans="1:5" x14ac:dyDescent="0.35">
      <c r="A1734">
        <v>374</v>
      </c>
      <c r="B1734">
        <v>5</v>
      </c>
      <c r="C1734">
        <f>'0374 table 5'!E153</f>
        <v>55158.080000000002</v>
      </c>
      <c r="D1734">
        <f>'0374 table 5'!F153</f>
        <v>272.03888888888889</v>
      </c>
      <c r="E1734">
        <f>'0374 table 5'!G153</f>
        <v>0.41867363455706724</v>
      </c>
    </row>
    <row r="1735" spans="1:5" x14ac:dyDescent="0.35">
      <c r="A1735">
        <v>374</v>
      </c>
      <c r="B1735">
        <v>5</v>
      </c>
      <c r="C1735">
        <f>'0374 table 5'!E154</f>
        <v>55158.080000000002</v>
      </c>
      <c r="D1735">
        <f>'0374 table 5'!F154</f>
        <v>277.59444444444443</v>
      </c>
      <c r="E1735">
        <f>'0374 table 5'!G154</f>
        <v>0.40999368462127955</v>
      </c>
    </row>
    <row r="1736" spans="1:5" x14ac:dyDescent="0.35">
      <c r="A1736">
        <v>374</v>
      </c>
      <c r="B1736">
        <v>5</v>
      </c>
      <c r="C1736">
        <f>'0374 table 5'!E155</f>
        <v>55158.080000000002</v>
      </c>
      <c r="D1736">
        <f>'0374 table 5'!F155</f>
        <v>283.14999999999998</v>
      </c>
      <c r="E1736">
        <f>'0374 table 5'!G155</f>
        <v>0.40166633044517036</v>
      </c>
    </row>
    <row r="1737" spans="1:5" x14ac:dyDescent="0.35">
      <c r="A1737">
        <v>374</v>
      </c>
      <c r="B1737">
        <v>5</v>
      </c>
      <c r="C1737">
        <f>'0374 table 5'!E156</f>
        <v>55158.080000000002</v>
      </c>
      <c r="D1737">
        <f>'0374 table 5'!F156</f>
        <v>288.70555555555552</v>
      </c>
      <c r="E1737">
        <f>'0374 table 5'!G156</f>
        <v>0.393767287565226</v>
      </c>
    </row>
    <row r="1738" spans="1:5" x14ac:dyDescent="0.35">
      <c r="A1738">
        <v>374</v>
      </c>
      <c r="B1738">
        <v>5</v>
      </c>
      <c r="C1738">
        <f>'0374 table 5'!E157</f>
        <v>55158.080000000002</v>
      </c>
      <c r="D1738">
        <f>'0374 table 5'!F157</f>
        <v>294.26111111111106</v>
      </c>
      <c r="E1738">
        <f>'0374 table 5'!G157</f>
        <v>0.38617293293523131</v>
      </c>
    </row>
    <row r="1739" spans="1:5" x14ac:dyDescent="0.35">
      <c r="A1739">
        <v>374</v>
      </c>
      <c r="B1739">
        <v>5</v>
      </c>
      <c r="C1739">
        <f>'0374 table 5'!E158</f>
        <v>55158.080000000002</v>
      </c>
      <c r="D1739">
        <f>'0374 table 5'!F158</f>
        <v>299.81666666666666</v>
      </c>
      <c r="E1739">
        <f>'0374 table 5'!G158</f>
        <v>0.37886597110107362</v>
      </c>
    </row>
    <row r="1740" spans="1:5" x14ac:dyDescent="0.35">
      <c r="A1740">
        <v>374</v>
      </c>
      <c r="B1740">
        <v>5</v>
      </c>
      <c r="C1740">
        <f>'0374 table 5'!E159</f>
        <v>55158.080000000002</v>
      </c>
      <c r="D1740">
        <f>'0374 table 5'!F159</f>
        <v>305.37222222222221</v>
      </c>
      <c r="E1740">
        <f>'0374 table 5'!G159</f>
        <v>0.37183039132203793</v>
      </c>
    </row>
    <row r="1741" spans="1:5" x14ac:dyDescent="0.35">
      <c r="A1741">
        <v>374</v>
      </c>
      <c r="B1741">
        <v>5</v>
      </c>
      <c r="C1741">
        <f>'0374 table 5'!E160</f>
        <v>55158.080000000002</v>
      </c>
      <c r="D1741">
        <f>'0374 table 5'!F160</f>
        <v>310.92777777777775</v>
      </c>
      <c r="E1741">
        <f>'0374 table 5'!G160</f>
        <v>0.36505135045928427</v>
      </c>
    </row>
    <row r="1742" spans="1:5" x14ac:dyDescent="0.35">
      <c r="A1742">
        <v>374</v>
      </c>
      <c r="B1742">
        <v>5</v>
      </c>
      <c r="C1742">
        <f>'0374 table 5'!E161</f>
        <v>55158.080000000002</v>
      </c>
      <c r="D1742">
        <f>'0374 table 5'!F161</f>
        <v>316.48333333333329</v>
      </c>
      <c r="E1742">
        <f>'0374 table 5'!G161</f>
        <v>0.3585150684456892</v>
      </c>
    </row>
    <row r="1743" spans="1:5" x14ac:dyDescent="0.35">
      <c r="A1743">
        <v>374</v>
      </c>
      <c r="B1743">
        <v>5</v>
      </c>
      <c r="C1743">
        <f>'0374 table 5'!E162</f>
        <v>55158.080000000002</v>
      </c>
      <c r="D1743">
        <f>'0374 table 5'!F162</f>
        <v>322.03888888888889</v>
      </c>
      <c r="E1743">
        <f>'0374 table 5'!G162</f>
        <v>0.35220873478789344</v>
      </c>
    </row>
    <row r="1744" spans="1:5" x14ac:dyDescent="0.35">
      <c r="A1744">
        <v>374</v>
      </c>
      <c r="B1744">
        <v>5</v>
      </c>
      <c r="C1744">
        <f>'0374 table 5'!E163</f>
        <v>55158.080000000002</v>
      </c>
      <c r="D1744">
        <f>'0374 table 5'!F163</f>
        <v>327.59444444444443</v>
      </c>
      <c r="E1744">
        <f>'0374 table 5'!G163</f>
        <v>0.34619522926633656</v>
      </c>
    </row>
    <row r="1745" spans="1:5" x14ac:dyDescent="0.35">
      <c r="A1745">
        <v>374</v>
      </c>
      <c r="B1745">
        <v>5</v>
      </c>
      <c r="C1745">
        <f>'0374 table 5'!E164</f>
        <v>55158.080000000002</v>
      </c>
      <c r="D1745">
        <f>'0374 table 5'!F164</f>
        <v>333.15</v>
      </c>
      <c r="E1745">
        <f>'0374 table 5'!G164</f>
        <v>0.34031130780015706</v>
      </c>
    </row>
    <row r="1746" spans="1:5" x14ac:dyDescent="0.35">
      <c r="A1746">
        <v>374</v>
      </c>
      <c r="B1746">
        <v>5</v>
      </c>
      <c r="C1746">
        <f>'0374 table 5'!E165</f>
        <v>55158.080000000002</v>
      </c>
      <c r="D1746">
        <f>'0374 table 5'!F165</f>
        <v>338.70555555555552</v>
      </c>
      <c r="E1746">
        <f>'0374 table 5'!G165</f>
        <v>0.33462404967941078</v>
      </c>
    </row>
    <row r="1747" spans="1:5" x14ac:dyDescent="0.35">
      <c r="A1747">
        <v>374</v>
      </c>
      <c r="B1747">
        <v>5</v>
      </c>
      <c r="C1747">
        <f>'0374 table 5'!E166</f>
        <v>55158.080000000002</v>
      </c>
      <c r="D1747">
        <f>'0374 table 5'!F166</f>
        <v>344.26111111111106</v>
      </c>
      <c r="E1747">
        <f>'0374 table 5'!G166</f>
        <v>0.32919139453665014</v>
      </c>
    </row>
    <row r="1748" spans="1:5" x14ac:dyDescent="0.35">
      <c r="A1748">
        <v>374</v>
      </c>
      <c r="B1748">
        <v>5</v>
      </c>
      <c r="C1748">
        <f>'0374 table 5'!E167</f>
        <v>55158.080000000002</v>
      </c>
      <c r="D1748">
        <f>'0374 table 5'!F167</f>
        <v>349.81666666666666</v>
      </c>
      <c r="E1748">
        <f>'0374 table 5'!G167</f>
        <v>0.32386682689351787</v>
      </c>
    </row>
    <row r="1749" spans="1:5" x14ac:dyDescent="0.35">
      <c r="A1749">
        <v>374</v>
      </c>
      <c r="B1749">
        <v>5</v>
      </c>
      <c r="C1749">
        <f>'0374 table 5'!E168</f>
        <v>55158.080000000002</v>
      </c>
      <c r="D1749">
        <f>'0374 table 5'!F168</f>
        <v>355.37222222222221</v>
      </c>
      <c r="E1749">
        <f>'0374 table 5'!G168</f>
        <v>0.318775189216983</v>
      </c>
    </row>
    <row r="1750" spans="1:5" x14ac:dyDescent="0.35">
      <c r="A1750">
        <v>374</v>
      </c>
      <c r="B1750">
        <v>5</v>
      </c>
      <c r="C1750">
        <f>'0374 table 5'!E169</f>
        <v>62052.840000000004</v>
      </c>
      <c r="D1750">
        <f>'0374 table 5'!F169</f>
        <v>233.14999999999998</v>
      </c>
      <c r="E1750">
        <f>'0374 table 5'!G169</f>
        <v>0.55523234863616611</v>
      </c>
    </row>
    <row r="1751" spans="1:5" x14ac:dyDescent="0.35">
      <c r="A1751">
        <v>374</v>
      </c>
      <c r="B1751">
        <v>5</v>
      </c>
      <c r="C1751">
        <f>'0374 table 5'!E170</f>
        <v>62052.840000000004</v>
      </c>
      <c r="D1751">
        <f>'0374 table 5'!F170</f>
        <v>238.70555555555552</v>
      </c>
      <c r="E1751">
        <f>'0374 table 5'!G170</f>
        <v>0.54134684887304474</v>
      </c>
    </row>
    <row r="1752" spans="1:5" x14ac:dyDescent="0.35">
      <c r="A1752">
        <v>374</v>
      </c>
      <c r="B1752">
        <v>5</v>
      </c>
      <c r="C1752">
        <f>'0374 table 5'!E171</f>
        <v>62052.840000000004</v>
      </c>
      <c r="D1752">
        <f>'0374 table 5'!F171</f>
        <v>244.26111111111109</v>
      </c>
      <c r="E1752">
        <f>'0374 table 5'!G171</f>
        <v>0.52796484041375724</v>
      </c>
    </row>
    <row r="1753" spans="1:5" x14ac:dyDescent="0.35">
      <c r="A1753">
        <v>374</v>
      </c>
      <c r="B1753">
        <v>5</v>
      </c>
      <c r="C1753">
        <f>'0374 table 5'!E172</f>
        <v>62052.840000000004</v>
      </c>
      <c r="D1753">
        <f>'0374 table 5'!F172</f>
        <v>249.81666666666663</v>
      </c>
      <c r="E1753">
        <f>'0374 table 5'!G172</f>
        <v>0.5155601306132408</v>
      </c>
    </row>
    <row r="1754" spans="1:5" x14ac:dyDescent="0.35">
      <c r="A1754">
        <v>374</v>
      </c>
      <c r="B1754">
        <v>5</v>
      </c>
      <c r="C1754">
        <f>'0374 table 5'!E173</f>
        <v>62052.840000000004</v>
      </c>
      <c r="D1754">
        <f>'0374 table 5'!F173</f>
        <v>255.37222222222221</v>
      </c>
      <c r="E1754">
        <f>'0374 table 5'!G173</f>
        <v>0.50372494522494948</v>
      </c>
    </row>
    <row r="1755" spans="1:5" x14ac:dyDescent="0.35">
      <c r="A1755">
        <v>374</v>
      </c>
      <c r="B1755">
        <v>5</v>
      </c>
      <c r="C1755">
        <f>'0374 table 5'!E174</f>
        <v>62052.840000000004</v>
      </c>
      <c r="D1755">
        <f>'0374 table 5'!F174</f>
        <v>260.92777777777775</v>
      </c>
      <c r="E1755">
        <f>'0374 table 5'!G174</f>
        <v>0.49242094245783558</v>
      </c>
    </row>
    <row r="1756" spans="1:5" x14ac:dyDescent="0.35">
      <c r="A1756">
        <v>374</v>
      </c>
      <c r="B1756">
        <v>5</v>
      </c>
      <c r="C1756">
        <f>'0374 table 5'!E175</f>
        <v>62052.840000000004</v>
      </c>
      <c r="D1756">
        <f>'0374 table 5'!F175</f>
        <v>266.48333333333329</v>
      </c>
      <c r="E1756">
        <f>'0374 table 5'!G175</f>
        <v>0.4816131466672699</v>
      </c>
    </row>
    <row r="1757" spans="1:5" x14ac:dyDescent="0.35">
      <c r="A1757">
        <v>374</v>
      </c>
      <c r="B1757">
        <v>5</v>
      </c>
      <c r="C1757">
        <f>'0374 table 5'!E176</f>
        <v>62052.840000000004</v>
      </c>
      <c r="D1757">
        <f>'0374 table 5'!F176</f>
        <v>272.03888888888889</v>
      </c>
      <c r="E1757">
        <f>'0374 table 5'!G176</f>
        <v>0.47140827716755135</v>
      </c>
    </row>
    <row r="1758" spans="1:5" x14ac:dyDescent="0.35">
      <c r="A1758">
        <v>374</v>
      </c>
      <c r="B1758">
        <v>5</v>
      </c>
      <c r="C1758">
        <f>'0374 table 5'!E177</f>
        <v>62052.840000000004</v>
      </c>
      <c r="D1758">
        <f>'0374 table 5'!F177</f>
        <v>277.59444444444443</v>
      </c>
      <c r="E1758">
        <f>'0374 table 5'!G177</f>
        <v>0.46162689504764814</v>
      </c>
    </row>
    <row r="1759" spans="1:5" x14ac:dyDescent="0.35">
      <c r="A1759">
        <v>374</v>
      </c>
      <c r="B1759">
        <v>5</v>
      </c>
      <c r="C1759">
        <f>'0374 table 5'!E178</f>
        <v>62052.840000000004</v>
      </c>
      <c r="D1759">
        <f>'0374 table 5'!F178</f>
        <v>283.14999999999998</v>
      </c>
      <c r="E1759">
        <f>'0374 table 5'!G178</f>
        <v>0.45224317499021438</v>
      </c>
    </row>
    <row r="1760" spans="1:5" x14ac:dyDescent="0.35">
      <c r="A1760">
        <v>374</v>
      </c>
      <c r="B1760">
        <v>5</v>
      </c>
      <c r="C1760">
        <f>'0374 table 5'!E179</f>
        <v>62052.840000000004</v>
      </c>
      <c r="D1760">
        <f>'0374 table 5'!F179</f>
        <v>288.70555555555552</v>
      </c>
      <c r="E1760">
        <f>'0374 table 5'!G179</f>
        <v>0.44335602707316329</v>
      </c>
    </row>
    <row r="1761" spans="1:5" x14ac:dyDescent="0.35">
      <c r="A1761">
        <v>374</v>
      </c>
      <c r="B1761">
        <v>5</v>
      </c>
      <c r="C1761">
        <f>'0374 table 5'!E180</f>
        <v>62052.840000000004</v>
      </c>
      <c r="D1761">
        <f>'0374 table 5'!F180</f>
        <v>294.26111111111106</v>
      </c>
      <c r="E1761">
        <f>'0374 table 5'!G180</f>
        <v>0.43457550890269653</v>
      </c>
    </row>
    <row r="1762" spans="1:5" x14ac:dyDescent="0.35">
      <c r="A1762">
        <v>374</v>
      </c>
      <c r="B1762">
        <v>5</v>
      </c>
      <c r="C1762">
        <f>'0374 table 5'!E181</f>
        <v>62052.840000000004</v>
      </c>
      <c r="D1762">
        <f>'0374 table 5'!F181</f>
        <v>299.81666666666666</v>
      </c>
      <c r="E1762">
        <f>'0374 table 5'!G181</f>
        <v>0.42647639132463777</v>
      </c>
    </row>
    <row r="1763" spans="1:5" x14ac:dyDescent="0.35">
      <c r="A1763">
        <v>374</v>
      </c>
      <c r="B1763">
        <v>5</v>
      </c>
      <c r="C1763">
        <f>'0374 table 5'!E182</f>
        <v>62052.840000000004</v>
      </c>
      <c r="D1763">
        <f>'0374 table 5'!F182</f>
        <v>305.37222222222221</v>
      </c>
      <c r="E1763">
        <f>'0374 table 5'!G182</f>
        <v>0.41856423460029768</v>
      </c>
    </row>
    <row r="1764" spans="1:5" x14ac:dyDescent="0.35">
      <c r="A1764">
        <v>374</v>
      </c>
      <c r="B1764">
        <v>5</v>
      </c>
      <c r="C1764">
        <f>'0374 table 5'!E183</f>
        <v>62052.840000000004</v>
      </c>
      <c r="D1764">
        <f>'0374 table 5'!F183</f>
        <v>310.92777777777775</v>
      </c>
      <c r="E1764">
        <f>'0374 table 5'!G183</f>
        <v>0.41094030934205733</v>
      </c>
    </row>
    <row r="1765" spans="1:5" x14ac:dyDescent="0.35">
      <c r="A1765">
        <v>374</v>
      </c>
      <c r="B1765">
        <v>5</v>
      </c>
      <c r="C1765">
        <f>'0374 table 5'!E184</f>
        <v>62052.840000000004</v>
      </c>
      <c r="D1765">
        <f>'0374 table 5'!F184</f>
        <v>316.48333333333329</v>
      </c>
      <c r="E1765">
        <f>'0374 table 5'!G184</f>
        <v>0.40348748761091668</v>
      </c>
    </row>
    <row r="1766" spans="1:5" x14ac:dyDescent="0.35">
      <c r="A1766">
        <v>374</v>
      </c>
      <c r="B1766">
        <v>5</v>
      </c>
      <c r="C1766">
        <f>'0374 table 5'!E185</f>
        <v>62052.840000000004</v>
      </c>
      <c r="D1766">
        <f>'0374 table 5'!F185</f>
        <v>322.03888888888889</v>
      </c>
      <c r="E1766">
        <f>'0374 table 5'!G185</f>
        <v>0.39649636777607411</v>
      </c>
    </row>
    <row r="1767" spans="1:5" x14ac:dyDescent="0.35">
      <c r="A1767">
        <v>374</v>
      </c>
      <c r="B1767">
        <v>5</v>
      </c>
      <c r="C1767">
        <f>'0374 table 5'!E186</f>
        <v>62052.840000000004</v>
      </c>
      <c r="D1767">
        <f>'0374 table 5'!F186</f>
        <v>327.59444444444443</v>
      </c>
      <c r="E1767">
        <f>'0374 table 5'!G186</f>
        <v>0.38964858326814383</v>
      </c>
    </row>
    <row r="1768" spans="1:5" x14ac:dyDescent="0.35">
      <c r="A1768">
        <v>374</v>
      </c>
      <c r="B1768">
        <v>5</v>
      </c>
      <c r="C1768">
        <f>'0374 table 5'!E187</f>
        <v>62052.840000000004</v>
      </c>
      <c r="D1768">
        <f>'0374 table 5'!F187</f>
        <v>333.15</v>
      </c>
      <c r="E1768">
        <f>'0374 table 5'!G187</f>
        <v>0.38303331559429443</v>
      </c>
    </row>
    <row r="1769" spans="1:5" x14ac:dyDescent="0.35">
      <c r="A1769">
        <v>374</v>
      </c>
      <c r="B1769">
        <v>5</v>
      </c>
      <c r="C1769">
        <f>'0374 table 5'!E188</f>
        <v>62052.840000000004</v>
      </c>
      <c r="D1769">
        <f>'0374 table 5'!F188</f>
        <v>338.70555555555552</v>
      </c>
      <c r="E1769">
        <f>'0374 table 5'!G188</f>
        <v>0.37663891977788372</v>
      </c>
    </row>
    <row r="1770" spans="1:5" x14ac:dyDescent="0.35">
      <c r="A1770">
        <v>374</v>
      </c>
      <c r="B1770">
        <v>5</v>
      </c>
      <c r="C1770">
        <f>'0374 table 5'!E189</f>
        <v>62052.840000000004</v>
      </c>
      <c r="D1770">
        <f>'0374 table 5'!F189</f>
        <v>344.26111111111106</v>
      </c>
      <c r="E1770">
        <f>'0374 table 5'!G189</f>
        <v>0.37045451568347343</v>
      </c>
    </row>
    <row r="1771" spans="1:5" x14ac:dyDescent="0.35">
      <c r="A1771">
        <v>374</v>
      </c>
      <c r="B1771">
        <v>5</v>
      </c>
      <c r="C1771">
        <f>'0374 table 5'!E190</f>
        <v>62052.840000000004</v>
      </c>
      <c r="D1771">
        <f>'0374 table 5'!F190</f>
        <v>349.81666666666666</v>
      </c>
      <c r="E1771">
        <f>'0374 table 5'!G190</f>
        <v>0.36446992623784741</v>
      </c>
    </row>
    <row r="1772" spans="1:5" x14ac:dyDescent="0.35">
      <c r="A1772">
        <v>374</v>
      </c>
      <c r="B1772">
        <v>5</v>
      </c>
      <c r="C1772">
        <f>'0374 table 5'!E191</f>
        <v>62052.840000000004</v>
      </c>
      <c r="D1772">
        <f>'0374 table 5'!F191</f>
        <v>355.37222222222221</v>
      </c>
      <c r="E1772">
        <f>'0374 table 5'!G191</f>
        <v>0.35875595203031119</v>
      </c>
    </row>
    <row r="1773" spans="1:5" x14ac:dyDescent="0.35">
      <c r="A1773">
        <v>374</v>
      </c>
      <c r="B1773">
        <v>5</v>
      </c>
      <c r="C1773">
        <f>'0374 table 5'!E192</f>
        <v>68947.600000000006</v>
      </c>
      <c r="D1773">
        <f>'0374 table 5'!F192</f>
        <v>233.14999999999998</v>
      </c>
      <c r="E1773">
        <f>'0374 table 5'!G192</f>
        <v>0.61847309877040135</v>
      </c>
    </row>
    <row r="1774" spans="1:5" x14ac:dyDescent="0.35">
      <c r="A1774">
        <v>374</v>
      </c>
      <c r="B1774">
        <v>5</v>
      </c>
      <c r="C1774">
        <f>'0374 table 5'!E193</f>
        <v>68947.600000000006</v>
      </c>
      <c r="D1774">
        <f>'0374 table 5'!F193</f>
        <v>238.70555555555552</v>
      </c>
      <c r="E1774">
        <f>'0374 table 5'!G193</f>
        <v>0.60265061166867551</v>
      </c>
    </row>
    <row r="1775" spans="1:5" x14ac:dyDescent="0.35">
      <c r="A1775">
        <v>374</v>
      </c>
      <c r="B1775">
        <v>5</v>
      </c>
      <c r="C1775">
        <f>'0374 table 5'!E194</f>
        <v>68947.600000000006</v>
      </c>
      <c r="D1775">
        <f>'0374 table 5'!F194</f>
        <v>244.26111111111109</v>
      </c>
      <c r="E1775">
        <f>'0374 table 5'!G194</f>
        <v>0.58761750763585441</v>
      </c>
    </row>
    <row r="1776" spans="1:5" x14ac:dyDescent="0.35">
      <c r="A1776">
        <v>374</v>
      </c>
      <c r="B1776">
        <v>5</v>
      </c>
      <c r="C1776">
        <f>'0374 table 5'!E195</f>
        <v>68947.600000000006</v>
      </c>
      <c r="D1776">
        <f>'0374 table 5'!F195</f>
        <v>249.81666666666663</v>
      </c>
      <c r="E1776">
        <f>'0374 table 5'!G195</f>
        <v>0.57372683589374618</v>
      </c>
    </row>
    <row r="1777" spans="1:5" x14ac:dyDescent="0.35">
      <c r="A1777">
        <v>374</v>
      </c>
      <c r="B1777">
        <v>5</v>
      </c>
      <c r="C1777">
        <f>'0374 table 5'!E196</f>
        <v>68947.600000000006</v>
      </c>
      <c r="D1777">
        <f>'0374 table 5'!F196</f>
        <v>255.37222222222221</v>
      </c>
      <c r="E1777">
        <f>'0374 table 5'!G196</f>
        <v>0.56047772071915303</v>
      </c>
    </row>
    <row r="1778" spans="1:5" x14ac:dyDescent="0.35">
      <c r="A1778">
        <v>374</v>
      </c>
      <c r="B1778">
        <v>5</v>
      </c>
      <c r="C1778">
        <f>'0374 table 5'!E197</f>
        <v>68947.600000000006</v>
      </c>
      <c r="D1778">
        <f>'0374 table 5'!F197</f>
        <v>260.92777777777775</v>
      </c>
      <c r="E1778">
        <f>'0374 table 5'!G197</f>
        <v>0.54782671881509559</v>
      </c>
    </row>
    <row r="1779" spans="1:5" x14ac:dyDescent="0.35">
      <c r="A1779">
        <v>374</v>
      </c>
      <c r="B1779">
        <v>5</v>
      </c>
      <c r="C1779">
        <f>'0374 table 5'!E198</f>
        <v>68947.600000000006</v>
      </c>
      <c r="D1779">
        <f>'0374 table 5'!F198</f>
        <v>266.48333333333329</v>
      </c>
      <c r="E1779">
        <f>'0374 table 5'!G198</f>
        <v>0.53573422268071558</v>
      </c>
    </row>
    <row r="1780" spans="1:5" x14ac:dyDescent="0.35">
      <c r="A1780">
        <v>374</v>
      </c>
      <c r="B1780">
        <v>5</v>
      </c>
      <c r="C1780">
        <f>'0374 table 5'!E199</f>
        <v>68947.600000000006</v>
      </c>
      <c r="D1780">
        <f>'0374 table 5'!F199</f>
        <v>272.03888888888889</v>
      </c>
      <c r="E1780">
        <f>'0374 table 5'!G199</f>
        <v>0.52433562219814711</v>
      </c>
    </row>
    <row r="1781" spans="1:5" x14ac:dyDescent="0.35">
      <c r="A1781">
        <v>374</v>
      </c>
      <c r="B1781">
        <v>5</v>
      </c>
      <c r="C1781">
        <f>'0374 table 5'!E200</f>
        <v>68947.600000000006</v>
      </c>
      <c r="D1781">
        <f>'0374 table 5'!F200</f>
        <v>277.59444444444443</v>
      </c>
      <c r="E1781">
        <f>'0374 table 5'!G200</f>
        <v>0.51341196340235229</v>
      </c>
    </row>
    <row r="1782" spans="1:5" x14ac:dyDescent="0.35">
      <c r="A1782">
        <v>374</v>
      </c>
      <c r="B1782">
        <v>5</v>
      </c>
      <c r="C1782">
        <f>'0374 table 5'!E201</f>
        <v>68947.600000000006</v>
      </c>
      <c r="D1782">
        <f>'0374 table 5'!F201</f>
        <v>283.14999999999998</v>
      </c>
      <c r="E1782">
        <f>'0374 table 5'!G201</f>
        <v>0.50293416823087578</v>
      </c>
    </row>
    <row r="1783" spans="1:5" x14ac:dyDescent="0.35">
      <c r="A1783">
        <v>374</v>
      </c>
      <c r="B1783">
        <v>5</v>
      </c>
      <c r="C1783">
        <f>'0374 table 5'!E202</f>
        <v>68947.600000000006</v>
      </c>
      <c r="D1783">
        <f>'0374 table 5'!F202</f>
        <v>288.70555555555552</v>
      </c>
      <c r="E1783">
        <f>'0374 table 5'!G202</f>
        <v>0.4930271855387317</v>
      </c>
    </row>
    <row r="1784" spans="1:5" x14ac:dyDescent="0.35">
      <c r="A1784">
        <v>374</v>
      </c>
      <c r="B1784">
        <v>5</v>
      </c>
      <c r="C1784">
        <f>'0374 table 5'!E203</f>
        <v>68947.600000000006</v>
      </c>
      <c r="D1784">
        <f>'0374 table 5'!F203</f>
        <v>294.26111111111106</v>
      </c>
      <c r="E1784">
        <f>'0374 table 5'!G203</f>
        <v>0.48335706874331297</v>
      </c>
    </row>
    <row r="1785" spans="1:5" x14ac:dyDescent="0.35">
      <c r="A1785">
        <v>374</v>
      </c>
      <c r="B1785">
        <v>5</v>
      </c>
      <c r="C1785">
        <f>'0374 table 5'!E204</f>
        <v>68947.600000000006</v>
      </c>
      <c r="D1785">
        <f>'0374 table 5'!F204</f>
        <v>299.81666666666666</v>
      </c>
      <c r="E1785">
        <f>'0374 table 5'!G204</f>
        <v>0.47419932676593823</v>
      </c>
    </row>
    <row r="1786" spans="1:5" x14ac:dyDescent="0.35">
      <c r="A1786">
        <v>374</v>
      </c>
      <c r="B1786">
        <v>5</v>
      </c>
      <c r="C1786">
        <f>'0374 table 5'!E205</f>
        <v>68947.600000000006</v>
      </c>
      <c r="D1786">
        <f>'0374 table 5'!F205</f>
        <v>305.37222222222221</v>
      </c>
      <c r="E1786">
        <f>'0374 table 5'!G205</f>
        <v>0.46538213998121425</v>
      </c>
    </row>
    <row r="1787" spans="1:5" x14ac:dyDescent="0.35">
      <c r="A1787">
        <v>374</v>
      </c>
      <c r="B1787">
        <v>5</v>
      </c>
      <c r="C1787">
        <f>'0374 table 5'!E206</f>
        <v>68947.600000000006</v>
      </c>
      <c r="D1787">
        <f>'0374 table 5'!F206</f>
        <v>310.92777777777775</v>
      </c>
      <c r="E1787">
        <f>'0374 table 5'!G206</f>
        <v>0.45675657993023649</v>
      </c>
    </row>
    <row r="1788" spans="1:5" x14ac:dyDescent="0.35">
      <c r="A1788">
        <v>374</v>
      </c>
      <c r="B1788">
        <v>5</v>
      </c>
      <c r="C1788">
        <f>'0374 table 5'!E207</f>
        <v>68947.600000000006</v>
      </c>
      <c r="D1788">
        <f>'0374 table 5'!F207</f>
        <v>316.48333333333329</v>
      </c>
      <c r="E1788">
        <f>'0374 table 5'!G207</f>
        <v>0.44857051969065792</v>
      </c>
    </row>
    <row r="1789" spans="1:5" x14ac:dyDescent="0.35">
      <c r="A1789">
        <v>374</v>
      </c>
      <c r="B1789">
        <v>5</v>
      </c>
      <c r="C1789">
        <f>'0374 table 5'!E208</f>
        <v>68947.600000000006</v>
      </c>
      <c r="D1789">
        <f>'0374 table 5'!F208</f>
        <v>322.03888888888889</v>
      </c>
      <c r="E1789">
        <f>'0374 table 5'!G208</f>
        <v>0.44067271686804382</v>
      </c>
    </row>
    <row r="1790" spans="1:5" x14ac:dyDescent="0.35">
      <c r="A1790">
        <v>374</v>
      </c>
      <c r="B1790">
        <v>5</v>
      </c>
      <c r="C1790">
        <f>'0374 table 5'!E209</f>
        <v>68947.600000000006</v>
      </c>
      <c r="D1790">
        <f>'0374 table 5'!F209</f>
        <v>327.59444444444443</v>
      </c>
      <c r="E1790">
        <f>'0374 table 5'!G209</f>
        <v>0.43304820919582032</v>
      </c>
    </row>
    <row r="1791" spans="1:5" x14ac:dyDescent="0.35">
      <c r="A1791">
        <v>374</v>
      </c>
      <c r="B1791">
        <v>5</v>
      </c>
      <c r="C1791">
        <f>'0374 table 5'!E210</f>
        <v>68947.600000000006</v>
      </c>
      <c r="D1791">
        <f>'0374 table 5'!F210</f>
        <v>333.15</v>
      </c>
      <c r="E1791">
        <f>'0374 table 5'!G210</f>
        <v>0.42579620569254106</v>
      </c>
    </row>
    <row r="1792" spans="1:5" x14ac:dyDescent="0.35">
      <c r="A1792">
        <v>374</v>
      </c>
      <c r="B1792">
        <v>5</v>
      </c>
      <c r="C1792">
        <f>'0374 table 5'!E211</f>
        <v>68947.600000000006</v>
      </c>
      <c r="D1792">
        <f>'0374 table 5'!F211</f>
        <v>338.70555555555552</v>
      </c>
      <c r="E1792">
        <f>'0374 table 5'!G211</f>
        <v>0.41867363455706724</v>
      </c>
    </row>
    <row r="1793" spans="1:5" x14ac:dyDescent="0.35">
      <c r="A1793">
        <v>374</v>
      </c>
      <c r="B1793">
        <v>5</v>
      </c>
      <c r="C1793">
        <f>'0374 table 5'!E212</f>
        <v>68947.600000000006</v>
      </c>
      <c r="D1793">
        <f>'0374 table 5'!F212</f>
        <v>344.26111111111106</v>
      </c>
      <c r="E1793">
        <f>'0374 table 5'!G212</f>
        <v>0.41178543080085844</v>
      </c>
    </row>
    <row r="1794" spans="1:5" x14ac:dyDescent="0.35">
      <c r="A1794">
        <v>374</v>
      </c>
      <c r="B1794">
        <v>5</v>
      </c>
      <c r="C1794">
        <f>'0374 table 5'!E213</f>
        <v>68947.600000000006</v>
      </c>
      <c r="D1794">
        <f>'0374 table 5'!F213</f>
        <v>349.81666666666666</v>
      </c>
      <c r="E1794">
        <f>'0374 table 5'!G213</f>
        <v>0.40512021391384401</v>
      </c>
    </row>
    <row r="1795" spans="1:5" x14ac:dyDescent="0.35">
      <c r="A1795">
        <v>374</v>
      </c>
      <c r="B1795">
        <v>5</v>
      </c>
      <c r="C1795">
        <f>'0374 table 5'!E214</f>
        <v>68947.600000000006</v>
      </c>
      <c r="D1795">
        <f>'0374 table 5'!F214</f>
        <v>355.37222222222221</v>
      </c>
      <c r="E1795">
        <f>'0374 table 5'!G214</f>
        <v>0.39876657351639017</v>
      </c>
    </row>
    <row r="1796" spans="1:5" x14ac:dyDescent="0.35">
      <c r="A1796">
        <v>374</v>
      </c>
      <c r="B1796">
        <v>5</v>
      </c>
      <c r="C1796">
        <f>'0374 table 5'!E215</f>
        <v>89631.88</v>
      </c>
      <c r="D1796">
        <f>'0374 table 5'!F215</f>
        <v>238.70555555555552</v>
      </c>
      <c r="E1796">
        <f>'0374 table 5'!G215</f>
        <v>0.78792195072077686</v>
      </c>
    </row>
    <row r="1797" spans="1:5" x14ac:dyDescent="0.35">
      <c r="A1797">
        <v>374</v>
      </c>
      <c r="B1797">
        <v>5</v>
      </c>
      <c r="C1797">
        <f>'0374 table 5'!E216</f>
        <v>89631.88</v>
      </c>
      <c r="D1797">
        <f>'0374 table 5'!F216</f>
        <v>244.26111111111109</v>
      </c>
      <c r="E1797">
        <f>'0374 table 5'!G216</f>
        <v>0.76790284075519633</v>
      </c>
    </row>
    <row r="1798" spans="1:5" x14ac:dyDescent="0.35">
      <c r="A1798">
        <v>374</v>
      </c>
      <c r="B1798">
        <v>5</v>
      </c>
      <c r="C1798">
        <f>'0374 table 5'!E217</f>
        <v>89631.88</v>
      </c>
      <c r="D1798">
        <f>'0374 table 5'!F217</f>
        <v>249.81666666666663</v>
      </c>
      <c r="E1798">
        <f>'0374 table 5'!G217</f>
        <v>0.74922606445993423</v>
      </c>
    </row>
    <row r="1799" spans="1:5" x14ac:dyDescent="0.35">
      <c r="A1799">
        <v>374</v>
      </c>
      <c r="B1799">
        <v>5</v>
      </c>
      <c r="C1799">
        <f>'0374 table 5'!E218</f>
        <v>89631.88</v>
      </c>
      <c r="D1799">
        <f>'0374 table 5'!F218</f>
        <v>255.37222222222221</v>
      </c>
      <c r="E1799">
        <f>'0374 table 5'!G218</f>
        <v>0.73143622183348833</v>
      </c>
    </row>
    <row r="1800" spans="1:5" x14ac:dyDescent="0.35">
      <c r="A1800">
        <v>374</v>
      </c>
      <c r="B1800">
        <v>5</v>
      </c>
      <c r="C1800">
        <f>'0374 table 5'!E219</f>
        <v>89631.88</v>
      </c>
      <c r="D1800">
        <f>'0374 table 5'!F219</f>
        <v>260.92777777777775</v>
      </c>
      <c r="E1800">
        <f>'0374 table 5'!G219</f>
        <v>0.71479041758828166</v>
      </c>
    </row>
    <row r="1801" spans="1:5" x14ac:dyDescent="0.35">
      <c r="A1801">
        <v>374</v>
      </c>
      <c r="B1801">
        <v>5</v>
      </c>
      <c r="C1801">
        <f>'0374 table 5'!E220</f>
        <v>89631.88</v>
      </c>
      <c r="D1801">
        <f>'0374 table 5'!F220</f>
        <v>266.48333333333329</v>
      </c>
      <c r="E1801">
        <f>'0374 table 5'!G220</f>
        <v>0.69888539520739057</v>
      </c>
    </row>
    <row r="1802" spans="1:5" x14ac:dyDescent="0.35">
      <c r="A1802">
        <v>374</v>
      </c>
      <c r="B1802">
        <v>5</v>
      </c>
      <c r="C1802">
        <f>'0374 table 5'!E221</f>
        <v>89631.88</v>
      </c>
      <c r="D1802">
        <f>'0374 table 5'!F221</f>
        <v>272.03888888888889</v>
      </c>
      <c r="E1802">
        <f>'0374 table 5'!G221</f>
        <v>0.68367278097112216</v>
      </c>
    </row>
    <row r="1803" spans="1:5" x14ac:dyDescent="0.35">
      <c r="A1803">
        <v>374</v>
      </c>
      <c r="B1803">
        <v>5</v>
      </c>
      <c r="C1803">
        <f>'0374 table 5'!E222</f>
        <v>89631.88</v>
      </c>
      <c r="D1803">
        <f>'0374 table 5'!F222</f>
        <v>277.59444444444443</v>
      </c>
      <c r="E1803">
        <f>'0374 table 5'!G222</f>
        <v>0.66938793389692419</v>
      </c>
    </row>
    <row r="1804" spans="1:5" x14ac:dyDescent="0.35">
      <c r="A1804">
        <v>374</v>
      </c>
      <c r="B1804">
        <v>5</v>
      </c>
      <c r="C1804">
        <f>'0374 table 5'!E223</f>
        <v>89631.88</v>
      </c>
      <c r="D1804">
        <f>'0374 table 5'!F223</f>
        <v>283.14999999999998</v>
      </c>
      <c r="E1804">
        <f>'0374 table 5'!G223</f>
        <v>0.65568781244999563</v>
      </c>
    </row>
    <row r="1805" spans="1:5" x14ac:dyDescent="0.35">
      <c r="A1805">
        <v>374</v>
      </c>
      <c r="B1805">
        <v>5</v>
      </c>
      <c r="C1805">
        <f>'0374 table 5'!E224</f>
        <v>89631.88</v>
      </c>
      <c r="D1805">
        <f>'0374 table 5'!F224</f>
        <v>288.70555555555552</v>
      </c>
      <c r="E1805">
        <f>'0374 table 5'!G224</f>
        <v>0.6422796013694223</v>
      </c>
    </row>
    <row r="1806" spans="1:5" x14ac:dyDescent="0.35">
      <c r="A1806">
        <v>374</v>
      </c>
      <c r="B1806">
        <v>5</v>
      </c>
      <c r="C1806">
        <f>'0374 table 5'!E225</f>
        <v>89631.88</v>
      </c>
      <c r="D1806">
        <f>'0374 table 5'!F225</f>
        <v>294.26111111111106</v>
      </c>
      <c r="E1806">
        <f>'0374 table 5'!G225</f>
        <v>0.62990378522034585</v>
      </c>
    </row>
    <row r="1807" spans="1:5" x14ac:dyDescent="0.35">
      <c r="A1807">
        <v>374</v>
      </c>
      <c r="B1807">
        <v>5</v>
      </c>
      <c r="C1807">
        <f>'0374 table 5'!E226</f>
        <v>89631.88</v>
      </c>
      <c r="D1807">
        <f>'0374 table 5'!F226</f>
        <v>299.81666666666666</v>
      </c>
      <c r="E1807">
        <f>'0374 table 5'!G226</f>
        <v>0.61775754948528316</v>
      </c>
    </row>
    <row r="1808" spans="1:5" x14ac:dyDescent="0.35">
      <c r="A1808">
        <v>374</v>
      </c>
      <c r="B1808">
        <v>5</v>
      </c>
      <c r="C1808">
        <f>'0374 table 5'!E227</f>
        <v>89631.88</v>
      </c>
      <c r="D1808">
        <f>'0374 table 5'!F227</f>
        <v>305.37222222222221</v>
      </c>
      <c r="E1808">
        <f>'0374 table 5'!G227</f>
        <v>0.60607087620709021</v>
      </c>
    </row>
    <row r="1809" spans="1:5" x14ac:dyDescent="0.35">
      <c r="A1809">
        <v>374</v>
      </c>
      <c r="B1809">
        <v>5</v>
      </c>
      <c r="C1809">
        <f>'0374 table 5'!E228</f>
        <v>89631.88</v>
      </c>
      <c r="D1809">
        <f>'0374 table 5'!F228</f>
        <v>310.92777777777775</v>
      </c>
      <c r="E1809">
        <f>'0374 table 5'!G228</f>
        <v>0.59481816777398422</v>
      </c>
    </row>
    <row r="1810" spans="1:5" x14ac:dyDescent="0.35">
      <c r="A1810">
        <v>374</v>
      </c>
      <c r="B1810">
        <v>5</v>
      </c>
      <c r="C1810">
        <f>'0374 table 5'!E229</f>
        <v>89631.88</v>
      </c>
      <c r="D1810">
        <f>'0374 table 5'!F229</f>
        <v>316.48333333333329</v>
      </c>
      <c r="E1810">
        <f>'0374 table 5'!G229</f>
        <v>0.58418866732871599</v>
      </c>
    </row>
    <row r="1811" spans="1:5" x14ac:dyDescent="0.35">
      <c r="A1811">
        <v>374</v>
      </c>
      <c r="B1811">
        <v>5</v>
      </c>
      <c r="C1811">
        <f>'0374 table 5'!E230</f>
        <v>89631.88</v>
      </c>
      <c r="D1811">
        <f>'0374 table 5'!F230</f>
        <v>322.03888888888889</v>
      </c>
      <c r="E1811">
        <f>'0374 table 5'!G230</f>
        <v>0.57372683589374618</v>
      </c>
    </row>
    <row r="1812" spans="1:5" x14ac:dyDescent="0.35">
      <c r="A1812">
        <v>374</v>
      </c>
      <c r="B1812">
        <v>5</v>
      </c>
      <c r="C1812">
        <f>'0374 table 5'!E231</f>
        <v>89631.88</v>
      </c>
      <c r="D1812">
        <f>'0374 table 5'!F231</f>
        <v>327.59444444444443</v>
      </c>
      <c r="E1812">
        <f>'0374 table 5'!G231</f>
        <v>0.56383151207861293</v>
      </c>
    </row>
    <row r="1813" spans="1:5" x14ac:dyDescent="0.35">
      <c r="A1813">
        <v>374</v>
      </c>
      <c r="B1813">
        <v>5</v>
      </c>
      <c r="C1813">
        <f>'0374 table 5'!E232</f>
        <v>89631.88</v>
      </c>
      <c r="D1813">
        <f>'0374 table 5'!F232</f>
        <v>333.15</v>
      </c>
      <c r="E1813">
        <f>'0374 table 5'!G232</f>
        <v>0.55427173903644966</v>
      </c>
    </row>
    <row r="1814" spans="1:5" x14ac:dyDescent="0.35">
      <c r="A1814">
        <v>374</v>
      </c>
      <c r="B1814">
        <v>5</v>
      </c>
      <c r="C1814">
        <f>'0374 table 5'!E233</f>
        <v>89631.88</v>
      </c>
      <c r="D1814">
        <f>'0374 table 5'!F233</f>
        <v>338.70555555555552</v>
      </c>
      <c r="E1814">
        <f>'0374 table 5'!G233</f>
        <v>0.54484534891678205</v>
      </c>
    </row>
    <row r="1815" spans="1:5" x14ac:dyDescent="0.35">
      <c r="A1815">
        <v>374</v>
      </c>
      <c r="B1815">
        <v>5</v>
      </c>
      <c r="C1815">
        <f>'0374 table 5'!E234</f>
        <v>89631.88</v>
      </c>
      <c r="D1815">
        <f>'0374 table 5'!F234</f>
        <v>344.26111111111106</v>
      </c>
      <c r="E1815">
        <f>'0374 table 5'!G234</f>
        <v>0.53591345795093315</v>
      </c>
    </row>
    <row r="1816" spans="1:5" x14ac:dyDescent="0.35">
      <c r="A1816">
        <v>374</v>
      </c>
      <c r="B1816">
        <v>5</v>
      </c>
      <c r="C1816">
        <f>'0374 table 5'!E235</f>
        <v>89631.88</v>
      </c>
      <c r="D1816">
        <f>'0374 table 5'!F235</f>
        <v>349.81666666666666</v>
      </c>
      <c r="E1816">
        <f>'0374 table 5'!G235</f>
        <v>0.52726969250011169</v>
      </c>
    </row>
    <row r="1817" spans="1:5" x14ac:dyDescent="0.35">
      <c r="A1817">
        <v>374</v>
      </c>
      <c r="B1817">
        <v>5</v>
      </c>
      <c r="C1817">
        <f>'0374 table 5'!E236</f>
        <v>89631.88</v>
      </c>
      <c r="D1817">
        <f>'0374 table 5'!F236</f>
        <v>355.37222222222221</v>
      </c>
      <c r="E1817">
        <f>'0374 table 5'!G236</f>
        <v>0.51890033230169719</v>
      </c>
    </row>
    <row r="1818" spans="1:5" x14ac:dyDescent="0.35">
      <c r="A1818">
        <v>374</v>
      </c>
      <c r="B1818">
        <v>5</v>
      </c>
      <c r="C1818">
        <f>'0374 table 5'!E237</f>
        <v>89631.88</v>
      </c>
      <c r="D1818">
        <f>'0374 table 5'!F237</f>
        <v>360.92777777777775</v>
      </c>
      <c r="E1818">
        <f>'0374 table 5'!G237</f>
        <v>0.51079251460948327</v>
      </c>
    </row>
    <row r="1819" spans="1:5" x14ac:dyDescent="0.35">
      <c r="A1819">
        <v>374</v>
      </c>
      <c r="B1819">
        <v>5</v>
      </c>
      <c r="C1819">
        <f>'0374 table 5'!E238</f>
        <v>89631.88</v>
      </c>
      <c r="D1819">
        <f>'0374 table 5'!F238</f>
        <v>366.48333333333329</v>
      </c>
      <c r="E1819">
        <f>'0374 table 5'!G238</f>
        <v>0.50293416823087578</v>
      </c>
    </row>
    <row r="1820" spans="1:5" x14ac:dyDescent="0.35">
      <c r="A1820">
        <v>374</v>
      </c>
      <c r="B1820">
        <v>5</v>
      </c>
      <c r="C1820">
        <f>'0374 table 5'!E239</f>
        <v>96526.64</v>
      </c>
      <c r="D1820">
        <f>'0374 table 5'!F239</f>
        <v>244.26111111111109</v>
      </c>
      <c r="E1820">
        <f>'0374 table 5'!G239</f>
        <v>0.8286835622428036</v>
      </c>
    </row>
    <row r="1821" spans="1:5" x14ac:dyDescent="0.35">
      <c r="A1821">
        <v>374</v>
      </c>
      <c r="B1821">
        <v>5</v>
      </c>
      <c r="C1821">
        <f>'0374 table 5'!E240</f>
        <v>96526.64</v>
      </c>
      <c r="D1821">
        <f>'0374 table 5'!F240</f>
        <v>249.81666666666663</v>
      </c>
      <c r="E1821">
        <f>'0374 table 5'!G240</f>
        <v>0.80819643078473224</v>
      </c>
    </row>
    <row r="1822" spans="1:5" x14ac:dyDescent="0.35">
      <c r="A1822">
        <v>374</v>
      </c>
      <c r="B1822">
        <v>5</v>
      </c>
      <c r="C1822">
        <f>'0374 table 5'!E241</f>
        <v>96526.64</v>
      </c>
      <c r="D1822">
        <f>'0374 table 5'!F241</f>
        <v>255.37222222222221</v>
      </c>
      <c r="E1822">
        <f>'0374 table 5'!G241</f>
        <v>0.78908636739671889</v>
      </c>
    </row>
    <row r="1823" spans="1:5" x14ac:dyDescent="0.35">
      <c r="A1823">
        <v>374</v>
      </c>
      <c r="B1823">
        <v>5</v>
      </c>
      <c r="C1823">
        <f>'0374 table 5'!E242</f>
        <v>96526.64</v>
      </c>
      <c r="D1823">
        <f>'0374 table 5'!F242</f>
        <v>260.92777777777775</v>
      </c>
      <c r="E1823">
        <f>'0374 table 5'!G242</f>
        <v>0.77085915583028841</v>
      </c>
    </row>
    <row r="1824" spans="1:5" x14ac:dyDescent="0.35">
      <c r="A1824">
        <v>374</v>
      </c>
      <c r="B1824">
        <v>5</v>
      </c>
      <c r="C1824">
        <f>'0374 table 5'!E243</f>
        <v>96526.64</v>
      </c>
      <c r="D1824">
        <f>'0374 table 5'!F243</f>
        <v>266.48333333333329</v>
      </c>
      <c r="E1824">
        <f>'0374 table 5'!G243</f>
        <v>0.75345499803167415</v>
      </c>
    </row>
    <row r="1825" spans="1:5" x14ac:dyDescent="0.35">
      <c r="A1825">
        <v>374</v>
      </c>
      <c r="B1825">
        <v>5</v>
      </c>
      <c r="C1825">
        <f>'0374 table 5'!E244</f>
        <v>96526.64</v>
      </c>
      <c r="D1825">
        <f>'0374 table 5'!F244</f>
        <v>272.03888888888889</v>
      </c>
      <c r="E1825">
        <f>'0374 table 5'!G244</f>
        <v>0.73715845642675526</v>
      </c>
    </row>
    <row r="1826" spans="1:5" x14ac:dyDescent="0.35">
      <c r="A1826">
        <v>374</v>
      </c>
      <c r="B1826">
        <v>5</v>
      </c>
      <c r="C1826">
        <f>'0374 table 5'!E245</f>
        <v>96526.64</v>
      </c>
      <c r="D1826">
        <f>'0374 table 5'!F245</f>
        <v>277.59444444444443</v>
      </c>
      <c r="E1826">
        <f>'0374 table 5'!G245</f>
        <v>0.72155194856546812</v>
      </c>
    </row>
    <row r="1827" spans="1:5" x14ac:dyDescent="0.35">
      <c r="A1827">
        <v>374</v>
      </c>
      <c r="B1827">
        <v>5</v>
      </c>
      <c r="C1827">
        <f>'0374 table 5'!E246</f>
        <v>96526.64</v>
      </c>
      <c r="D1827">
        <f>'0374 table 5'!F246</f>
        <v>283.14999999999998</v>
      </c>
      <c r="E1827">
        <f>'0374 table 5'!G246</f>
        <v>0.70659255660138465</v>
      </c>
    </row>
    <row r="1828" spans="1:5" x14ac:dyDescent="0.35">
      <c r="A1828">
        <v>374</v>
      </c>
      <c r="B1828">
        <v>5</v>
      </c>
      <c r="C1828">
        <f>'0374 table 5'!E247</f>
        <v>96526.64</v>
      </c>
      <c r="D1828">
        <f>'0374 table 5'!F247</f>
        <v>288.70555555555552</v>
      </c>
      <c r="E1828">
        <f>'0374 table 5'!G247</f>
        <v>0.69224084953126164</v>
      </c>
    </row>
    <row r="1829" spans="1:5" x14ac:dyDescent="0.35">
      <c r="A1829">
        <v>374</v>
      </c>
      <c r="B1829">
        <v>5</v>
      </c>
      <c r="C1829">
        <f>'0374 table 5'!E248</f>
        <v>96526.64</v>
      </c>
      <c r="D1829">
        <f>'0374 table 5'!F248</f>
        <v>294.26111111111106</v>
      </c>
      <c r="E1829">
        <f>'0374 table 5'!G248</f>
        <v>0.67874801941327934</v>
      </c>
    </row>
    <row r="1830" spans="1:5" x14ac:dyDescent="0.35">
      <c r="A1830">
        <v>374</v>
      </c>
      <c r="B1830">
        <v>5</v>
      </c>
      <c r="C1830">
        <f>'0374 table 5'!E249</f>
        <v>96526.64</v>
      </c>
      <c r="D1830">
        <f>'0374 table 5'!F249</f>
        <v>299.81666666666666</v>
      </c>
      <c r="E1830">
        <f>'0374 table 5'!G249</f>
        <v>0.66577112461152932</v>
      </c>
    </row>
    <row r="1831" spans="1:5" x14ac:dyDescent="0.35">
      <c r="A1831">
        <v>374</v>
      </c>
      <c r="B1831">
        <v>5</v>
      </c>
      <c r="C1831">
        <f>'0374 table 5'!E250</f>
        <v>96526.64</v>
      </c>
      <c r="D1831">
        <f>'0374 table 5'!F250</f>
        <v>305.37222222222221</v>
      </c>
      <c r="E1831">
        <f>'0374 table 5'!G250</f>
        <v>0.65301480873026474</v>
      </c>
    </row>
    <row r="1832" spans="1:5" x14ac:dyDescent="0.35">
      <c r="A1832">
        <v>374</v>
      </c>
      <c r="B1832">
        <v>5</v>
      </c>
      <c r="C1832">
        <f>'0374 table 5'!E251</f>
        <v>96526.64</v>
      </c>
      <c r="D1832">
        <f>'0374 table 5'!F251</f>
        <v>310.92777777777775</v>
      </c>
      <c r="E1832">
        <f>'0374 table 5'!G251</f>
        <v>0.64099452813739066</v>
      </c>
    </row>
    <row r="1833" spans="1:5" x14ac:dyDescent="0.35">
      <c r="A1833">
        <v>374</v>
      </c>
      <c r="B1833">
        <v>5</v>
      </c>
      <c r="C1833">
        <f>'0374 table 5'!E252</f>
        <v>96526.64</v>
      </c>
      <c r="D1833">
        <f>'0374 table 5'!F252</f>
        <v>316.48333333333329</v>
      </c>
      <c r="E1833">
        <f>'0374 table 5'!G252</f>
        <v>0.62940877242253024</v>
      </c>
    </row>
    <row r="1834" spans="1:5" x14ac:dyDescent="0.35">
      <c r="A1834">
        <v>374</v>
      </c>
      <c r="B1834">
        <v>5</v>
      </c>
      <c r="C1834">
        <f>'0374 table 5'!E253</f>
        <v>96526.64</v>
      </c>
      <c r="D1834">
        <f>'0374 table 5'!F253</f>
        <v>322.03888888888889</v>
      </c>
      <c r="E1834">
        <f>'0374 table 5'!G253</f>
        <v>0.61823439823054394</v>
      </c>
    </row>
    <row r="1835" spans="1:5" x14ac:dyDescent="0.35">
      <c r="A1835">
        <v>374</v>
      </c>
      <c r="B1835">
        <v>5</v>
      </c>
      <c r="C1835">
        <f>'0374 table 5'!E254</f>
        <v>96526.64</v>
      </c>
      <c r="D1835">
        <f>'0374 table 5'!F254</f>
        <v>327.59444444444443</v>
      </c>
      <c r="E1835">
        <f>'0374 table 5'!G254</f>
        <v>0.60744987706307896</v>
      </c>
    </row>
    <row r="1836" spans="1:5" x14ac:dyDescent="0.35">
      <c r="A1836">
        <v>374</v>
      </c>
      <c r="B1836">
        <v>5</v>
      </c>
      <c r="C1836">
        <f>'0374 table 5'!E255</f>
        <v>96526.64</v>
      </c>
      <c r="D1836">
        <f>'0374 table 5'!F255</f>
        <v>333.15</v>
      </c>
      <c r="E1836">
        <f>'0374 table 5'!G255</f>
        <v>0.59703515684507624</v>
      </c>
    </row>
    <row r="1837" spans="1:5" x14ac:dyDescent="0.35">
      <c r="A1837">
        <v>374</v>
      </c>
      <c r="B1837">
        <v>5</v>
      </c>
      <c r="C1837">
        <f>'0374 table 5'!E256</f>
        <v>96526.64</v>
      </c>
      <c r="D1837">
        <f>'0374 table 5'!F256</f>
        <v>338.70555555555552</v>
      </c>
      <c r="E1837">
        <f>'0374 table 5'!G256</f>
        <v>0.58697153749187958</v>
      </c>
    </row>
    <row r="1838" spans="1:5" x14ac:dyDescent="0.35">
      <c r="A1838">
        <v>374</v>
      </c>
      <c r="B1838">
        <v>5</v>
      </c>
      <c r="C1838">
        <f>'0374 table 5'!E257</f>
        <v>96526.64</v>
      </c>
      <c r="D1838">
        <f>'0374 table 5'!F257</f>
        <v>344.26111111111106</v>
      </c>
      <c r="E1838">
        <f>'0374 table 5'!G257</f>
        <v>0.57744964881591188</v>
      </c>
    </row>
    <row r="1839" spans="1:5" x14ac:dyDescent="0.35">
      <c r="A1839">
        <v>374</v>
      </c>
      <c r="B1839">
        <v>5</v>
      </c>
      <c r="C1839">
        <f>'0374 table 5'!E258</f>
        <v>96526.64</v>
      </c>
      <c r="D1839">
        <f>'0374 table 5'!F258</f>
        <v>349.81666666666666</v>
      </c>
      <c r="E1839">
        <f>'0374 table 5'!G258</f>
        <v>0.56803025738132595</v>
      </c>
    </row>
    <row r="1840" spans="1:5" x14ac:dyDescent="0.35">
      <c r="A1840">
        <v>374</v>
      </c>
      <c r="B1840">
        <v>5</v>
      </c>
      <c r="C1840">
        <f>'0374 table 5'!E259</f>
        <v>96526.64</v>
      </c>
      <c r="D1840">
        <f>'0374 table 5'!F259</f>
        <v>355.37222222222221</v>
      </c>
      <c r="E1840">
        <f>'0374 table 5'!G259</f>
        <v>0.55891323301302842</v>
      </c>
    </row>
    <row r="1841" spans="1:5" x14ac:dyDescent="0.35">
      <c r="A1841">
        <v>374</v>
      </c>
      <c r="B1841">
        <v>5</v>
      </c>
      <c r="C1841">
        <f>'0374 table 5'!E260</f>
        <v>96526.64</v>
      </c>
      <c r="D1841">
        <f>'0374 table 5'!F260</f>
        <v>360.92777777777775</v>
      </c>
      <c r="E1841">
        <f>'0374 table 5'!G260</f>
        <v>0.55027321395236672</v>
      </c>
    </row>
    <row r="1842" spans="1:5" x14ac:dyDescent="0.35">
      <c r="A1842">
        <v>374</v>
      </c>
      <c r="B1842">
        <v>5</v>
      </c>
      <c r="C1842">
        <f>'0374 table 5'!E261</f>
        <v>96526.64</v>
      </c>
      <c r="D1842">
        <f>'0374 table 5'!F261</f>
        <v>366.48333333333329</v>
      </c>
      <c r="E1842">
        <f>'0374 table 5'!G261</f>
        <v>0.54171299486484248</v>
      </c>
    </row>
    <row r="1843" spans="1:5" x14ac:dyDescent="0.35">
      <c r="A1843">
        <v>374</v>
      </c>
      <c r="B1843">
        <v>5</v>
      </c>
      <c r="C1843">
        <f>'0374 table 5'!E262</f>
        <v>103421.40000000001</v>
      </c>
      <c r="D1843">
        <f>'0374 table 5'!F262</f>
        <v>244.26111111111109</v>
      </c>
      <c r="E1843">
        <f>'0374 table 5'!G262</f>
        <v>0.8894199477042416</v>
      </c>
    </row>
    <row r="1844" spans="1:5" x14ac:dyDescent="0.35">
      <c r="A1844">
        <v>374</v>
      </c>
      <c r="B1844">
        <v>5</v>
      </c>
      <c r="C1844">
        <f>'0374 table 5'!E263</f>
        <v>103421.40000000001</v>
      </c>
      <c r="D1844">
        <f>'0374 table 5'!F263</f>
        <v>249.81666666666663</v>
      </c>
      <c r="E1844">
        <f>'0374 table 5'!G263</f>
        <v>0.86726871998664834</v>
      </c>
    </row>
    <row r="1845" spans="1:5" x14ac:dyDescent="0.35">
      <c r="A1845">
        <v>374</v>
      </c>
      <c r="B1845">
        <v>5</v>
      </c>
      <c r="C1845">
        <f>'0374 table 5'!E264</f>
        <v>103421.40000000001</v>
      </c>
      <c r="D1845">
        <f>'0374 table 5'!F264</f>
        <v>255.37222222222221</v>
      </c>
      <c r="E1845">
        <f>'0374 table 5'!G264</f>
        <v>0.84664129271423838</v>
      </c>
    </row>
    <row r="1846" spans="1:5" x14ac:dyDescent="0.35">
      <c r="A1846">
        <v>374</v>
      </c>
      <c r="B1846">
        <v>5</v>
      </c>
      <c r="C1846">
        <f>'0374 table 5'!E265</f>
        <v>103421.40000000001</v>
      </c>
      <c r="D1846">
        <f>'0374 table 5'!F265</f>
        <v>260.92777777777775</v>
      </c>
      <c r="E1846">
        <f>'0374 table 5'!G265</f>
        <v>0.82697229004405737</v>
      </c>
    </row>
    <row r="1847" spans="1:5" x14ac:dyDescent="0.35">
      <c r="A1847">
        <v>374</v>
      </c>
      <c r="B1847">
        <v>5</v>
      </c>
      <c r="C1847">
        <f>'0374 table 5'!E266</f>
        <v>103421.40000000001</v>
      </c>
      <c r="D1847">
        <f>'0374 table 5'!F266</f>
        <v>266.48333333333329</v>
      </c>
      <c r="E1847">
        <f>'0374 table 5'!G266</f>
        <v>0.80819643078473224</v>
      </c>
    </row>
    <row r="1848" spans="1:5" x14ac:dyDescent="0.35">
      <c r="A1848">
        <v>374</v>
      </c>
      <c r="B1848">
        <v>5</v>
      </c>
      <c r="C1848">
        <f>'0374 table 5'!E267</f>
        <v>103421.40000000001</v>
      </c>
      <c r="D1848">
        <f>'0374 table 5'!F267</f>
        <v>272.03888888888889</v>
      </c>
      <c r="E1848">
        <f>'0374 table 5'!G267</f>
        <v>0.79064428717440238</v>
      </c>
    </row>
    <row r="1849" spans="1:5" x14ac:dyDescent="0.35">
      <c r="A1849">
        <v>374</v>
      </c>
      <c r="B1849">
        <v>5</v>
      </c>
      <c r="C1849">
        <f>'0374 table 5'!E268</f>
        <v>103421.40000000001</v>
      </c>
      <c r="D1849">
        <f>'0374 table 5'!F268</f>
        <v>277.59444444444443</v>
      </c>
      <c r="E1849">
        <f>'0374 table 5'!G268</f>
        <v>0.77383832164992239</v>
      </c>
    </row>
    <row r="1850" spans="1:5" x14ac:dyDescent="0.35">
      <c r="A1850">
        <v>374</v>
      </c>
      <c r="B1850">
        <v>5</v>
      </c>
      <c r="C1850">
        <f>'0374 table 5'!E269</f>
        <v>103421.40000000001</v>
      </c>
      <c r="D1850">
        <f>'0374 table 5'!F269</f>
        <v>283.14999999999998</v>
      </c>
      <c r="E1850">
        <f>'0374 table 5'!G269</f>
        <v>0.75773194220214724</v>
      </c>
    </row>
    <row r="1851" spans="1:5" x14ac:dyDescent="0.35">
      <c r="A1851">
        <v>374</v>
      </c>
      <c r="B1851">
        <v>5</v>
      </c>
      <c r="C1851">
        <f>'0374 table 5'!E270</f>
        <v>103421.40000000001</v>
      </c>
      <c r="D1851">
        <f>'0374 table 5'!F270</f>
        <v>288.70555555555552</v>
      </c>
      <c r="E1851">
        <f>'0374 table 5'!G270</f>
        <v>0.74228235672629261</v>
      </c>
    </row>
    <row r="1852" spans="1:5" x14ac:dyDescent="0.35">
      <c r="A1852">
        <v>374</v>
      </c>
      <c r="B1852">
        <v>5</v>
      </c>
      <c r="C1852">
        <f>'0374 table 5'!E271</f>
        <v>103421.40000000001</v>
      </c>
      <c r="D1852">
        <f>'0374 table 5'!F271</f>
        <v>294.26111111111106</v>
      </c>
      <c r="E1852">
        <f>'0374 table 5'!G271</f>
        <v>0.7248168895092032</v>
      </c>
    </row>
    <row r="1853" spans="1:5" x14ac:dyDescent="0.35">
      <c r="A1853">
        <v>374</v>
      </c>
      <c r="B1853">
        <v>5</v>
      </c>
      <c r="C1853">
        <f>'0374 table 5'!E272</f>
        <v>103421.40000000001</v>
      </c>
      <c r="D1853">
        <f>'0374 table 5'!F272</f>
        <v>299.81666666666666</v>
      </c>
      <c r="E1853">
        <f>'0374 table 5'!G272</f>
        <v>0.71383481542573046</v>
      </c>
    </row>
    <row r="1854" spans="1:5" x14ac:dyDescent="0.35">
      <c r="A1854">
        <v>374</v>
      </c>
      <c r="B1854">
        <v>5</v>
      </c>
      <c r="C1854">
        <f>'0374 table 5'!E273</f>
        <v>103421.40000000001</v>
      </c>
      <c r="D1854">
        <f>'0374 table 5'!F273</f>
        <v>305.37222222222221</v>
      </c>
      <c r="E1854">
        <f>'0374 table 5'!G273</f>
        <v>0.7001072228213896</v>
      </c>
    </row>
    <row r="1855" spans="1:5" x14ac:dyDescent="0.35">
      <c r="A1855">
        <v>374</v>
      </c>
      <c r="B1855">
        <v>5</v>
      </c>
      <c r="C1855">
        <f>'0374 table 5'!E274</f>
        <v>103421.40000000001</v>
      </c>
      <c r="D1855">
        <f>'0374 table 5'!F274</f>
        <v>310.92777777777775</v>
      </c>
      <c r="E1855">
        <f>'0374 table 5'!G274</f>
        <v>0.68689765257947655</v>
      </c>
    </row>
    <row r="1856" spans="1:5" x14ac:dyDescent="0.35">
      <c r="A1856">
        <v>374</v>
      </c>
      <c r="B1856">
        <v>5</v>
      </c>
      <c r="C1856">
        <f>'0374 table 5'!E275</f>
        <v>103421.40000000001</v>
      </c>
      <c r="D1856">
        <f>'0374 table 5'!F275</f>
        <v>316.48333333333329</v>
      </c>
      <c r="E1856">
        <f>'0374 table 5'!G275</f>
        <v>0.67474529309828957</v>
      </c>
    </row>
    <row r="1857" spans="1:5" x14ac:dyDescent="0.35">
      <c r="A1857">
        <v>374</v>
      </c>
      <c r="B1857">
        <v>5</v>
      </c>
      <c r="C1857">
        <f>'0374 table 5'!E276</f>
        <v>103421.40000000001</v>
      </c>
      <c r="D1857">
        <f>'0374 table 5'!F276</f>
        <v>322.03888888888889</v>
      </c>
      <c r="E1857">
        <f>'0374 table 5'!G276</f>
        <v>0.6627411360427552</v>
      </c>
    </row>
    <row r="1858" spans="1:5" x14ac:dyDescent="0.35">
      <c r="A1858">
        <v>374</v>
      </c>
      <c r="B1858">
        <v>5</v>
      </c>
      <c r="C1858">
        <f>'0374 table 5'!E277</f>
        <v>103421.40000000001</v>
      </c>
      <c r="D1858">
        <f>'0374 table 5'!F277</f>
        <v>327.59444444444443</v>
      </c>
      <c r="E1858">
        <f>'0374 table 5'!G277</f>
        <v>0.65115663651030053</v>
      </c>
    </row>
    <row r="1859" spans="1:5" x14ac:dyDescent="0.35">
      <c r="A1859">
        <v>374</v>
      </c>
      <c r="B1859">
        <v>5</v>
      </c>
      <c r="C1859">
        <f>'0374 table 5'!E278</f>
        <v>103421.40000000001</v>
      </c>
      <c r="D1859">
        <f>'0374 table 5'!F278</f>
        <v>333.15</v>
      </c>
      <c r="E1859">
        <f>'0374 table 5'!G278</f>
        <v>0.63997016612678359</v>
      </c>
    </row>
    <row r="1860" spans="1:5" x14ac:dyDescent="0.35">
      <c r="A1860">
        <v>374</v>
      </c>
      <c r="B1860">
        <v>5</v>
      </c>
      <c r="C1860">
        <f>'0374 table 5'!E279</f>
        <v>103421.40000000001</v>
      </c>
      <c r="D1860">
        <f>'0374 table 5'!F279</f>
        <v>338.70555555555552</v>
      </c>
      <c r="E1860">
        <f>'0374 table 5'!G279</f>
        <v>0.62916155766509796</v>
      </c>
    </row>
    <row r="1861" spans="1:5" x14ac:dyDescent="0.35">
      <c r="A1861">
        <v>374</v>
      </c>
      <c r="B1861">
        <v>5</v>
      </c>
      <c r="C1861">
        <f>'0374 table 5'!E280</f>
        <v>103421.40000000001</v>
      </c>
      <c r="D1861">
        <f>'0374 table 5'!F280</f>
        <v>344.26111111111106</v>
      </c>
      <c r="E1861">
        <f>'0374 table 5'!G280</f>
        <v>0.61895105325167665</v>
      </c>
    </row>
    <row r="1862" spans="1:5" x14ac:dyDescent="0.35">
      <c r="A1862">
        <v>374</v>
      </c>
      <c r="B1862">
        <v>5</v>
      </c>
      <c r="C1862">
        <f>'0374 table 5'!E281</f>
        <v>103421.40000000001</v>
      </c>
      <c r="D1862">
        <f>'0374 table 5'!F281</f>
        <v>349.81666666666666</v>
      </c>
      <c r="E1862">
        <f>'0374 table 5'!G281</f>
        <v>0.60883516754668932</v>
      </c>
    </row>
    <row r="1863" spans="1:5" x14ac:dyDescent="0.35">
      <c r="A1863">
        <v>374</v>
      </c>
      <c r="B1863">
        <v>5</v>
      </c>
      <c r="C1863">
        <f>'0374 table 5'!E282</f>
        <v>103421.40000000001</v>
      </c>
      <c r="D1863">
        <f>'0374 table 5'!F282</f>
        <v>355.37222222222221</v>
      </c>
      <c r="E1863">
        <f>'0374 table 5'!G282</f>
        <v>0.59904462446347773</v>
      </c>
    </row>
    <row r="1864" spans="1:5" x14ac:dyDescent="0.35">
      <c r="A1864">
        <v>374</v>
      </c>
      <c r="B1864">
        <v>5</v>
      </c>
      <c r="C1864">
        <f>'0374 table 5'!E283</f>
        <v>103421.40000000001</v>
      </c>
      <c r="D1864">
        <f>'0374 table 5'!F283</f>
        <v>360.92777777777775</v>
      </c>
      <c r="E1864">
        <f>'0374 table 5'!G283</f>
        <v>0.58978104779651674</v>
      </c>
    </row>
    <row r="1865" spans="1:5" x14ac:dyDescent="0.35">
      <c r="A1865">
        <v>374</v>
      </c>
      <c r="B1865">
        <v>5</v>
      </c>
      <c r="C1865">
        <f>'0374 table 5'!E284</f>
        <v>103421.40000000001</v>
      </c>
      <c r="D1865">
        <f>'0374 table 5'!F284</f>
        <v>366.48333333333329</v>
      </c>
      <c r="E1865">
        <f>'0374 table 5'!G284</f>
        <v>0.58058909960686456</v>
      </c>
    </row>
    <row r="1866" spans="1:5" x14ac:dyDescent="0.35">
      <c r="A1866">
        <v>374</v>
      </c>
      <c r="B1866">
        <v>5</v>
      </c>
      <c r="C1866">
        <f>'0374 table 5'!E285</f>
        <v>103421.40000000001</v>
      </c>
      <c r="D1866">
        <f>'0374 table 5'!F285</f>
        <v>377.59444444444443</v>
      </c>
      <c r="E1866">
        <f>'0374 table 5'!G285</f>
        <v>0.56323675309962695</v>
      </c>
    </row>
    <row r="1867" spans="1:5" x14ac:dyDescent="0.35">
      <c r="A1867">
        <v>374</v>
      </c>
      <c r="B1867">
        <v>5</v>
      </c>
      <c r="C1867">
        <f>'0374 table 5'!E286</f>
        <v>110316.16</v>
      </c>
      <c r="D1867">
        <f>'0374 table 5'!F286</f>
        <v>244.26111111111109</v>
      </c>
      <c r="E1867">
        <f>'0374 table 5'!G286</f>
        <v>0.95008619562001151</v>
      </c>
    </row>
    <row r="1868" spans="1:5" x14ac:dyDescent="0.35">
      <c r="A1868">
        <v>374</v>
      </c>
      <c r="B1868">
        <v>5</v>
      </c>
      <c r="C1868">
        <f>'0374 table 5'!E287</f>
        <v>110316.16</v>
      </c>
      <c r="D1868">
        <f>'0374 table 5'!F287</f>
        <v>249.81666666666663</v>
      </c>
      <c r="E1868">
        <f>'0374 table 5'!G287</f>
        <v>0.92645767832003434</v>
      </c>
    </row>
    <row r="1869" spans="1:5" x14ac:dyDescent="0.35">
      <c r="A1869">
        <v>374</v>
      </c>
      <c r="B1869">
        <v>5</v>
      </c>
      <c r="C1869">
        <f>'0374 table 5'!E288</f>
        <v>110316.16</v>
      </c>
      <c r="D1869">
        <f>'0374 table 5'!F288</f>
        <v>255.37222222222221</v>
      </c>
      <c r="E1869">
        <f>'0374 table 5'!G288</f>
        <v>0.90397591750301332</v>
      </c>
    </row>
    <row r="1870" spans="1:5" x14ac:dyDescent="0.35">
      <c r="A1870">
        <v>374</v>
      </c>
      <c r="B1870">
        <v>5</v>
      </c>
      <c r="C1870">
        <f>'0374 table 5'!E289</f>
        <v>110316.16</v>
      </c>
      <c r="D1870">
        <f>'0374 table 5'!F289</f>
        <v>260.92777777777775</v>
      </c>
      <c r="E1870">
        <f>'0374 table 5'!G289</f>
        <v>0.88304593484858829</v>
      </c>
    </row>
    <row r="1871" spans="1:5" x14ac:dyDescent="0.35">
      <c r="A1871">
        <v>374</v>
      </c>
      <c r="B1871">
        <v>5</v>
      </c>
      <c r="C1871">
        <f>'0374 table 5'!E290</f>
        <v>110316.16</v>
      </c>
      <c r="D1871">
        <f>'0374 table 5'!F290</f>
        <v>266.48333333333329</v>
      </c>
      <c r="E1871">
        <f>'0374 table 5'!G290</f>
        <v>0.86306321434016131</v>
      </c>
    </row>
    <row r="1872" spans="1:5" x14ac:dyDescent="0.35">
      <c r="A1872">
        <v>374</v>
      </c>
      <c r="B1872">
        <v>5</v>
      </c>
      <c r="C1872">
        <f>'0374 table 5'!E291</f>
        <v>110316.16</v>
      </c>
      <c r="D1872">
        <f>'0374 table 5'!F291</f>
        <v>272.03888888888889</v>
      </c>
      <c r="E1872">
        <f>'0374 table 5'!G291</f>
        <v>0.84440976584888738</v>
      </c>
    </row>
    <row r="1873" spans="1:5" x14ac:dyDescent="0.35">
      <c r="A1873">
        <v>374</v>
      </c>
      <c r="B1873">
        <v>5</v>
      </c>
      <c r="C1873">
        <f>'0374 table 5'!E292</f>
        <v>110316.16</v>
      </c>
      <c r="D1873">
        <f>'0374 table 5'!F292</f>
        <v>277.59444444444443</v>
      </c>
      <c r="E1873">
        <f>'0374 table 5'!G292</f>
        <v>0.82611930160667324</v>
      </c>
    </row>
    <row r="1874" spans="1:5" x14ac:dyDescent="0.35">
      <c r="A1874">
        <v>374</v>
      </c>
      <c r="B1874">
        <v>5</v>
      </c>
      <c r="C1874">
        <f>'0374 table 5'!E293</f>
        <v>110316.16</v>
      </c>
      <c r="D1874">
        <f>'0374 table 5'!F293</f>
        <v>283.14999999999998</v>
      </c>
      <c r="E1874">
        <f>'0374 table 5'!G293</f>
        <v>0.809012790815828</v>
      </c>
    </row>
    <row r="1875" spans="1:5" x14ac:dyDescent="0.35">
      <c r="A1875">
        <v>374</v>
      </c>
      <c r="B1875">
        <v>5</v>
      </c>
      <c r="C1875">
        <f>'0374 table 5'!E294</f>
        <v>110316.16</v>
      </c>
      <c r="D1875">
        <f>'0374 table 5'!F294</f>
        <v>288.70555555555552</v>
      </c>
      <c r="E1875">
        <f>'0374 table 5'!G294</f>
        <v>0.79260035913673399</v>
      </c>
    </row>
    <row r="1876" spans="1:5" x14ac:dyDescent="0.35">
      <c r="A1876">
        <v>374</v>
      </c>
      <c r="B1876">
        <v>5</v>
      </c>
      <c r="C1876">
        <f>'0374 table 5'!E295</f>
        <v>110316.16</v>
      </c>
      <c r="D1876">
        <f>'0374 table 5'!F295</f>
        <v>294.26111111111106</v>
      </c>
      <c r="E1876">
        <f>'0374 table 5'!G295</f>
        <v>0.77684060417814715</v>
      </c>
    </row>
    <row r="1877" spans="1:5" x14ac:dyDescent="0.35">
      <c r="A1877">
        <v>374</v>
      </c>
      <c r="B1877">
        <v>5</v>
      </c>
      <c r="C1877">
        <f>'0374 table 5'!E296</f>
        <v>110316.16</v>
      </c>
      <c r="D1877">
        <f>'0374 table 5'!F296</f>
        <v>299.81666666666666</v>
      </c>
      <c r="E1877">
        <f>'0374 table 5'!G296</f>
        <v>0.76169535226597207</v>
      </c>
    </row>
    <row r="1878" spans="1:5" x14ac:dyDescent="0.35">
      <c r="A1878">
        <v>374</v>
      </c>
      <c r="B1878">
        <v>5</v>
      </c>
      <c r="C1878">
        <f>'0374 table 5'!E297</f>
        <v>110316.16</v>
      </c>
      <c r="D1878">
        <f>'0374 table 5'!F297</f>
        <v>305.37222222222221</v>
      </c>
      <c r="E1878">
        <f>'0374 table 5'!G297</f>
        <v>0.74747798684803524</v>
      </c>
    </row>
    <row r="1879" spans="1:5" x14ac:dyDescent="0.35">
      <c r="A1879">
        <v>374</v>
      </c>
      <c r="B1879">
        <v>5</v>
      </c>
      <c r="C1879">
        <f>'0374 table 5'!E298</f>
        <v>110316.16</v>
      </c>
      <c r="D1879">
        <f>'0374 table 5'!F298</f>
        <v>310.92777777777775</v>
      </c>
      <c r="E1879">
        <f>'0374 table 5'!G298</f>
        <v>0.73344566200336048</v>
      </c>
    </row>
    <row r="1880" spans="1:5" x14ac:dyDescent="0.35">
      <c r="A1880">
        <v>374</v>
      </c>
      <c r="B1880">
        <v>5</v>
      </c>
      <c r="C1880">
        <f>'0374 table 5'!E299</f>
        <v>110316.16</v>
      </c>
      <c r="D1880">
        <f>'0374 table 5'!F299</f>
        <v>316.48333333333329</v>
      </c>
      <c r="E1880">
        <f>'0374 table 5'!G299</f>
        <v>0.7202541932622929</v>
      </c>
    </row>
    <row r="1881" spans="1:5" x14ac:dyDescent="0.35">
      <c r="A1881">
        <v>374</v>
      </c>
      <c r="B1881">
        <v>5</v>
      </c>
      <c r="C1881">
        <f>'0374 table 5'!E300</f>
        <v>110316.16</v>
      </c>
      <c r="D1881">
        <f>'0374 table 5'!F300</f>
        <v>322.03888888888889</v>
      </c>
      <c r="E1881">
        <f>'0374 table 5'!G300</f>
        <v>0.70721647938867083</v>
      </c>
    </row>
    <row r="1882" spans="1:5" x14ac:dyDescent="0.35">
      <c r="A1882">
        <v>374</v>
      </c>
      <c r="B1882">
        <v>5</v>
      </c>
      <c r="C1882">
        <f>'0374 table 5'!E301</f>
        <v>110316.16</v>
      </c>
      <c r="D1882">
        <f>'0374 table 5'!F301</f>
        <v>327.59444444444443</v>
      </c>
      <c r="E1882">
        <f>'0374 table 5'!G301</f>
        <v>0.69494374221923605</v>
      </c>
    </row>
    <row r="1883" spans="1:5" x14ac:dyDescent="0.35">
      <c r="A1883">
        <v>374</v>
      </c>
      <c r="B1883">
        <v>5</v>
      </c>
      <c r="C1883">
        <f>'0374 table 5'!E302</f>
        <v>110316.16</v>
      </c>
      <c r="D1883">
        <f>'0374 table 5'!F302</f>
        <v>333.15</v>
      </c>
      <c r="E1883">
        <f>'0374 table 5'!G302</f>
        <v>0.68308969117924923</v>
      </c>
    </row>
    <row r="1884" spans="1:5" x14ac:dyDescent="0.35">
      <c r="A1884">
        <v>374</v>
      </c>
      <c r="B1884">
        <v>5</v>
      </c>
      <c r="C1884">
        <f>'0374 table 5'!E303</f>
        <v>110316.16</v>
      </c>
      <c r="D1884">
        <f>'0374 table 5'!F303</f>
        <v>338.70555555555552</v>
      </c>
      <c r="E1884">
        <f>'0374 table 5'!G303</f>
        <v>0.67135177108773658</v>
      </c>
    </row>
    <row r="1885" spans="1:5" x14ac:dyDescent="0.35">
      <c r="A1885">
        <v>374</v>
      </c>
      <c r="B1885">
        <v>5</v>
      </c>
      <c r="C1885">
        <f>'0374 table 5'!E304</f>
        <v>110316.16</v>
      </c>
      <c r="D1885">
        <f>'0374 table 5'!F304</f>
        <v>344.26111111111106</v>
      </c>
      <c r="E1885">
        <f>'0374 table 5'!G304</f>
        <v>0.66028249209206069</v>
      </c>
    </row>
    <row r="1886" spans="1:5" x14ac:dyDescent="0.35">
      <c r="A1886">
        <v>374</v>
      </c>
      <c r="B1886">
        <v>5</v>
      </c>
      <c r="C1886">
        <f>'0374 table 5'!E305</f>
        <v>110316.16</v>
      </c>
      <c r="D1886">
        <f>'0374 table 5'!F305</f>
        <v>349.81666666666666</v>
      </c>
      <c r="E1886">
        <f>'0374 table 5'!G305</f>
        <v>0.64957231379373048</v>
      </c>
    </row>
    <row r="1887" spans="1:5" x14ac:dyDescent="0.35">
      <c r="A1887">
        <v>374</v>
      </c>
      <c r="B1887">
        <v>5</v>
      </c>
      <c r="C1887">
        <f>'0374 table 5'!E306</f>
        <v>110316.16</v>
      </c>
      <c r="D1887">
        <f>'0374 table 5'!F306</f>
        <v>355.37222222222221</v>
      </c>
      <c r="E1887">
        <f>'0374 table 5'!G306</f>
        <v>0.63920404062862701</v>
      </c>
    </row>
    <row r="1888" spans="1:5" x14ac:dyDescent="0.35">
      <c r="A1888">
        <v>374</v>
      </c>
      <c r="B1888">
        <v>5</v>
      </c>
      <c r="C1888">
        <f>'0374 table 5'!E307</f>
        <v>110316.16</v>
      </c>
      <c r="D1888">
        <f>'0374 table 5'!F307</f>
        <v>360.92777777777775</v>
      </c>
      <c r="E1888">
        <f>'0374 table 5'!G307</f>
        <v>0.62916155766509796</v>
      </c>
    </row>
    <row r="1889" spans="1:5" x14ac:dyDescent="0.35">
      <c r="A1889">
        <v>374</v>
      </c>
      <c r="B1889">
        <v>5</v>
      </c>
      <c r="C1889">
        <f>'0374 table 5'!E308</f>
        <v>110316.16</v>
      </c>
      <c r="D1889">
        <f>'0374 table 5'!F308</f>
        <v>366.48333333333329</v>
      </c>
      <c r="E1889">
        <f>'0374 table 5'!G308</f>
        <v>0.61942974702836018</v>
      </c>
    </row>
    <row r="1890" spans="1:5" x14ac:dyDescent="0.35">
      <c r="A1890">
        <v>374</v>
      </c>
      <c r="B1890">
        <v>5</v>
      </c>
      <c r="C1890">
        <f>'0374 table 5'!E309</f>
        <v>110316.16</v>
      </c>
      <c r="D1890">
        <f>'0374 table 5'!F309</f>
        <v>377.59444444444443</v>
      </c>
      <c r="E1890">
        <f>'0374 table 5'!G309</f>
        <v>0.60084220773268548</v>
      </c>
    </row>
    <row r="1891" spans="1:5" x14ac:dyDescent="0.35">
      <c r="A1891">
        <v>374</v>
      </c>
      <c r="B1891">
        <v>5</v>
      </c>
      <c r="C1891">
        <f>'0374 table 5'!E310</f>
        <v>117210.92</v>
      </c>
      <c r="D1891">
        <f>'0374 table 5'!F310</f>
        <v>244.26111111111109</v>
      </c>
      <c r="E1891">
        <f>'0374 table 5'!G310</f>
        <v>1.0119048173185972</v>
      </c>
    </row>
    <row r="1892" spans="1:5" x14ac:dyDescent="0.35">
      <c r="A1892">
        <v>374</v>
      </c>
      <c r="B1892">
        <v>5</v>
      </c>
      <c r="C1892">
        <f>'0374 table 5'!E311</f>
        <v>117210.92</v>
      </c>
      <c r="D1892">
        <f>'0374 table 5'!F311</f>
        <v>249.81666666666663</v>
      </c>
      <c r="E1892">
        <f>'0374 table 5'!G311</f>
        <v>0.98635795924589875</v>
      </c>
    </row>
    <row r="1893" spans="1:5" x14ac:dyDescent="0.35">
      <c r="A1893">
        <v>374</v>
      </c>
      <c r="B1893">
        <v>5</v>
      </c>
      <c r="C1893">
        <f>'0374 table 5'!E312</f>
        <v>117210.92</v>
      </c>
      <c r="D1893">
        <f>'0374 table 5'!F312</f>
        <v>255.37222222222221</v>
      </c>
      <c r="E1893">
        <f>'0374 table 5'!G312</f>
        <v>0.9620692647539576</v>
      </c>
    </row>
    <row r="1894" spans="1:5" x14ac:dyDescent="0.35">
      <c r="A1894">
        <v>374</v>
      </c>
      <c r="B1894">
        <v>5</v>
      </c>
      <c r="C1894">
        <f>'0374 table 5'!E313</f>
        <v>117210.92</v>
      </c>
      <c r="D1894">
        <f>'0374 table 5'!F313</f>
        <v>260.92777777777775</v>
      </c>
      <c r="E1894">
        <f>'0374 table 5'!G313</f>
        <v>0.93949872481838081</v>
      </c>
    </row>
    <row r="1895" spans="1:5" x14ac:dyDescent="0.35">
      <c r="A1895">
        <v>374</v>
      </c>
      <c r="B1895">
        <v>5</v>
      </c>
      <c r="C1895">
        <f>'0374 table 5'!E314</f>
        <v>117210.92</v>
      </c>
      <c r="D1895">
        <f>'0374 table 5'!F314</f>
        <v>266.48333333333329</v>
      </c>
      <c r="E1895">
        <f>'0374 table 5'!G314</f>
        <v>0.9179629374299938</v>
      </c>
    </row>
    <row r="1896" spans="1:5" x14ac:dyDescent="0.35">
      <c r="A1896">
        <v>374</v>
      </c>
      <c r="B1896">
        <v>5</v>
      </c>
      <c r="C1896">
        <f>'0374 table 5'!E315</f>
        <v>117210.92</v>
      </c>
      <c r="D1896">
        <f>'0374 table 5'!F315</f>
        <v>272.03888888888889</v>
      </c>
      <c r="E1896">
        <f>'0374 table 5'!G315</f>
        <v>0.89789536200411402</v>
      </c>
    </row>
    <row r="1897" spans="1:5" x14ac:dyDescent="0.35">
      <c r="A1897">
        <v>374</v>
      </c>
      <c r="B1897">
        <v>5</v>
      </c>
      <c r="C1897">
        <f>'0374 table 5'!E316</f>
        <v>117210.92</v>
      </c>
      <c r="D1897">
        <f>'0374 table 5'!F316</f>
        <v>277.59444444444443</v>
      </c>
      <c r="E1897">
        <f>'0374 table 5'!G316</f>
        <v>0.8786864102113765</v>
      </c>
    </row>
    <row r="1898" spans="1:5" x14ac:dyDescent="0.35">
      <c r="A1898">
        <v>374</v>
      </c>
      <c r="B1898">
        <v>5</v>
      </c>
      <c r="C1898">
        <f>'0374 table 5'!E317</f>
        <v>117210.92</v>
      </c>
      <c r="D1898">
        <f>'0374 table 5'!F317</f>
        <v>283.14999999999998</v>
      </c>
      <c r="E1898">
        <f>'0374 table 5'!G317</f>
        <v>0.8602821298686032</v>
      </c>
    </row>
    <row r="1899" spans="1:5" x14ac:dyDescent="0.35">
      <c r="A1899">
        <v>374</v>
      </c>
      <c r="B1899">
        <v>5</v>
      </c>
      <c r="C1899">
        <f>'0374 table 5'!E318</f>
        <v>117210.92</v>
      </c>
      <c r="D1899">
        <f>'0374 table 5'!F318</f>
        <v>288.70555555555552</v>
      </c>
      <c r="E1899">
        <f>'0374 table 5'!G318</f>
        <v>0.84263299622058874</v>
      </c>
    </row>
    <row r="1900" spans="1:5" x14ac:dyDescent="0.35">
      <c r="A1900">
        <v>374</v>
      </c>
      <c r="B1900">
        <v>5</v>
      </c>
      <c r="C1900">
        <f>'0374 table 5'!E319</f>
        <v>117210.92</v>
      </c>
      <c r="D1900">
        <f>'0374 table 5'!F319</f>
        <v>294.26111111111106</v>
      </c>
      <c r="E1900">
        <f>'0374 table 5'!G319</f>
        <v>0.82611930160667324</v>
      </c>
    </row>
    <row r="1901" spans="1:5" x14ac:dyDescent="0.35">
      <c r="A1901">
        <v>374</v>
      </c>
      <c r="B1901">
        <v>5</v>
      </c>
      <c r="C1901">
        <f>'0374 table 5'!E320</f>
        <v>117210.92</v>
      </c>
      <c r="D1901">
        <f>'0374 table 5'!F320</f>
        <v>299.81666666666666</v>
      </c>
      <c r="E1901">
        <f>'0374 table 5'!G320</f>
        <v>0.80983080172666289</v>
      </c>
    </row>
    <row r="1902" spans="1:5" x14ac:dyDescent="0.35">
      <c r="A1902">
        <v>374</v>
      </c>
      <c r="B1902">
        <v>5</v>
      </c>
      <c r="C1902">
        <f>'0374 table 5'!E321</f>
        <v>117210.92</v>
      </c>
      <c r="D1902">
        <f>'0374 table 5'!F321</f>
        <v>305.37222222222221</v>
      </c>
      <c r="E1902">
        <f>'0374 table 5'!G321</f>
        <v>0.79456613383697383</v>
      </c>
    </row>
    <row r="1903" spans="1:5" x14ac:dyDescent="0.35">
      <c r="A1903">
        <v>374</v>
      </c>
      <c r="B1903">
        <v>5</v>
      </c>
      <c r="C1903">
        <f>'0374 table 5'!E322</f>
        <v>117210.92</v>
      </c>
      <c r="D1903">
        <f>'0374 table 5'!F322</f>
        <v>310.92777777777775</v>
      </c>
      <c r="E1903">
        <f>'0374 table 5'!G322</f>
        <v>0.77986627352256055</v>
      </c>
    </row>
    <row r="1904" spans="1:5" x14ac:dyDescent="0.35">
      <c r="A1904">
        <v>374</v>
      </c>
      <c r="B1904">
        <v>5</v>
      </c>
      <c r="C1904">
        <f>'0374 table 5'!E323</f>
        <v>117210.92</v>
      </c>
      <c r="D1904">
        <f>'0374 table 5'!F323</f>
        <v>316.48333333333329</v>
      </c>
      <c r="E1904">
        <f>'0374 table 5'!G323</f>
        <v>0.76570044255035341</v>
      </c>
    </row>
    <row r="1905" spans="1:5" x14ac:dyDescent="0.35">
      <c r="A1905">
        <v>374</v>
      </c>
      <c r="B1905">
        <v>5</v>
      </c>
      <c r="C1905">
        <f>'0374 table 5'!E324</f>
        <v>117210.92</v>
      </c>
      <c r="D1905">
        <f>'0374 table 5'!F324</f>
        <v>322.03888888888889</v>
      </c>
      <c r="E1905">
        <f>'0374 table 5'!G324</f>
        <v>0.75204005906823446</v>
      </c>
    </row>
    <row r="1906" spans="1:5" x14ac:dyDescent="0.35">
      <c r="A1906">
        <v>374</v>
      </c>
      <c r="B1906">
        <v>5</v>
      </c>
      <c r="C1906">
        <f>'0374 table 5'!E325</f>
        <v>117210.92</v>
      </c>
      <c r="D1906">
        <f>'0374 table 5'!F325</f>
        <v>327.59444444444443</v>
      </c>
      <c r="E1906">
        <f>'0374 table 5'!G325</f>
        <v>0.73885854511777649</v>
      </c>
    </row>
    <row r="1907" spans="1:5" x14ac:dyDescent="0.35">
      <c r="A1907">
        <v>374</v>
      </c>
      <c r="B1907">
        <v>5</v>
      </c>
      <c r="C1907">
        <f>'0374 table 5'!E326</f>
        <v>117210.92</v>
      </c>
      <c r="D1907">
        <f>'0374 table 5'!F326</f>
        <v>333.15</v>
      </c>
      <c r="E1907">
        <f>'0374 table 5'!G326</f>
        <v>0.72613115404140494</v>
      </c>
    </row>
    <row r="1908" spans="1:5" x14ac:dyDescent="0.35">
      <c r="A1908">
        <v>374</v>
      </c>
      <c r="B1908">
        <v>5</v>
      </c>
      <c r="C1908">
        <f>'0374 table 5'!E327</f>
        <v>117210.92</v>
      </c>
      <c r="D1908">
        <f>'0374 table 5'!F327</f>
        <v>338.70555555555552</v>
      </c>
      <c r="E1908">
        <f>'0374 table 5'!G327</f>
        <v>0.71383481542573046</v>
      </c>
    </row>
    <row r="1909" spans="1:5" x14ac:dyDescent="0.35">
      <c r="A1909">
        <v>374</v>
      </c>
      <c r="B1909">
        <v>5</v>
      </c>
      <c r="C1909">
        <f>'0374 table 5'!E328</f>
        <v>117210.92</v>
      </c>
      <c r="D1909">
        <f>'0374 table 5'!F328</f>
        <v>344.26111111111106</v>
      </c>
      <c r="E1909">
        <f>'0374 table 5'!G328</f>
        <v>0.70194799553695852</v>
      </c>
    </row>
    <row r="1910" spans="1:5" x14ac:dyDescent="0.35">
      <c r="A1910">
        <v>374</v>
      </c>
      <c r="B1910">
        <v>5</v>
      </c>
      <c r="C1910">
        <f>'0374 table 5'!E329</f>
        <v>117210.92</v>
      </c>
      <c r="D1910">
        <f>'0374 table 5'!F329</f>
        <v>349.81666666666666</v>
      </c>
      <c r="E1910">
        <f>'0374 table 5'!G329</f>
        <v>0.69045057147212907</v>
      </c>
    </row>
    <row r="1911" spans="1:5" x14ac:dyDescent="0.35">
      <c r="A1911">
        <v>374</v>
      </c>
      <c r="B1911">
        <v>5</v>
      </c>
      <c r="C1911">
        <f>'0374 table 5'!E330</f>
        <v>117210.92</v>
      </c>
      <c r="D1911">
        <f>'0374 table 5'!F330</f>
        <v>355.37222222222221</v>
      </c>
      <c r="E1911">
        <f>'0374 table 5'!G330</f>
        <v>0.6793237174789396</v>
      </c>
    </row>
    <row r="1912" spans="1:5" x14ac:dyDescent="0.35">
      <c r="A1912">
        <v>374</v>
      </c>
      <c r="B1912">
        <v>5</v>
      </c>
      <c r="C1912">
        <f>'0374 table 5'!E331</f>
        <v>117210.92</v>
      </c>
      <c r="D1912">
        <f>'0374 table 5'!F331</f>
        <v>360.92777777777775</v>
      </c>
      <c r="E1912">
        <f>'0374 table 5'!G331</f>
        <v>0.66882894606068455</v>
      </c>
    </row>
    <row r="1913" spans="1:5" x14ac:dyDescent="0.35">
      <c r="A1913">
        <v>374</v>
      </c>
      <c r="B1913">
        <v>5</v>
      </c>
      <c r="C1913">
        <f>'0374 table 5'!E332</f>
        <v>117210.92</v>
      </c>
      <c r="D1913">
        <f>'0374 table 5'!F332</f>
        <v>366.48333333333329</v>
      </c>
      <c r="E1913">
        <f>'0374 table 5'!G332</f>
        <v>0.65838278907330028</v>
      </c>
    </row>
    <row r="1914" spans="1:5" x14ac:dyDescent="0.35">
      <c r="A1914">
        <v>374</v>
      </c>
      <c r="B1914">
        <v>5</v>
      </c>
      <c r="C1914">
        <f>'0374 table 5'!E333</f>
        <v>117210.92</v>
      </c>
      <c r="D1914">
        <f>'0374 table 5'!F333</f>
        <v>377.59444444444443</v>
      </c>
      <c r="E1914">
        <f>'0374 table 5'!G333</f>
        <v>0.63869430853881159</v>
      </c>
    </row>
    <row r="1915" spans="1:5" x14ac:dyDescent="0.35">
      <c r="A1915">
        <v>374</v>
      </c>
      <c r="B1915">
        <v>5</v>
      </c>
      <c r="C1915">
        <f>'0374 table 5'!E334</f>
        <v>137895.20000000001</v>
      </c>
      <c r="D1915">
        <f>'0374 table 5'!F334</f>
        <v>249.81666666666663</v>
      </c>
      <c r="E1915">
        <f>'0374 table 5'!G334</f>
        <v>1.1658262924420226</v>
      </c>
    </row>
    <row r="1916" spans="1:5" x14ac:dyDescent="0.35">
      <c r="A1916">
        <v>374</v>
      </c>
      <c r="B1916">
        <v>5</v>
      </c>
      <c r="C1916">
        <f>'0374 table 5'!E335</f>
        <v>137895.20000000001</v>
      </c>
      <c r="D1916">
        <f>'0374 table 5'!F335</f>
        <v>255.37222222222221</v>
      </c>
      <c r="E1916">
        <f>'0374 table 5'!G335</f>
        <v>1.1368668032756135</v>
      </c>
    </row>
    <row r="1917" spans="1:5" x14ac:dyDescent="0.35">
      <c r="A1917">
        <v>374</v>
      </c>
      <c r="B1917">
        <v>5</v>
      </c>
      <c r="C1917">
        <f>'0374 table 5'!E336</f>
        <v>137895.20000000001</v>
      </c>
      <c r="D1917">
        <f>'0374 table 5'!F336</f>
        <v>260.92777777777775</v>
      </c>
      <c r="E1917">
        <f>'0374 table 5'!G336</f>
        <v>1.1093111674621463</v>
      </c>
    </row>
    <row r="1918" spans="1:5" x14ac:dyDescent="0.35">
      <c r="A1918">
        <v>374</v>
      </c>
      <c r="B1918">
        <v>5</v>
      </c>
      <c r="C1918">
        <f>'0374 table 5'!E337</f>
        <v>137895.20000000001</v>
      </c>
      <c r="D1918">
        <f>'0374 table 5'!F337</f>
        <v>266.48333333333329</v>
      </c>
      <c r="E1918">
        <f>'0374 table 5'!G337</f>
        <v>1.0837925073175505</v>
      </c>
    </row>
    <row r="1919" spans="1:5" x14ac:dyDescent="0.35">
      <c r="A1919">
        <v>374</v>
      </c>
      <c r="B1919">
        <v>5</v>
      </c>
      <c r="C1919">
        <f>'0374 table 5'!E338</f>
        <v>137895.20000000001</v>
      </c>
      <c r="D1919">
        <f>'0374 table 5'!F338</f>
        <v>272.03888888888889</v>
      </c>
      <c r="E1919">
        <f>'0374 table 5'!G338</f>
        <v>1.0601226511021438</v>
      </c>
    </row>
    <row r="1920" spans="1:5" x14ac:dyDescent="0.35">
      <c r="A1920">
        <v>374</v>
      </c>
      <c r="B1920">
        <v>5</v>
      </c>
      <c r="C1920">
        <f>'0374 table 5'!E339</f>
        <v>137895.20000000001</v>
      </c>
      <c r="D1920">
        <f>'0374 table 5'!F339</f>
        <v>277.59444444444443</v>
      </c>
      <c r="E1920">
        <f>'0374 table 5'!G339</f>
        <v>1.0367930911426144</v>
      </c>
    </row>
    <row r="1921" spans="1:5" x14ac:dyDescent="0.35">
      <c r="A1921">
        <v>374</v>
      </c>
      <c r="B1921">
        <v>5</v>
      </c>
      <c r="C1921">
        <f>'0374 table 5'!E340</f>
        <v>137895.20000000001</v>
      </c>
      <c r="D1921">
        <f>'0374 table 5'!F340</f>
        <v>283.14999999999998</v>
      </c>
      <c r="E1921">
        <f>'0374 table 5'!G340</f>
        <v>1.0151111063468563</v>
      </c>
    </row>
    <row r="1922" spans="1:5" x14ac:dyDescent="0.35">
      <c r="A1922">
        <v>374</v>
      </c>
      <c r="B1922">
        <v>5</v>
      </c>
      <c r="C1922">
        <f>'0374 table 5'!E341</f>
        <v>137895.20000000001</v>
      </c>
      <c r="D1922">
        <f>'0374 table 5'!F341</f>
        <v>288.70555555555552</v>
      </c>
      <c r="E1922">
        <f>'0374 table 5'!G341</f>
        <v>0.99370057432713343</v>
      </c>
    </row>
    <row r="1923" spans="1:5" x14ac:dyDescent="0.35">
      <c r="A1923">
        <v>374</v>
      </c>
      <c r="B1923">
        <v>5</v>
      </c>
      <c r="C1923">
        <f>'0374 table 5'!E342</f>
        <v>137895.20000000001</v>
      </c>
      <c r="D1923">
        <f>'0374 table 5'!F342</f>
        <v>294.26111111111106</v>
      </c>
      <c r="E1923">
        <f>'0374 table 5'!G342</f>
        <v>0.97376615551084467</v>
      </c>
    </row>
    <row r="1924" spans="1:5" x14ac:dyDescent="0.35">
      <c r="A1924">
        <v>374</v>
      </c>
      <c r="B1924">
        <v>5</v>
      </c>
      <c r="C1924">
        <f>'0374 table 5'!E343</f>
        <v>137895.20000000001</v>
      </c>
      <c r="D1924">
        <f>'0374 table 5'!F343</f>
        <v>299.81666666666666</v>
      </c>
      <c r="E1924">
        <f>'0374 table 5'!G343</f>
        <v>0.95461580799483858</v>
      </c>
    </row>
    <row r="1925" spans="1:5" x14ac:dyDescent="0.35">
      <c r="A1925">
        <v>374</v>
      </c>
      <c r="B1925">
        <v>5</v>
      </c>
      <c r="C1925">
        <f>'0374 table 5'!E344</f>
        <v>137895.20000000001</v>
      </c>
      <c r="D1925">
        <f>'0374 table 5'!F344</f>
        <v>305.37222222222221</v>
      </c>
      <c r="E1925">
        <f>'0374 table 5'!G344</f>
        <v>0.93675165252359027</v>
      </c>
    </row>
    <row r="1926" spans="1:5" x14ac:dyDescent="0.35">
      <c r="A1926">
        <v>374</v>
      </c>
      <c r="B1926">
        <v>5</v>
      </c>
      <c r="C1926">
        <f>'0374 table 5'!E345</f>
        <v>137895.20000000001</v>
      </c>
      <c r="D1926">
        <f>'0374 table 5'!F345</f>
        <v>310.92777777777775</v>
      </c>
      <c r="E1926">
        <f>'0374 table 5'!G345</f>
        <v>0.91901625118493369</v>
      </c>
    </row>
    <row r="1927" spans="1:5" x14ac:dyDescent="0.35">
      <c r="A1927">
        <v>374</v>
      </c>
      <c r="B1927">
        <v>5</v>
      </c>
      <c r="C1927">
        <f>'0374 table 5'!E346</f>
        <v>137895.20000000001</v>
      </c>
      <c r="D1927">
        <f>'0374 table 5'!F346</f>
        <v>316.48333333333329</v>
      </c>
      <c r="E1927">
        <f>'0374 table 5'!G346</f>
        <v>0.90193993570683506</v>
      </c>
    </row>
    <row r="1928" spans="1:5" x14ac:dyDescent="0.35">
      <c r="A1928">
        <v>374</v>
      </c>
      <c r="B1928">
        <v>5</v>
      </c>
      <c r="C1928">
        <f>'0374 table 5'!E347</f>
        <v>137895.20000000001</v>
      </c>
      <c r="D1928">
        <f>'0374 table 5'!F347</f>
        <v>322.03888888888889</v>
      </c>
      <c r="E1928">
        <f>'0374 table 5'!G347</f>
        <v>0.88597639702175857</v>
      </c>
    </row>
    <row r="1929" spans="1:5" x14ac:dyDescent="0.35">
      <c r="A1929">
        <v>374</v>
      </c>
      <c r="B1929">
        <v>5</v>
      </c>
      <c r="C1929">
        <f>'0374 table 5'!E348</f>
        <v>137895.20000000001</v>
      </c>
      <c r="D1929">
        <f>'0374 table 5'!F348</f>
        <v>327.59444444444443</v>
      </c>
      <c r="E1929">
        <f>'0374 table 5'!G348</f>
        <v>0.87009523401159106</v>
      </c>
    </row>
    <row r="1930" spans="1:5" x14ac:dyDescent="0.35">
      <c r="A1930">
        <v>374</v>
      </c>
      <c r="B1930">
        <v>5</v>
      </c>
      <c r="C1930">
        <f>'0374 table 5'!E349</f>
        <v>137895.20000000001</v>
      </c>
      <c r="D1930">
        <f>'0374 table 5'!F349</f>
        <v>333.15</v>
      </c>
      <c r="E1930">
        <f>'0374 table 5'!G349</f>
        <v>0.85522975217049613</v>
      </c>
    </row>
    <row r="1931" spans="1:5" x14ac:dyDescent="0.35">
      <c r="A1931">
        <v>374</v>
      </c>
      <c r="B1931">
        <v>5</v>
      </c>
      <c r="C1931">
        <f>'0374 table 5'!E350</f>
        <v>137895.20000000001</v>
      </c>
      <c r="D1931">
        <f>'0374 table 5'!F350</f>
        <v>338.70555555555552</v>
      </c>
      <c r="E1931">
        <f>'0374 table 5'!G350</f>
        <v>0.84086368809204171</v>
      </c>
    </row>
    <row r="1932" spans="1:5" x14ac:dyDescent="0.35">
      <c r="A1932">
        <v>374</v>
      </c>
      <c r="B1932">
        <v>5</v>
      </c>
      <c r="C1932">
        <f>'0374 table 5'!E351</f>
        <v>137895.20000000001</v>
      </c>
      <c r="D1932">
        <f>'0374 table 5'!F351</f>
        <v>344.26111111111106</v>
      </c>
      <c r="E1932">
        <f>'0374 table 5'!G351</f>
        <v>0.82697229004405737</v>
      </c>
    </row>
    <row r="1933" spans="1:5" x14ac:dyDescent="0.35">
      <c r="A1933">
        <v>374</v>
      </c>
      <c r="B1933">
        <v>5</v>
      </c>
      <c r="C1933">
        <f>'0374 table 5'!E352</f>
        <v>137895.20000000001</v>
      </c>
      <c r="D1933">
        <f>'0374 table 5'!F352</f>
        <v>349.81666666666666</v>
      </c>
      <c r="E1933">
        <f>'0374 table 5'!G352</f>
        <v>0.8131194547285987</v>
      </c>
    </row>
    <row r="1934" spans="1:5" x14ac:dyDescent="0.35">
      <c r="A1934">
        <v>374</v>
      </c>
      <c r="B1934">
        <v>5</v>
      </c>
      <c r="C1934">
        <f>'0374 table 5'!E353</f>
        <v>137895.20000000001</v>
      </c>
      <c r="D1934">
        <f>'0374 table 5'!F353</f>
        <v>355.37222222222221</v>
      </c>
      <c r="E1934">
        <f>'0374 table 5'!G353</f>
        <v>0.80012254036730235</v>
      </c>
    </row>
    <row r="1935" spans="1:5" x14ac:dyDescent="0.35">
      <c r="A1935">
        <v>374</v>
      </c>
      <c r="B1935">
        <v>5</v>
      </c>
      <c r="C1935">
        <f>'0374 table 5'!E354</f>
        <v>137895.20000000001</v>
      </c>
      <c r="D1935">
        <f>'0374 table 5'!F354</f>
        <v>360.92777777777775</v>
      </c>
      <c r="E1935">
        <f>'0374 table 5'!G354</f>
        <v>0.787534575130452</v>
      </c>
    </row>
    <row r="1936" spans="1:5" x14ac:dyDescent="0.35">
      <c r="A1936">
        <v>374</v>
      </c>
      <c r="B1936">
        <v>5</v>
      </c>
      <c r="C1936">
        <f>'0374 table 5'!E355</f>
        <v>137895.20000000001</v>
      </c>
      <c r="D1936">
        <f>'0374 table 5'!F355</f>
        <v>366.48333333333329</v>
      </c>
      <c r="E1936">
        <f>'0374 table 5'!G355</f>
        <v>0.77533655654179057</v>
      </c>
    </row>
    <row r="1937" spans="1:5" x14ac:dyDescent="0.35">
      <c r="A1937">
        <v>374</v>
      </c>
      <c r="B1937">
        <v>5</v>
      </c>
      <c r="C1937">
        <f>'0374 table 5'!E356</f>
        <v>137895.20000000001</v>
      </c>
      <c r="D1937">
        <f>'0374 table 5'!F356</f>
        <v>377.59444444444443</v>
      </c>
      <c r="E1937">
        <f>'0374 table 5'!G356</f>
        <v>0.75204005906823446</v>
      </c>
    </row>
    <row r="1938" spans="1:5" x14ac:dyDescent="0.35">
      <c r="A1938">
        <v>374</v>
      </c>
      <c r="B1938">
        <v>5</v>
      </c>
      <c r="C1938">
        <f>'0374 table 5'!E357</f>
        <v>137895.20000000001</v>
      </c>
      <c r="D1938">
        <f>'0374 table 5'!F357</f>
        <v>388.70555555555552</v>
      </c>
      <c r="E1938">
        <f>'0374 table 5'!G357</f>
        <v>0.73010270091856855</v>
      </c>
    </row>
    <row r="1939" spans="1:5" x14ac:dyDescent="0.35">
      <c r="A1939">
        <v>374</v>
      </c>
      <c r="B1939">
        <v>5</v>
      </c>
      <c r="C1939">
        <f>'0374 table 5'!E358</f>
        <v>144789.96</v>
      </c>
      <c r="D1939">
        <f>'0374 table 5'!F358</f>
        <v>249.81666666666663</v>
      </c>
      <c r="E1939">
        <f>'0374 table 5'!G358</f>
        <v>1.2265278145599841</v>
      </c>
    </row>
    <row r="1940" spans="1:5" x14ac:dyDescent="0.35">
      <c r="A1940">
        <v>374</v>
      </c>
      <c r="B1940">
        <v>5</v>
      </c>
      <c r="C1940">
        <f>'0374 table 5'!E359</f>
        <v>144789.96</v>
      </c>
      <c r="D1940">
        <f>'0374 table 5'!F359</f>
        <v>255.37222222222221</v>
      </c>
      <c r="E1940">
        <f>'0374 table 5'!G359</f>
        <v>1.195406959563686</v>
      </c>
    </row>
    <row r="1941" spans="1:5" x14ac:dyDescent="0.35">
      <c r="A1941">
        <v>374</v>
      </c>
      <c r="B1941">
        <v>5</v>
      </c>
      <c r="C1941">
        <f>'0374 table 5'!E360</f>
        <v>144789.96</v>
      </c>
      <c r="D1941">
        <f>'0374 table 5'!F360</f>
        <v>260.92777777777775</v>
      </c>
      <c r="E1941">
        <f>'0374 table 5'!G360</f>
        <v>1.1666754011765035</v>
      </c>
    </row>
    <row r="1942" spans="1:5" x14ac:dyDescent="0.35">
      <c r="A1942">
        <v>374</v>
      </c>
      <c r="B1942">
        <v>5</v>
      </c>
      <c r="C1942">
        <f>'0374 table 5'!E361</f>
        <v>144789.96</v>
      </c>
      <c r="D1942">
        <f>'0374 table 5'!F361</f>
        <v>266.48333333333329</v>
      </c>
      <c r="E1942">
        <f>'0374 table 5'!G361</f>
        <v>1.1392925503665288</v>
      </c>
    </row>
    <row r="1943" spans="1:5" x14ac:dyDescent="0.35">
      <c r="A1943">
        <v>374</v>
      </c>
      <c r="B1943">
        <v>5</v>
      </c>
      <c r="C1943">
        <f>'0374 table 5'!E362</f>
        <v>144789.96</v>
      </c>
      <c r="D1943">
        <f>'0374 table 5'!F362</f>
        <v>272.03888888888889</v>
      </c>
      <c r="E1943">
        <f>'0374 table 5'!G362</f>
        <v>1.11393972587993</v>
      </c>
    </row>
    <row r="1944" spans="1:5" x14ac:dyDescent="0.35">
      <c r="A1944">
        <v>374</v>
      </c>
      <c r="B1944">
        <v>5</v>
      </c>
      <c r="C1944">
        <f>'0374 table 5'!E363</f>
        <v>144789.96</v>
      </c>
      <c r="D1944">
        <f>'0374 table 5'!F363</f>
        <v>277.59444444444443</v>
      </c>
      <c r="E1944">
        <f>'0374 table 5'!G363</f>
        <v>1.0896906978335641</v>
      </c>
    </row>
    <row r="1945" spans="1:5" x14ac:dyDescent="0.35">
      <c r="A1945">
        <v>374</v>
      </c>
      <c r="B1945">
        <v>5</v>
      </c>
      <c r="C1945">
        <f>'0374 table 5'!E364</f>
        <v>144789.96</v>
      </c>
      <c r="D1945">
        <f>'0374 table 5'!F364</f>
        <v>283.14999999999998</v>
      </c>
      <c r="E1945">
        <f>'0374 table 5'!G364</f>
        <v>1.0664749173204655</v>
      </c>
    </row>
    <row r="1946" spans="1:5" x14ac:dyDescent="0.35">
      <c r="A1946">
        <v>374</v>
      </c>
      <c r="B1946">
        <v>5</v>
      </c>
      <c r="C1946">
        <f>'0374 table 5'!E365</f>
        <v>144789.96</v>
      </c>
      <c r="D1946">
        <f>'0374 table 5'!F365</f>
        <v>288.70555555555552</v>
      </c>
      <c r="E1946">
        <f>'0374 table 5'!G365</f>
        <v>1.044227722174276</v>
      </c>
    </row>
    <row r="1947" spans="1:5" x14ac:dyDescent="0.35">
      <c r="A1947">
        <v>374</v>
      </c>
      <c r="B1947">
        <v>5</v>
      </c>
      <c r="C1947">
        <f>'0374 table 5'!E366</f>
        <v>144789.96</v>
      </c>
      <c r="D1947">
        <f>'0374 table 5'!F366</f>
        <v>294.26111111111106</v>
      </c>
      <c r="E1947">
        <f>'0374 table 5'!G366</f>
        <v>1.0235433391791307</v>
      </c>
    </row>
    <row r="1948" spans="1:5" x14ac:dyDescent="0.35">
      <c r="A1948">
        <v>374</v>
      </c>
      <c r="B1948">
        <v>5</v>
      </c>
      <c r="C1948">
        <f>'0374 table 5'!E367</f>
        <v>144789.96</v>
      </c>
      <c r="D1948">
        <f>'0374 table 5'!F367</f>
        <v>299.81666666666666</v>
      </c>
      <c r="E1948">
        <f>'0374 table 5'!G367</f>
        <v>1.0030340174172445</v>
      </c>
    </row>
    <row r="1949" spans="1:5" x14ac:dyDescent="0.35">
      <c r="A1949">
        <v>374</v>
      </c>
      <c r="B1949">
        <v>5</v>
      </c>
      <c r="C1949">
        <f>'0374 table 5'!E368</f>
        <v>144789.96</v>
      </c>
      <c r="D1949">
        <f>'0374 table 5'!F368</f>
        <v>305.37222222222221</v>
      </c>
      <c r="E1949">
        <f>'0374 table 5'!G368</f>
        <v>0.98393447531654743</v>
      </c>
    </row>
    <row r="1950" spans="1:5" x14ac:dyDescent="0.35">
      <c r="A1950">
        <v>374</v>
      </c>
      <c r="B1950">
        <v>5</v>
      </c>
      <c r="C1950">
        <f>'0374 table 5'!E369</f>
        <v>144789.96</v>
      </c>
      <c r="D1950">
        <f>'0374 table 5'!F369</f>
        <v>310.92777777777775</v>
      </c>
      <c r="E1950">
        <f>'0374 table 5'!G369</f>
        <v>0.96554871959936073</v>
      </c>
    </row>
    <row r="1951" spans="1:5" x14ac:dyDescent="0.35">
      <c r="A1951">
        <v>374</v>
      </c>
      <c r="B1951">
        <v>5</v>
      </c>
      <c r="C1951">
        <f>'0374 table 5'!E370</f>
        <v>144789.96</v>
      </c>
      <c r="D1951">
        <f>'0374 table 5'!F370</f>
        <v>316.48333333333329</v>
      </c>
      <c r="E1951">
        <f>'0374 table 5'!G370</f>
        <v>0.9478374708966506</v>
      </c>
    </row>
    <row r="1952" spans="1:5" x14ac:dyDescent="0.35">
      <c r="A1952">
        <v>374</v>
      </c>
      <c r="B1952">
        <v>5</v>
      </c>
      <c r="C1952">
        <f>'0374 table 5'!E371</f>
        <v>144789.96</v>
      </c>
      <c r="D1952">
        <f>'0374 table 5'!F371</f>
        <v>322.03888888888889</v>
      </c>
      <c r="E1952">
        <f>'0374 table 5'!G371</f>
        <v>0.9307642799624285</v>
      </c>
    </row>
    <row r="1953" spans="1:5" x14ac:dyDescent="0.35">
      <c r="A1953">
        <v>374</v>
      </c>
      <c r="B1953">
        <v>5</v>
      </c>
      <c r="C1953">
        <f>'0374 table 5'!E372</f>
        <v>144789.96</v>
      </c>
      <c r="D1953">
        <f>'0374 table 5'!F372</f>
        <v>327.59444444444443</v>
      </c>
      <c r="E1953">
        <f>'0374 table 5'!G372</f>
        <v>0.91429527729186033</v>
      </c>
    </row>
    <row r="1954" spans="1:5" x14ac:dyDescent="0.35">
      <c r="A1954">
        <v>374</v>
      </c>
      <c r="B1954">
        <v>5</v>
      </c>
      <c r="C1954">
        <f>'0374 table 5'!E373</f>
        <v>144789.96</v>
      </c>
      <c r="D1954">
        <f>'0374 table 5'!F373</f>
        <v>333.15</v>
      </c>
      <c r="E1954">
        <f>'0374 table 5'!G373</f>
        <v>0.89839894885885552</v>
      </c>
    </row>
    <row r="1955" spans="1:5" x14ac:dyDescent="0.35">
      <c r="A1955">
        <v>374</v>
      </c>
      <c r="B1955">
        <v>5</v>
      </c>
      <c r="C1955">
        <f>'0374 table 5'!E374</f>
        <v>144789.96</v>
      </c>
      <c r="D1955">
        <f>'0374 table 5'!F374</f>
        <v>338.70555555555552</v>
      </c>
      <c r="E1955">
        <f>'0374 table 5'!G374</f>
        <v>0.88304593484858829</v>
      </c>
    </row>
    <row r="1956" spans="1:5" x14ac:dyDescent="0.35">
      <c r="A1956">
        <v>374</v>
      </c>
      <c r="B1956">
        <v>5</v>
      </c>
      <c r="C1956">
        <f>'0374 table 5'!E375</f>
        <v>144789.96</v>
      </c>
      <c r="D1956">
        <f>'0374 table 5'!F375</f>
        <v>344.26111111111106</v>
      </c>
      <c r="E1956">
        <f>'0374 table 5'!G375</f>
        <v>0.86867967777404509</v>
      </c>
    </row>
    <row r="1957" spans="1:5" x14ac:dyDescent="0.35">
      <c r="A1957">
        <v>374</v>
      </c>
      <c r="B1957">
        <v>5</v>
      </c>
      <c r="C1957">
        <f>'0374 table 5'!E376</f>
        <v>144789.96</v>
      </c>
      <c r="D1957">
        <f>'0374 table 5'!F376</f>
        <v>349.81666666666666</v>
      </c>
      <c r="E1957">
        <f>'0374 table 5'!G376</f>
        <v>0.85295278264927554</v>
      </c>
    </row>
    <row r="1958" spans="1:5" x14ac:dyDescent="0.35">
      <c r="A1958">
        <v>374</v>
      </c>
      <c r="B1958">
        <v>5</v>
      </c>
      <c r="C1958">
        <f>'0374 table 5'!E377</f>
        <v>144789.96</v>
      </c>
      <c r="D1958">
        <f>'0374 table 5'!F377</f>
        <v>355.37222222222221</v>
      </c>
      <c r="E1958">
        <f>'0374 table 5'!G377</f>
        <v>0.84042252141413398</v>
      </c>
    </row>
    <row r="1959" spans="1:5" x14ac:dyDescent="0.35">
      <c r="A1959">
        <v>374</v>
      </c>
      <c r="B1959">
        <v>5</v>
      </c>
      <c r="C1959">
        <f>'0374 table 5'!E378</f>
        <v>144789.96</v>
      </c>
      <c r="D1959">
        <f>'0374 table 5'!F378</f>
        <v>360.92777777777775</v>
      </c>
      <c r="E1959">
        <f>'0374 table 5'!G378</f>
        <v>0.82739944515255137</v>
      </c>
    </row>
    <row r="1960" spans="1:5" x14ac:dyDescent="0.35">
      <c r="A1960">
        <v>374</v>
      </c>
      <c r="B1960">
        <v>5</v>
      </c>
      <c r="C1960">
        <f>'0374 table 5'!E379</f>
        <v>144789.96</v>
      </c>
      <c r="D1960">
        <f>'0374 table 5'!F379</f>
        <v>366.48333333333329</v>
      </c>
      <c r="E1960">
        <f>'0374 table 5'!G379</f>
        <v>0.81435959624572396</v>
      </c>
    </row>
    <row r="1961" spans="1:5" x14ac:dyDescent="0.35">
      <c r="A1961">
        <v>374</v>
      </c>
      <c r="B1961">
        <v>5</v>
      </c>
      <c r="C1961">
        <f>'0374 table 5'!E380</f>
        <v>144789.96</v>
      </c>
      <c r="D1961">
        <f>'0374 table 5'!F380</f>
        <v>377.59444444444443</v>
      </c>
      <c r="E1961">
        <f>'0374 table 5'!G380</f>
        <v>0.78986455908054209</v>
      </c>
    </row>
    <row r="1962" spans="1:5" x14ac:dyDescent="0.35">
      <c r="A1962">
        <v>374</v>
      </c>
      <c r="B1962">
        <v>5</v>
      </c>
      <c r="C1962">
        <f>'0374 table 5'!E381</f>
        <v>144789.96</v>
      </c>
      <c r="D1962">
        <f>'0374 table 5'!F381</f>
        <v>388.70555555555552</v>
      </c>
      <c r="E1962">
        <f>'0374 table 5'!G381</f>
        <v>0.76680006022754399</v>
      </c>
    </row>
    <row r="1963" spans="1:5" x14ac:dyDescent="0.35">
      <c r="A1963">
        <v>374</v>
      </c>
      <c r="B1963">
        <v>5</v>
      </c>
      <c r="C1963">
        <f>'0374 table 5'!E382</f>
        <v>151684.72</v>
      </c>
      <c r="D1963">
        <f>'0374 table 5'!F382</f>
        <v>249.81666666666663</v>
      </c>
      <c r="E1963">
        <f>'0374 table 5'!G382</f>
        <v>1.286622751658907</v>
      </c>
    </row>
    <row r="1964" spans="1:5" x14ac:dyDescent="0.35">
      <c r="A1964">
        <v>374</v>
      </c>
      <c r="B1964">
        <v>5</v>
      </c>
      <c r="C1964">
        <f>'0374 table 5'!E383</f>
        <v>151684.72</v>
      </c>
      <c r="D1964">
        <f>'0374 table 5'!F383</f>
        <v>255.37222222222221</v>
      </c>
      <c r="E1964">
        <f>'0374 table 5'!G383</f>
        <v>1.2543816177097411</v>
      </c>
    </row>
    <row r="1965" spans="1:5" x14ac:dyDescent="0.35">
      <c r="A1965">
        <v>374</v>
      </c>
      <c r="B1965">
        <v>5</v>
      </c>
      <c r="C1965">
        <f>'0374 table 5'!E384</f>
        <v>151684.72</v>
      </c>
      <c r="D1965">
        <f>'0374 table 5'!F384</f>
        <v>260.92777777777775</v>
      </c>
      <c r="E1965">
        <f>'0374 table 5'!G384</f>
        <v>1.2237168264441096</v>
      </c>
    </row>
    <row r="1966" spans="1:5" x14ac:dyDescent="0.35">
      <c r="A1966">
        <v>374</v>
      </c>
      <c r="B1966">
        <v>5</v>
      </c>
      <c r="C1966">
        <f>'0374 table 5'!E385</f>
        <v>151684.72</v>
      </c>
      <c r="D1966">
        <f>'0374 table 5'!F385</f>
        <v>266.48333333333329</v>
      </c>
      <c r="E1966">
        <f>'0374 table 5'!G385</f>
        <v>1.195406959563686</v>
      </c>
    </row>
    <row r="1967" spans="1:5" x14ac:dyDescent="0.35">
      <c r="A1967">
        <v>374</v>
      </c>
      <c r="B1967">
        <v>5</v>
      </c>
      <c r="C1967">
        <f>'0374 table 5'!E386</f>
        <v>151684.72</v>
      </c>
      <c r="D1967">
        <f>'0374 table 5'!F386</f>
        <v>272.03888888888889</v>
      </c>
      <c r="E1967">
        <f>'0374 table 5'!G386</f>
        <v>1.168377334657432</v>
      </c>
    </row>
    <row r="1968" spans="1:5" x14ac:dyDescent="0.35">
      <c r="A1968">
        <v>374</v>
      </c>
      <c r="B1968">
        <v>5</v>
      </c>
      <c r="C1968">
        <f>'0374 table 5'!E387</f>
        <v>151684.72</v>
      </c>
      <c r="D1968">
        <f>'0374 table 5'!F387</f>
        <v>277.59444444444443</v>
      </c>
      <c r="E1968">
        <f>'0374 table 5'!G387</f>
        <v>1.1425430283989582</v>
      </c>
    </row>
    <row r="1969" spans="1:5" x14ac:dyDescent="0.35">
      <c r="A1969">
        <v>374</v>
      </c>
      <c r="B1969">
        <v>5</v>
      </c>
      <c r="C1969">
        <f>'0374 table 5'!E388</f>
        <v>151684.72</v>
      </c>
      <c r="D1969">
        <f>'0374 table 5'!F388</f>
        <v>283.14999999999998</v>
      </c>
      <c r="E1969">
        <f>'0374 table 5'!G388</f>
        <v>1.1186070711000973</v>
      </c>
    </row>
    <row r="1970" spans="1:5" x14ac:dyDescent="0.35">
      <c r="A1970">
        <v>374</v>
      </c>
      <c r="B1970">
        <v>5</v>
      </c>
      <c r="C1970">
        <f>'0374 table 5'!E389</f>
        <v>151684.72</v>
      </c>
      <c r="D1970">
        <f>'0374 table 5'!F389</f>
        <v>288.70555555555552</v>
      </c>
      <c r="E1970">
        <f>'0374 table 5'!G389</f>
        <v>1.0949045289236767</v>
      </c>
    </row>
    <row r="1971" spans="1:5" x14ac:dyDescent="0.35">
      <c r="A1971">
        <v>374</v>
      </c>
      <c r="B1971">
        <v>5</v>
      </c>
      <c r="C1971">
        <f>'0374 table 5'!E390</f>
        <v>151684.72</v>
      </c>
      <c r="D1971">
        <f>'0374 table 5'!F390</f>
        <v>294.26111111111106</v>
      </c>
      <c r="E1971">
        <f>'0374 table 5'!G390</f>
        <v>1.0729037681281577</v>
      </c>
    </row>
    <row r="1972" spans="1:5" x14ac:dyDescent="0.35">
      <c r="A1972">
        <v>374</v>
      </c>
      <c r="B1972">
        <v>5</v>
      </c>
      <c r="C1972">
        <f>'0374 table 5'!E391</f>
        <v>151684.72</v>
      </c>
      <c r="D1972">
        <f>'0374 table 5'!F391</f>
        <v>299.81666666666666</v>
      </c>
      <c r="E1972">
        <f>'0374 table 5'!G391</f>
        <v>1.0517697477448058</v>
      </c>
    </row>
    <row r="1973" spans="1:5" x14ac:dyDescent="0.35">
      <c r="A1973">
        <v>374</v>
      </c>
      <c r="B1973">
        <v>5</v>
      </c>
      <c r="C1973">
        <f>'0374 table 5'!E392</f>
        <v>151684.72</v>
      </c>
      <c r="D1973">
        <f>'0374 table 5'!F392</f>
        <v>305.37222222222221</v>
      </c>
      <c r="E1973">
        <f>'0374 table 5'!G392</f>
        <v>1.0314522381296456</v>
      </c>
    </row>
    <row r="1974" spans="1:5" x14ac:dyDescent="0.35">
      <c r="A1974">
        <v>374</v>
      </c>
      <c r="B1974">
        <v>5</v>
      </c>
      <c r="C1974">
        <f>'0374 table 5'!E393</f>
        <v>151684.72</v>
      </c>
      <c r="D1974">
        <f>'0374 table 5'!F393</f>
        <v>310.92777777777775</v>
      </c>
      <c r="E1974">
        <f>'0374 table 5'!G393</f>
        <v>1.0119048173185972</v>
      </c>
    </row>
    <row r="1975" spans="1:5" x14ac:dyDescent="0.35">
      <c r="A1975">
        <v>374</v>
      </c>
      <c r="B1975">
        <v>5</v>
      </c>
      <c r="C1975">
        <f>'0374 table 5'!E394</f>
        <v>151684.72</v>
      </c>
      <c r="D1975">
        <f>'0374 table 5'!F394</f>
        <v>316.48333333333329</v>
      </c>
      <c r="E1975">
        <f>'0374 table 5'!G394</f>
        <v>0.99370057432713343</v>
      </c>
    </row>
    <row r="1976" spans="1:5" x14ac:dyDescent="0.35">
      <c r="A1976">
        <v>374</v>
      </c>
      <c r="B1976">
        <v>5</v>
      </c>
      <c r="C1976">
        <f>'0374 table 5'!E395</f>
        <v>151684.72</v>
      </c>
      <c r="D1976">
        <f>'0374 table 5'!F395</f>
        <v>322.03888888888889</v>
      </c>
      <c r="E1976">
        <f>'0374 table 5'!G395</f>
        <v>0.97554526541738085</v>
      </c>
    </row>
    <row r="1977" spans="1:5" x14ac:dyDescent="0.35">
      <c r="A1977">
        <v>374</v>
      </c>
      <c r="B1977">
        <v>5</v>
      </c>
      <c r="C1977">
        <f>'0374 table 5'!E396</f>
        <v>151684.72</v>
      </c>
      <c r="D1977">
        <f>'0374 table 5'!F396</f>
        <v>327.59444444444443</v>
      </c>
      <c r="E1977">
        <f>'0374 table 5'!G396</f>
        <v>0.95804146280821745</v>
      </c>
    </row>
    <row r="1978" spans="1:5" x14ac:dyDescent="0.35">
      <c r="A1978">
        <v>374</v>
      </c>
      <c r="B1978">
        <v>5</v>
      </c>
      <c r="C1978">
        <f>'0374 table 5'!E397</f>
        <v>151684.72</v>
      </c>
      <c r="D1978">
        <f>'0374 table 5'!F397</f>
        <v>333.15</v>
      </c>
      <c r="E1978">
        <f>'0374 table 5'!G397</f>
        <v>0.94170801047345032</v>
      </c>
    </row>
    <row r="1979" spans="1:5" x14ac:dyDescent="0.35">
      <c r="A1979">
        <v>374</v>
      </c>
      <c r="B1979">
        <v>5</v>
      </c>
      <c r="C1979">
        <f>'0374 table 5'!E398</f>
        <v>151684.72</v>
      </c>
      <c r="D1979">
        <f>'0374 table 5'!F398</f>
        <v>338.70555555555552</v>
      </c>
      <c r="E1979">
        <f>'0374 table 5'!G398</f>
        <v>0.9253872477269437</v>
      </c>
    </row>
    <row r="1980" spans="1:5" x14ac:dyDescent="0.35">
      <c r="A1980">
        <v>374</v>
      </c>
      <c r="B1980">
        <v>5</v>
      </c>
      <c r="C1980">
        <f>'0374 table 5'!E399</f>
        <v>151684.72</v>
      </c>
      <c r="D1980">
        <f>'0374 table 5'!F399</f>
        <v>344.26111111111106</v>
      </c>
      <c r="E1980">
        <f>'0374 table 5'!G399</f>
        <v>0.91013938966780639</v>
      </c>
    </row>
    <row r="1981" spans="1:5" x14ac:dyDescent="0.35">
      <c r="A1981">
        <v>374</v>
      </c>
      <c r="B1981">
        <v>5</v>
      </c>
      <c r="C1981">
        <f>'0374 table 5'!E400</f>
        <v>151684.72</v>
      </c>
      <c r="D1981">
        <f>'0374 table 5'!F400</f>
        <v>349.81666666666666</v>
      </c>
      <c r="E1981">
        <f>'0374 table 5'!G400</f>
        <v>0.89538587245127976</v>
      </c>
    </row>
    <row r="1982" spans="1:5" x14ac:dyDescent="0.35">
      <c r="A1982">
        <v>374</v>
      </c>
      <c r="B1982">
        <v>5</v>
      </c>
      <c r="C1982">
        <f>'0374 table 5'!E401</f>
        <v>151684.72</v>
      </c>
      <c r="D1982">
        <f>'0374 table 5'!F401</f>
        <v>355.37222222222221</v>
      </c>
      <c r="E1982">
        <f>'0374 table 5'!G401</f>
        <v>0.88061865080557411</v>
      </c>
    </row>
    <row r="1983" spans="1:5" x14ac:dyDescent="0.35">
      <c r="A1983">
        <v>374</v>
      </c>
      <c r="B1983">
        <v>5</v>
      </c>
      <c r="C1983">
        <f>'0374 table 5'!E402</f>
        <v>151684.72</v>
      </c>
      <c r="D1983">
        <f>'0374 table 5'!F402</f>
        <v>360.92777777777775</v>
      </c>
      <c r="E1983">
        <f>'0374 table 5'!G402</f>
        <v>0.8663306251029419</v>
      </c>
    </row>
    <row r="1984" spans="1:5" x14ac:dyDescent="0.35">
      <c r="A1984">
        <v>374</v>
      </c>
      <c r="B1984">
        <v>5</v>
      </c>
      <c r="C1984">
        <f>'0374 table 5'!E403</f>
        <v>151684.72</v>
      </c>
      <c r="D1984">
        <f>'0374 table 5'!F403</f>
        <v>366.48333333333329</v>
      </c>
      <c r="E1984">
        <f>'0374 table 5'!G403</f>
        <v>0.85340720608169385</v>
      </c>
    </row>
    <row r="1985" spans="1:5" x14ac:dyDescent="0.35">
      <c r="A1985">
        <v>374</v>
      </c>
      <c r="B1985">
        <v>5</v>
      </c>
      <c r="C1985">
        <f>'0374 table 5'!E404</f>
        <v>151684.72</v>
      </c>
      <c r="D1985">
        <f>'0374 table 5'!F404</f>
        <v>377.59444444444443</v>
      </c>
      <c r="E1985">
        <f>'0374 table 5'!G404</f>
        <v>0.82782704176503319</v>
      </c>
    </row>
    <row r="1986" spans="1:5" x14ac:dyDescent="0.35">
      <c r="A1986">
        <v>374</v>
      </c>
      <c r="B1986">
        <v>5</v>
      </c>
      <c r="C1986">
        <f>'0374 table 5'!E405</f>
        <v>151684.72</v>
      </c>
      <c r="D1986">
        <f>'0374 table 5'!F405</f>
        <v>388.70555555555552</v>
      </c>
      <c r="E1986">
        <f>'0374 table 5'!G405</f>
        <v>0.80333266089034072</v>
      </c>
    </row>
    <row r="1987" spans="1:5" x14ac:dyDescent="0.35">
      <c r="A1987">
        <v>374</v>
      </c>
      <c r="B1987">
        <v>5</v>
      </c>
      <c r="C1987">
        <f>'0374 table 5'!E406</f>
        <v>124105.68000000001</v>
      </c>
      <c r="D1987">
        <f>'0374 table 5'!F406</f>
        <v>244.26111111111109</v>
      </c>
      <c r="E1987">
        <f>'0374 table 5'!G406</f>
        <v>1.0729037681281577</v>
      </c>
    </row>
    <row r="1988" spans="1:5" x14ac:dyDescent="0.35">
      <c r="A1988">
        <v>374</v>
      </c>
      <c r="B1988">
        <v>5</v>
      </c>
      <c r="C1988">
        <f>'0374 table 5'!E407</f>
        <v>124105.68000000001</v>
      </c>
      <c r="D1988">
        <f>'0374 table 5'!F407</f>
        <v>249.81666666666663</v>
      </c>
      <c r="E1988">
        <f>'0374 table 5'!G407</f>
        <v>1.0455909437436941</v>
      </c>
    </row>
    <row r="1989" spans="1:5" x14ac:dyDescent="0.35">
      <c r="A1989">
        <v>374</v>
      </c>
      <c r="B1989">
        <v>5</v>
      </c>
      <c r="C1989">
        <f>'0374 table 5'!E408</f>
        <v>124105.68000000001</v>
      </c>
      <c r="D1989">
        <f>'0374 table 5'!F408</f>
        <v>255.37222222222221</v>
      </c>
      <c r="E1989">
        <f>'0374 table 5'!G408</f>
        <v>1.0202836470161398</v>
      </c>
    </row>
    <row r="1990" spans="1:5" x14ac:dyDescent="0.35">
      <c r="A1990">
        <v>374</v>
      </c>
      <c r="B1990">
        <v>5</v>
      </c>
      <c r="C1990">
        <f>'0374 table 5'!E409</f>
        <v>124105.68000000001</v>
      </c>
      <c r="D1990">
        <f>'0374 table 5'!F409</f>
        <v>260.92777777777775</v>
      </c>
      <c r="E1990">
        <f>'0374 table 5'!G409</f>
        <v>0.99617246630307188</v>
      </c>
    </row>
    <row r="1991" spans="1:5" x14ac:dyDescent="0.35">
      <c r="A1991">
        <v>374</v>
      </c>
      <c r="B1991">
        <v>5</v>
      </c>
      <c r="C1991">
        <f>'0374 table 5'!E410</f>
        <v>124105.68000000001</v>
      </c>
      <c r="D1991">
        <f>'0374 table 5'!F410</f>
        <v>266.48333333333329</v>
      </c>
      <c r="E1991">
        <f>'0374 table 5'!G410</f>
        <v>0.97317456003362057</v>
      </c>
    </row>
    <row r="1992" spans="1:5" x14ac:dyDescent="0.35">
      <c r="A1992">
        <v>374</v>
      </c>
      <c r="B1992">
        <v>5</v>
      </c>
      <c r="C1992">
        <f>'0374 table 5'!E411</f>
        <v>124105.68000000001</v>
      </c>
      <c r="D1992">
        <f>'0374 table 5'!F411</f>
        <v>272.03888888888889</v>
      </c>
      <c r="E1992">
        <f>'0374 table 5'!G411</f>
        <v>0.95177975390097425</v>
      </c>
    </row>
    <row r="1993" spans="1:5" x14ac:dyDescent="0.35">
      <c r="A1993">
        <v>374</v>
      </c>
      <c r="B1993">
        <v>5</v>
      </c>
      <c r="C1993">
        <f>'0374 table 5'!E412</f>
        <v>124105.68000000001</v>
      </c>
      <c r="D1993">
        <f>'0374 table 5'!F412</f>
        <v>277.59444444444443</v>
      </c>
      <c r="E1993">
        <f>'0374 table 5'!G412</f>
        <v>0.93130542198566246</v>
      </c>
    </row>
    <row r="1994" spans="1:5" x14ac:dyDescent="0.35">
      <c r="A1994">
        <v>374</v>
      </c>
      <c r="B1994">
        <v>5</v>
      </c>
      <c r="C1994">
        <f>'0374 table 5'!E413</f>
        <v>124105.68000000001</v>
      </c>
      <c r="D1994">
        <f>'0374 table 5'!F413</f>
        <v>283.14999999999998</v>
      </c>
      <c r="E1994">
        <f>'0374 table 5'!G413</f>
        <v>0.91169341253007363</v>
      </c>
    </row>
    <row r="1995" spans="1:5" x14ac:dyDescent="0.35">
      <c r="A1995">
        <v>374</v>
      </c>
      <c r="B1995">
        <v>5</v>
      </c>
      <c r="C1995">
        <f>'0374 table 5'!E414</f>
        <v>124105.68000000001</v>
      </c>
      <c r="D1995">
        <f>'0374 table 5'!F414</f>
        <v>288.70555555555552</v>
      </c>
      <c r="E1995">
        <f>'0374 table 5'!G414</f>
        <v>0.89289037113452574</v>
      </c>
    </row>
    <row r="1996" spans="1:5" x14ac:dyDescent="0.35">
      <c r="A1996">
        <v>374</v>
      </c>
      <c r="B1996">
        <v>5</v>
      </c>
      <c r="C1996">
        <f>'0374 table 5'!E415</f>
        <v>124105.68000000001</v>
      </c>
      <c r="D1996">
        <f>'0374 table 5'!F415</f>
        <v>294.26111111111106</v>
      </c>
      <c r="E1996">
        <f>'0374 table 5'!G415</f>
        <v>0.87532531465319097</v>
      </c>
    </row>
    <row r="1997" spans="1:5" x14ac:dyDescent="0.35">
      <c r="A1997">
        <v>374</v>
      </c>
      <c r="B1997">
        <v>5</v>
      </c>
      <c r="C1997">
        <f>'0374 table 5'!E416</f>
        <v>124105.68000000001</v>
      </c>
      <c r="D1997">
        <f>'0374 table 5'!F416</f>
        <v>299.81666666666666</v>
      </c>
      <c r="E1997">
        <f>'0374 table 5'!G416</f>
        <v>0.85797821414854814</v>
      </c>
    </row>
    <row r="1998" spans="1:5" x14ac:dyDescent="0.35">
      <c r="A1998">
        <v>374</v>
      </c>
      <c r="B1998">
        <v>5</v>
      </c>
      <c r="C1998">
        <f>'0374 table 5'!E417</f>
        <v>124105.68000000001</v>
      </c>
      <c r="D1998">
        <f>'0374 table 5'!F417</f>
        <v>305.37222222222221</v>
      </c>
      <c r="E1998">
        <f>'0374 table 5'!G417</f>
        <v>0.84174741240953188</v>
      </c>
    </row>
    <row r="1999" spans="1:5" x14ac:dyDescent="0.35">
      <c r="A1999">
        <v>374</v>
      </c>
      <c r="B1999">
        <v>5</v>
      </c>
      <c r="C1999">
        <f>'0374 table 5'!E418</f>
        <v>124105.68000000001</v>
      </c>
      <c r="D1999">
        <f>'0374 table 5'!F418</f>
        <v>310.92777777777775</v>
      </c>
      <c r="E1999">
        <f>'0374 table 5'!G418</f>
        <v>0.82611930160667324</v>
      </c>
    </row>
    <row r="2000" spans="1:5" x14ac:dyDescent="0.35">
      <c r="A2000">
        <v>374</v>
      </c>
      <c r="B2000">
        <v>5</v>
      </c>
      <c r="C2000">
        <f>'0374 table 5'!E419</f>
        <v>124105.68000000001</v>
      </c>
      <c r="D2000">
        <f>'0374 table 5'!F419</f>
        <v>316.48333333333329</v>
      </c>
      <c r="E2000">
        <f>'0374 table 5'!G419</f>
        <v>0.8110609244634629</v>
      </c>
    </row>
    <row r="2001" spans="1:5" x14ac:dyDescent="0.35">
      <c r="A2001">
        <v>374</v>
      </c>
      <c r="B2001">
        <v>5</v>
      </c>
      <c r="C2001">
        <f>'0374 table 5'!E420</f>
        <v>124105.68000000001</v>
      </c>
      <c r="D2001">
        <f>'0374 table 5'!F420</f>
        <v>322.03888888888889</v>
      </c>
      <c r="E2001">
        <f>'0374 table 5'!G420</f>
        <v>0.79654168364760791</v>
      </c>
    </row>
    <row r="2002" spans="1:5" x14ac:dyDescent="0.35">
      <c r="A2002">
        <v>374</v>
      </c>
      <c r="B2002">
        <v>5</v>
      </c>
      <c r="C2002">
        <f>'0374 table 5'!E421</f>
        <v>124105.68000000001</v>
      </c>
      <c r="D2002">
        <f>'0374 table 5'!F421</f>
        <v>327.59444444444443</v>
      </c>
      <c r="E2002">
        <f>'0374 table 5'!G421</f>
        <v>0.78253313425273052</v>
      </c>
    </row>
    <row r="2003" spans="1:5" x14ac:dyDescent="0.35">
      <c r="A2003">
        <v>374</v>
      </c>
      <c r="B2003">
        <v>5</v>
      </c>
      <c r="C2003">
        <f>'0374 table 5'!E422</f>
        <v>124105.68000000001</v>
      </c>
      <c r="D2003">
        <f>'0374 table 5'!F422</f>
        <v>333.15</v>
      </c>
      <c r="E2003">
        <f>'0374 table 5'!G422</f>
        <v>0.76900879779901077</v>
      </c>
    </row>
    <row r="2004" spans="1:5" x14ac:dyDescent="0.35">
      <c r="A2004">
        <v>374</v>
      </c>
      <c r="B2004">
        <v>5</v>
      </c>
      <c r="C2004">
        <f>'0374 table 5'!E423</f>
        <v>124105.68000000001</v>
      </c>
      <c r="D2004">
        <f>'0374 table 5'!F423</f>
        <v>338.70555555555552</v>
      </c>
      <c r="E2004">
        <f>'0374 table 5'!G423</f>
        <v>0.75594399519364763</v>
      </c>
    </row>
    <row r="2005" spans="1:5" x14ac:dyDescent="0.35">
      <c r="A2005">
        <v>374</v>
      </c>
      <c r="B2005">
        <v>5</v>
      </c>
      <c r="C2005">
        <f>'0374 table 5'!E424</f>
        <v>124105.68000000001</v>
      </c>
      <c r="D2005">
        <f>'0374 table 5'!F424</f>
        <v>344.26111111111106</v>
      </c>
      <c r="E2005">
        <f>'0374 table 5'!G424</f>
        <v>0.74366078264407587</v>
      </c>
    </row>
    <row r="2006" spans="1:5" x14ac:dyDescent="0.35">
      <c r="A2006">
        <v>374</v>
      </c>
      <c r="B2006">
        <v>5</v>
      </c>
      <c r="C2006">
        <f>'0374 table 5'!E425</f>
        <v>124105.68000000001</v>
      </c>
      <c r="D2006">
        <f>'0374 table 5'!F425</f>
        <v>349.81666666666666</v>
      </c>
      <c r="E2006">
        <f>'0374 table 5'!G425</f>
        <v>0.73143622183348833</v>
      </c>
    </row>
    <row r="2007" spans="1:5" x14ac:dyDescent="0.35">
      <c r="A2007">
        <v>374</v>
      </c>
      <c r="B2007">
        <v>5</v>
      </c>
      <c r="C2007">
        <f>'0374 table 5'!E426</f>
        <v>124105.68000000001</v>
      </c>
      <c r="D2007">
        <f>'0374 table 5'!F426</f>
        <v>355.37222222222221</v>
      </c>
      <c r="E2007">
        <f>'0374 table 5'!G426</f>
        <v>0.71960706460707069</v>
      </c>
    </row>
    <row r="2008" spans="1:5" x14ac:dyDescent="0.35">
      <c r="A2008">
        <v>374</v>
      </c>
      <c r="B2008">
        <v>5</v>
      </c>
      <c r="C2008">
        <f>'0374 table 5'!E427</f>
        <v>124105.68000000001</v>
      </c>
      <c r="D2008">
        <f>'0374 table 5'!F427</f>
        <v>360.92777777777775</v>
      </c>
      <c r="E2008">
        <f>'0374 table 5'!G427</f>
        <v>0.70846763636237919</v>
      </c>
    </row>
    <row r="2009" spans="1:5" x14ac:dyDescent="0.35">
      <c r="A2009">
        <v>374</v>
      </c>
      <c r="B2009">
        <v>5</v>
      </c>
      <c r="C2009">
        <f>'0374 table 5'!E428</f>
        <v>124105.68000000001</v>
      </c>
      <c r="D2009">
        <f>'0374 table 5'!F428</f>
        <v>366.48333333333329</v>
      </c>
      <c r="E2009">
        <f>'0374 table 5'!G428</f>
        <v>0.69736409482600759</v>
      </c>
    </row>
    <row r="2010" spans="1:5" x14ac:dyDescent="0.35">
      <c r="A2010">
        <v>374</v>
      </c>
      <c r="B2010">
        <v>5</v>
      </c>
      <c r="C2010">
        <f>'0374 table 5'!E429</f>
        <v>124105.68000000001</v>
      </c>
      <c r="D2010">
        <f>'0374 table 5'!F429</f>
        <v>377.59444444444443</v>
      </c>
      <c r="E2010">
        <f>'0374 table 5'!G429</f>
        <v>0.67645495178012638</v>
      </c>
    </row>
    <row r="2011" spans="1:5" x14ac:dyDescent="0.35">
      <c r="A2011">
        <v>374</v>
      </c>
      <c r="B2011">
        <v>5</v>
      </c>
      <c r="C2011">
        <f>'0374 table 5'!E430</f>
        <v>131000.44</v>
      </c>
      <c r="D2011">
        <f>'0374 table 5'!F430</f>
        <v>249.81666666666663</v>
      </c>
      <c r="E2011">
        <f>'0374 table 5'!G430</f>
        <v>1.1054833166427462</v>
      </c>
    </row>
    <row r="2012" spans="1:5" x14ac:dyDescent="0.35">
      <c r="A2012">
        <v>374</v>
      </c>
      <c r="B2012">
        <v>5</v>
      </c>
      <c r="C2012">
        <f>'0374 table 5'!E431</f>
        <v>131000.44</v>
      </c>
      <c r="D2012">
        <f>'0374 table 5'!F431</f>
        <v>255.37222222222221</v>
      </c>
      <c r="E2012">
        <f>'0374 table 5'!G431</f>
        <v>1.0786837210877707</v>
      </c>
    </row>
    <row r="2013" spans="1:5" x14ac:dyDescent="0.35">
      <c r="A2013">
        <v>374</v>
      </c>
      <c r="B2013">
        <v>5</v>
      </c>
      <c r="C2013">
        <f>'0374 table 5'!E432</f>
        <v>131000.44</v>
      </c>
      <c r="D2013">
        <f>'0374 table 5'!F432</f>
        <v>260.92777777777775</v>
      </c>
      <c r="E2013">
        <f>'0374 table 5'!G432</f>
        <v>1.0531527454407226</v>
      </c>
    </row>
    <row r="2014" spans="1:5" x14ac:dyDescent="0.35">
      <c r="A2014">
        <v>374</v>
      </c>
      <c r="B2014">
        <v>5</v>
      </c>
      <c r="C2014">
        <f>'0374 table 5'!E433</f>
        <v>131000.44</v>
      </c>
      <c r="D2014">
        <f>'0374 table 5'!F433</f>
        <v>266.48333333333329</v>
      </c>
      <c r="E2014">
        <f>'0374 table 5'!G433</f>
        <v>1.0288023929449834</v>
      </c>
    </row>
    <row r="2015" spans="1:5" x14ac:dyDescent="0.35">
      <c r="A2015">
        <v>374</v>
      </c>
      <c r="B2015">
        <v>5</v>
      </c>
      <c r="C2015">
        <f>'0374 table 5'!E434</f>
        <v>131000.44</v>
      </c>
      <c r="D2015">
        <f>'0374 table 5'!F434</f>
        <v>272.03888888888889</v>
      </c>
      <c r="E2015">
        <f>'0374 table 5'!G434</f>
        <v>1.0055526213530066</v>
      </c>
    </row>
    <row r="2016" spans="1:5" x14ac:dyDescent="0.35">
      <c r="A2016">
        <v>374</v>
      </c>
      <c r="B2016">
        <v>5</v>
      </c>
      <c r="C2016">
        <f>'0374 table 5'!E435</f>
        <v>131000.44</v>
      </c>
      <c r="D2016">
        <f>'0374 table 5'!F435</f>
        <v>277.59444444444443</v>
      </c>
      <c r="E2016">
        <f>'0374 table 5'!G435</f>
        <v>0.98393447531654743</v>
      </c>
    </row>
    <row r="2017" spans="1:5" x14ac:dyDescent="0.35">
      <c r="A2017">
        <v>374</v>
      </c>
      <c r="B2017">
        <v>5</v>
      </c>
      <c r="C2017">
        <f>'0374 table 5'!E436</f>
        <v>131000.44</v>
      </c>
      <c r="D2017">
        <f>'0374 table 5'!F436</f>
        <v>283.14999999999998</v>
      </c>
      <c r="E2017">
        <f>'0374 table 5'!G436</f>
        <v>0.9632262933345398</v>
      </c>
    </row>
    <row r="2018" spans="1:5" x14ac:dyDescent="0.35">
      <c r="A2018">
        <v>374</v>
      </c>
      <c r="B2018">
        <v>5</v>
      </c>
      <c r="C2018">
        <f>'0374 table 5'!E437</f>
        <v>131000.44</v>
      </c>
      <c r="D2018">
        <f>'0374 table 5'!F437</f>
        <v>288.70555555555552</v>
      </c>
      <c r="E2018">
        <f>'0374 table 5'!G437</f>
        <v>0.94337180554495825</v>
      </c>
    </row>
    <row r="2019" spans="1:5" x14ac:dyDescent="0.35">
      <c r="A2019">
        <v>374</v>
      </c>
      <c r="B2019">
        <v>5</v>
      </c>
      <c r="C2019">
        <f>'0374 table 5'!E438</f>
        <v>131000.44</v>
      </c>
      <c r="D2019">
        <f>'0374 table 5'!F438</f>
        <v>294.26111111111106</v>
      </c>
      <c r="E2019">
        <f>'0374 table 5'!G438</f>
        <v>0.92431928783343309</v>
      </c>
    </row>
    <row r="2020" spans="1:5" x14ac:dyDescent="0.35">
      <c r="A2020">
        <v>374</v>
      </c>
      <c r="B2020">
        <v>5</v>
      </c>
      <c r="C2020">
        <f>'0374 table 5'!E439</f>
        <v>131000.44</v>
      </c>
      <c r="D2020">
        <f>'0374 table 5'!F439</f>
        <v>299.81666666666666</v>
      </c>
      <c r="E2020">
        <f>'0374 table 5'!G439</f>
        <v>0.90653385728089375</v>
      </c>
    </row>
    <row r="2021" spans="1:5" x14ac:dyDescent="0.35">
      <c r="A2021">
        <v>374</v>
      </c>
      <c r="B2021">
        <v>5</v>
      </c>
      <c r="C2021">
        <f>'0374 table 5'!E440</f>
        <v>131000.44</v>
      </c>
      <c r="D2021">
        <f>'0374 table 5'!F440</f>
        <v>305.37222222222221</v>
      </c>
      <c r="E2021">
        <f>'0374 table 5'!G440</f>
        <v>0.88892637392638152</v>
      </c>
    </row>
    <row r="2022" spans="1:5" x14ac:dyDescent="0.35">
      <c r="A2022">
        <v>374</v>
      </c>
      <c r="B2022">
        <v>5</v>
      </c>
      <c r="C2022">
        <f>'0374 table 5'!E441</f>
        <v>131000.44</v>
      </c>
      <c r="D2022">
        <f>'0374 table 5'!F441</f>
        <v>310.92777777777775</v>
      </c>
      <c r="E2022">
        <f>'0374 table 5'!G441</f>
        <v>0.87246477440922632</v>
      </c>
    </row>
    <row r="2023" spans="1:5" x14ac:dyDescent="0.35">
      <c r="A2023">
        <v>374</v>
      </c>
      <c r="B2023">
        <v>5</v>
      </c>
      <c r="C2023">
        <f>'0374 table 5'!E442</f>
        <v>131000.44</v>
      </c>
      <c r="D2023">
        <f>'0374 table 5'!F442</f>
        <v>316.48333333333329</v>
      </c>
      <c r="E2023">
        <f>'0374 table 5'!G442</f>
        <v>0.85660177851087671</v>
      </c>
    </row>
    <row r="2024" spans="1:5" x14ac:dyDescent="0.35">
      <c r="A2024">
        <v>374</v>
      </c>
      <c r="B2024">
        <v>5</v>
      </c>
      <c r="C2024">
        <f>'0374 table 5'!E443</f>
        <v>131000.44</v>
      </c>
      <c r="D2024">
        <f>'0374 table 5'!F443</f>
        <v>322.03888888888889</v>
      </c>
      <c r="E2024">
        <f>'0374 table 5'!G443</f>
        <v>0.84263299622058874</v>
      </c>
    </row>
    <row r="2025" spans="1:5" x14ac:dyDescent="0.35">
      <c r="A2025">
        <v>374</v>
      </c>
      <c r="B2025">
        <v>5</v>
      </c>
      <c r="C2025">
        <f>'0374 table 5'!E444</f>
        <v>131000.44</v>
      </c>
      <c r="D2025">
        <f>'0374 table 5'!F444</f>
        <v>327.59444444444443</v>
      </c>
      <c r="E2025">
        <f>'0374 table 5'!G444</f>
        <v>0.8265455757561091</v>
      </c>
    </row>
    <row r="2026" spans="1:5" x14ac:dyDescent="0.35">
      <c r="A2026">
        <v>374</v>
      </c>
      <c r="B2026">
        <v>5</v>
      </c>
      <c r="C2026">
        <f>'0374 table 5'!E445</f>
        <v>131000.44</v>
      </c>
      <c r="D2026">
        <f>'0374 table 5'!F445</f>
        <v>333.15</v>
      </c>
      <c r="E2026">
        <f>'0374 table 5'!G445</f>
        <v>0.81229478996721072</v>
      </c>
    </row>
    <row r="2027" spans="1:5" x14ac:dyDescent="0.35">
      <c r="A2027">
        <v>374</v>
      </c>
      <c r="B2027">
        <v>5</v>
      </c>
      <c r="C2027">
        <f>'0374 table 5'!E446</f>
        <v>131000.44</v>
      </c>
      <c r="D2027">
        <f>'0374 table 5'!F446</f>
        <v>338.70555555555552</v>
      </c>
      <c r="E2027">
        <f>'0374 table 5'!G446</f>
        <v>0.79852708166268171</v>
      </c>
    </row>
    <row r="2028" spans="1:5" x14ac:dyDescent="0.35">
      <c r="A2028">
        <v>374</v>
      </c>
      <c r="B2028">
        <v>5</v>
      </c>
      <c r="C2028">
        <f>'0374 table 5'!E447</f>
        <v>131000.44</v>
      </c>
      <c r="D2028">
        <f>'0374 table 5'!F447</f>
        <v>344.26111111111106</v>
      </c>
      <c r="E2028">
        <f>'0374 table 5'!G447</f>
        <v>0.7852182969683037</v>
      </c>
    </row>
    <row r="2029" spans="1:5" x14ac:dyDescent="0.35">
      <c r="A2029">
        <v>374</v>
      </c>
      <c r="B2029">
        <v>5</v>
      </c>
      <c r="C2029">
        <f>'0374 table 5'!E448</f>
        <v>131000.44</v>
      </c>
      <c r="D2029">
        <f>'0374 table 5'!F448</f>
        <v>349.81666666666666</v>
      </c>
      <c r="E2029">
        <f>'0374 table 5'!G448</f>
        <v>0.77234586587046261</v>
      </c>
    </row>
    <row r="2030" spans="1:5" x14ac:dyDescent="0.35">
      <c r="A2030">
        <v>374</v>
      </c>
      <c r="B2030">
        <v>5</v>
      </c>
      <c r="C2030">
        <f>'0374 table 5'!E449</f>
        <v>131000.44</v>
      </c>
      <c r="D2030">
        <f>'0374 table 5'!F449</f>
        <v>355.37222222222221</v>
      </c>
      <c r="E2030">
        <f>'0374 table 5'!G449</f>
        <v>0.75988867448545516</v>
      </c>
    </row>
    <row r="2031" spans="1:5" x14ac:dyDescent="0.35">
      <c r="A2031">
        <v>374</v>
      </c>
      <c r="B2031">
        <v>5</v>
      </c>
      <c r="C2031">
        <f>'0374 table 5'!E450</f>
        <v>131000.44</v>
      </c>
      <c r="D2031">
        <f>'0374 table 5'!F450</f>
        <v>360.92777777777775</v>
      </c>
      <c r="E2031">
        <f>'0374 table 5'!G450</f>
        <v>0.74782694949362238</v>
      </c>
    </row>
    <row r="2032" spans="1:5" x14ac:dyDescent="0.35">
      <c r="A2032">
        <v>374</v>
      </c>
      <c r="B2032">
        <v>5</v>
      </c>
      <c r="C2032">
        <f>'0374 table 5'!E451</f>
        <v>131000.44</v>
      </c>
      <c r="D2032">
        <f>'0374 table 5'!F451</f>
        <v>366.48333333333329</v>
      </c>
      <c r="E2032">
        <f>'0374 table 5'!G451</f>
        <v>0.7374978479812796</v>
      </c>
    </row>
    <row r="2033" spans="1:5" x14ac:dyDescent="0.35">
      <c r="A2033">
        <v>374</v>
      </c>
      <c r="B2033">
        <v>5</v>
      </c>
      <c r="C2033">
        <f>'0374 table 5'!E452</f>
        <v>131000.44</v>
      </c>
      <c r="D2033">
        <f>'0374 table 5'!F452</f>
        <v>377.59444444444443</v>
      </c>
      <c r="E2033">
        <f>'0374 table 5'!G452</f>
        <v>0.71415306545489943</v>
      </c>
    </row>
    <row r="2034" spans="1:5" x14ac:dyDescent="0.35">
      <c r="A2034">
        <v>374</v>
      </c>
      <c r="B2034">
        <v>5</v>
      </c>
      <c r="C2034">
        <f>'0374 table 5'!E453</f>
        <v>158579.48000000001</v>
      </c>
      <c r="D2034">
        <f>'0374 table 5'!F453</f>
        <v>249.81666666666663</v>
      </c>
      <c r="E2034">
        <f>'0374 table 5'!G453</f>
        <v>1.3472206272626908</v>
      </c>
    </row>
    <row r="2035" spans="1:5" x14ac:dyDescent="0.35">
      <c r="A2035">
        <v>374</v>
      </c>
      <c r="B2035">
        <v>5</v>
      </c>
      <c r="C2035">
        <f>'0374 table 5'!E454</f>
        <v>158579.48000000001</v>
      </c>
      <c r="D2035">
        <f>'0374 table 5'!F454</f>
        <v>255.37222222222221</v>
      </c>
      <c r="E2035">
        <f>'0374 table 5'!G454</f>
        <v>1.3129879719797866</v>
      </c>
    </row>
    <row r="2036" spans="1:5" x14ac:dyDescent="0.35">
      <c r="A2036">
        <v>374</v>
      </c>
      <c r="B2036">
        <v>5</v>
      </c>
      <c r="C2036">
        <f>'0374 table 5'!E455</f>
        <v>158579.48000000001</v>
      </c>
      <c r="D2036">
        <f>'0374 table 5'!F455</f>
        <v>260.92777777777775</v>
      </c>
      <c r="E2036">
        <f>'0374 table 5'!G455</f>
        <v>1.2814762606522714</v>
      </c>
    </row>
    <row r="2037" spans="1:5" x14ac:dyDescent="0.35">
      <c r="A2037">
        <v>374</v>
      </c>
      <c r="B2037">
        <v>5</v>
      </c>
      <c r="C2037">
        <f>'0374 table 5'!E456</f>
        <v>158579.48000000001</v>
      </c>
      <c r="D2037">
        <f>'0374 table 5'!F456</f>
        <v>266.48333333333329</v>
      </c>
      <c r="E2037">
        <f>'0374 table 5'!G456</f>
        <v>1.2514416607932339</v>
      </c>
    </row>
    <row r="2038" spans="1:5" x14ac:dyDescent="0.35">
      <c r="A2038">
        <v>374</v>
      </c>
      <c r="B2038">
        <v>5</v>
      </c>
      <c r="C2038">
        <f>'0374 table 5'!E457</f>
        <v>158579.48000000001</v>
      </c>
      <c r="D2038">
        <f>'0374 table 5'!F457</f>
        <v>272.03888888888889</v>
      </c>
      <c r="E2038">
        <f>'0374 table 5'!G457</f>
        <v>1.2227826914620912</v>
      </c>
    </row>
    <row r="2039" spans="1:5" x14ac:dyDescent="0.35">
      <c r="A2039">
        <v>374</v>
      </c>
      <c r="B2039">
        <v>5</v>
      </c>
      <c r="C2039">
        <f>'0374 table 5'!E458</f>
        <v>158579.48000000001</v>
      </c>
      <c r="D2039">
        <f>'0374 table 5'!F458</f>
        <v>277.59444444444443</v>
      </c>
      <c r="E2039">
        <f>'0374 table 5'!G458</f>
        <v>1.195406959563686</v>
      </c>
    </row>
    <row r="2040" spans="1:5" x14ac:dyDescent="0.35">
      <c r="A2040">
        <v>374</v>
      </c>
      <c r="B2040">
        <v>5</v>
      </c>
      <c r="C2040">
        <f>'0374 table 5'!E459</f>
        <v>158579.48000000001</v>
      </c>
      <c r="D2040">
        <f>'0374 table 5'!F459</f>
        <v>283.14999999999998</v>
      </c>
      <c r="E2040">
        <f>'0374 table 5'!G459</f>
        <v>1.1700842409169754</v>
      </c>
    </row>
    <row r="2041" spans="1:5" x14ac:dyDescent="0.35">
      <c r="A2041">
        <v>374</v>
      </c>
      <c r="B2041">
        <v>5</v>
      </c>
      <c r="C2041">
        <f>'0374 table 5'!E460</f>
        <v>158579.48000000001</v>
      </c>
      <c r="D2041">
        <f>'0374 table 5'!F460</f>
        <v>288.70555555555552</v>
      </c>
      <c r="E2041">
        <f>'0374 table 5'!G460</f>
        <v>1.1458121071640481</v>
      </c>
    </row>
    <row r="2042" spans="1:5" x14ac:dyDescent="0.35">
      <c r="A2042">
        <v>374</v>
      </c>
      <c r="B2042">
        <v>5</v>
      </c>
      <c r="C2042">
        <f>'0374 table 5'!E461</f>
        <v>158579.48000000001</v>
      </c>
      <c r="D2042">
        <f>'0374 table 5'!F461</f>
        <v>294.26111111111106</v>
      </c>
      <c r="E2042">
        <f>'0374 table 5'!G461</f>
        <v>1.122526507228689</v>
      </c>
    </row>
    <row r="2043" spans="1:5" x14ac:dyDescent="0.35">
      <c r="A2043">
        <v>374</v>
      </c>
      <c r="B2043">
        <v>5</v>
      </c>
      <c r="C2043">
        <f>'0374 table 5'!E462</f>
        <v>158579.48000000001</v>
      </c>
      <c r="D2043">
        <f>'0374 table 5'!F462</f>
        <v>299.81666666666666</v>
      </c>
      <c r="E2043">
        <f>'0374 table 5'!G462</f>
        <v>1.1001684930050406</v>
      </c>
    </row>
    <row r="2044" spans="1:5" x14ac:dyDescent="0.35">
      <c r="A2044">
        <v>374</v>
      </c>
      <c r="B2044">
        <v>5</v>
      </c>
      <c r="C2044">
        <f>'0374 table 5'!E463</f>
        <v>158579.48000000001</v>
      </c>
      <c r="D2044">
        <f>'0374 table 5'!F463</f>
        <v>305.37222222222221</v>
      </c>
      <c r="E2044">
        <f>'0374 table 5'!G463</f>
        <v>1.079410596910606</v>
      </c>
    </row>
    <row r="2045" spans="1:5" x14ac:dyDescent="0.35">
      <c r="A2045">
        <v>374</v>
      </c>
      <c r="B2045">
        <v>5</v>
      </c>
      <c r="C2045">
        <f>'0374 table 5'!E464</f>
        <v>158579.48000000001</v>
      </c>
      <c r="D2045">
        <f>'0374 table 5'!F464</f>
        <v>310.92777777777775</v>
      </c>
      <c r="E2045">
        <f>'0374 table 5'!G464</f>
        <v>1.0587212992831059</v>
      </c>
    </row>
    <row r="2046" spans="1:5" x14ac:dyDescent="0.35">
      <c r="A2046">
        <v>374</v>
      </c>
      <c r="B2046">
        <v>5</v>
      </c>
      <c r="C2046">
        <f>'0374 table 5'!E465</f>
        <v>158579.48000000001</v>
      </c>
      <c r="D2046">
        <f>'0374 table 5'!F465</f>
        <v>316.48333333333329</v>
      </c>
      <c r="E2046">
        <f>'0374 table 5'!G465</f>
        <v>1.0394843126640749</v>
      </c>
    </row>
    <row r="2047" spans="1:5" x14ac:dyDescent="0.35">
      <c r="A2047">
        <v>374</v>
      </c>
      <c r="B2047">
        <v>5</v>
      </c>
      <c r="C2047">
        <f>'0374 table 5'!E466</f>
        <v>158579.48000000001</v>
      </c>
      <c r="D2047">
        <f>'0374 table 5'!F466</f>
        <v>322.03888888888889</v>
      </c>
      <c r="E2047">
        <f>'0374 table 5'!G466</f>
        <v>1.0202836470161398</v>
      </c>
    </row>
    <row r="2048" spans="1:5" x14ac:dyDescent="0.35">
      <c r="A2048">
        <v>374</v>
      </c>
      <c r="B2048">
        <v>5</v>
      </c>
      <c r="C2048">
        <f>'0374 table 5'!E467</f>
        <v>158579.48000000001</v>
      </c>
      <c r="D2048">
        <f>'0374 table 5'!F467</f>
        <v>327.59444444444443</v>
      </c>
      <c r="E2048">
        <f>'0374 table 5'!G467</f>
        <v>1.0024063365552811</v>
      </c>
    </row>
    <row r="2049" spans="1:5" x14ac:dyDescent="0.35">
      <c r="A2049">
        <v>374</v>
      </c>
      <c r="B2049">
        <v>5</v>
      </c>
      <c r="C2049">
        <f>'0374 table 5'!E468</f>
        <v>158579.48000000001</v>
      </c>
      <c r="D2049">
        <f>'0374 table 5'!F468</f>
        <v>333.15</v>
      </c>
      <c r="E2049">
        <f>'0374 table 5'!G468</f>
        <v>0.9851447268237018</v>
      </c>
    </row>
    <row r="2050" spans="1:5" x14ac:dyDescent="0.35">
      <c r="A2050">
        <v>374</v>
      </c>
      <c r="B2050">
        <v>5</v>
      </c>
      <c r="C2050">
        <f>'0374 table 5'!E469</f>
        <v>158579.48000000001</v>
      </c>
      <c r="D2050">
        <f>'0374 table 5'!F469</f>
        <v>338.70555555555552</v>
      </c>
      <c r="E2050">
        <f>'0374 table 5'!G469</f>
        <v>0.96788237209386063</v>
      </c>
    </row>
    <row r="2051" spans="1:5" x14ac:dyDescent="0.35">
      <c r="A2051">
        <v>374</v>
      </c>
      <c r="B2051">
        <v>5</v>
      </c>
      <c r="C2051">
        <f>'0374 table 5'!E470</f>
        <v>158579.48000000001</v>
      </c>
      <c r="D2051">
        <f>'0374 table 5'!F470</f>
        <v>344.26111111111106</v>
      </c>
      <c r="E2051">
        <f>'0374 table 5'!G470</f>
        <v>0.95177975390097425</v>
      </c>
    </row>
    <row r="2052" spans="1:5" x14ac:dyDescent="0.35">
      <c r="A2052">
        <v>374</v>
      </c>
      <c r="B2052">
        <v>5</v>
      </c>
      <c r="C2052">
        <f>'0374 table 5'!E471</f>
        <v>158579.48000000001</v>
      </c>
      <c r="D2052">
        <f>'0374 table 5'!F471</f>
        <v>349.81666666666666</v>
      </c>
      <c r="E2052">
        <f>'0374 table 5'!G471</f>
        <v>0.93620416470797152</v>
      </c>
    </row>
    <row r="2053" spans="1:5" x14ac:dyDescent="0.35">
      <c r="A2053">
        <v>374</v>
      </c>
      <c r="B2053">
        <v>5</v>
      </c>
      <c r="C2053">
        <f>'0374 table 5'!E472</f>
        <v>158579.48000000001</v>
      </c>
      <c r="D2053">
        <f>'0374 table 5'!F472</f>
        <v>355.37222222222221</v>
      </c>
      <c r="E2053">
        <f>'0374 table 5'!G472</f>
        <v>0.92113014710485286</v>
      </c>
    </row>
    <row r="2054" spans="1:5" x14ac:dyDescent="0.35">
      <c r="A2054">
        <v>374</v>
      </c>
      <c r="B2054">
        <v>5</v>
      </c>
      <c r="C2054">
        <f>'0374 table 5'!E473</f>
        <v>158579.48000000001</v>
      </c>
      <c r="D2054">
        <f>'0374 table 5'!F473</f>
        <v>360.92777777777775</v>
      </c>
      <c r="E2054">
        <f>'0374 table 5'!G473</f>
        <v>0.90653385728089375</v>
      </c>
    </row>
    <row r="2055" spans="1:5" x14ac:dyDescent="0.35">
      <c r="A2055">
        <v>374</v>
      </c>
      <c r="B2055">
        <v>5</v>
      </c>
      <c r="C2055">
        <f>'0374 table 5'!E474</f>
        <v>158579.48000000001</v>
      </c>
      <c r="D2055">
        <f>'0374 table 5'!F474</f>
        <v>366.48333333333329</v>
      </c>
      <c r="E2055">
        <f>'0374 table 5'!G474</f>
        <v>0.89239293917289109</v>
      </c>
    </row>
    <row r="2056" spans="1:5" x14ac:dyDescent="0.35">
      <c r="A2056">
        <v>374</v>
      </c>
      <c r="B2056">
        <v>5</v>
      </c>
      <c r="C2056">
        <f>'0374 table 5'!E475</f>
        <v>158579.48000000001</v>
      </c>
      <c r="D2056">
        <f>'0374 table 5'!F475</f>
        <v>377.59444444444443</v>
      </c>
      <c r="E2056">
        <f>'0374 table 5'!G475</f>
        <v>0.86539455743670401</v>
      </c>
    </row>
    <row r="2057" spans="1:5" x14ac:dyDescent="0.35">
      <c r="A2057">
        <v>374</v>
      </c>
      <c r="B2057">
        <v>5</v>
      </c>
      <c r="C2057">
        <f>'0374 table 5'!E476</f>
        <v>158579.48000000001</v>
      </c>
      <c r="D2057">
        <f>'0374 table 5'!F476</f>
        <v>388.70555555555552</v>
      </c>
      <c r="E2057">
        <f>'0374 table 5'!G476</f>
        <v>0.83998181741758748</v>
      </c>
    </row>
    <row r="2058" spans="1:5" x14ac:dyDescent="0.35">
      <c r="A2058">
        <v>374</v>
      </c>
      <c r="B2058">
        <v>5</v>
      </c>
      <c r="C2058">
        <f>'0374 table 5'!E477</f>
        <v>165474.23999999999</v>
      </c>
      <c r="D2058">
        <f>'0374 table 5'!F477</f>
        <v>255.37222222222221</v>
      </c>
      <c r="E2058">
        <f>'0374 table 5'!G477</f>
        <v>1.3726181026695281</v>
      </c>
    </row>
    <row r="2059" spans="1:5" x14ac:dyDescent="0.35">
      <c r="A2059">
        <v>374</v>
      </c>
      <c r="B2059">
        <v>5</v>
      </c>
      <c r="C2059">
        <f>'0374 table 5'!E478</f>
        <v>165474.23999999999</v>
      </c>
      <c r="D2059">
        <f>'0374 table 5'!F478</f>
        <v>260.92777777777775</v>
      </c>
      <c r="E2059">
        <f>'0374 table 5'!G478</f>
        <v>1.3393355567017886</v>
      </c>
    </row>
    <row r="2060" spans="1:5" x14ac:dyDescent="0.35">
      <c r="A2060">
        <v>374</v>
      </c>
      <c r="B2060">
        <v>5</v>
      </c>
      <c r="C2060">
        <f>'0374 table 5'!E479</f>
        <v>165474.23999999999</v>
      </c>
      <c r="D2060">
        <f>'0374 table 5'!F479</f>
        <v>266.48333333333329</v>
      </c>
      <c r="E2060">
        <f>'0374 table 5'!G479</f>
        <v>1.3076288374002771</v>
      </c>
    </row>
    <row r="2061" spans="1:5" x14ac:dyDescent="0.35">
      <c r="A2061">
        <v>374</v>
      </c>
      <c r="B2061">
        <v>5</v>
      </c>
      <c r="C2061">
        <f>'0374 table 5'!E480</f>
        <v>165474.23999999999</v>
      </c>
      <c r="D2061">
        <f>'0374 table 5'!F480</f>
        <v>272.03888888888889</v>
      </c>
      <c r="E2061">
        <f>'0374 table 5'!G480</f>
        <v>1.2773886170776232</v>
      </c>
    </row>
    <row r="2062" spans="1:5" x14ac:dyDescent="0.35">
      <c r="A2062">
        <v>374</v>
      </c>
      <c r="B2062">
        <v>5</v>
      </c>
      <c r="C2062">
        <f>'0374 table 5'!E481</f>
        <v>165474.23999999999</v>
      </c>
      <c r="D2062">
        <f>'0374 table 5'!F481</f>
        <v>277.59444444444443</v>
      </c>
      <c r="E2062">
        <f>'0374 table 5'!G481</f>
        <v>1.2494893337093129</v>
      </c>
    </row>
    <row r="2063" spans="1:5" x14ac:dyDescent="0.35">
      <c r="A2063">
        <v>374</v>
      </c>
      <c r="B2063">
        <v>5</v>
      </c>
      <c r="C2063">
        <f>'0374 table 5'!E482</f>
        <v>165474.23999999999</v>
      </c>
      <c r="D2063">
        <f>'0374 table 5'!F482</f>
        <v>283.14999999999998</v>
      </c>
      <c r="E2063">
        <f>'0374 table 5'!G482</f>
        <v>1.221849981552509</v>
      </c>
    </row>
    <row r="2064" spans="1:5" x14ac:dyDescent="0.35">
      <c r="A2064">
        <v>374</v>
      </c>
      <c r="B2064">
        <v>5</v>
      </c>
      <c r="C2064">
        <f>'0374 table 5'!E483</f>
        <v>165474.23999999999</v>
      </c>
      <c r="D2064">
        <f>'0374 table 5'!F483</f>
        <v>288.70555555555552</v>
      </c>
      <c r="E2064">
        <f>'0374 table 5'!G483</f>
        <v>1.1962997205491706</v>
      </c>
    </row>
    <row r="2065" spans="1:5" x14ac:dyDescent="0.35">
      <c r="A2065">
        <v>374</v>
      </c>
      <c r="B2065">
        <v>5</v>
      </c>
      <c r="C2065">
        <f>'0374 table 5'!E484</f>
        <v>165474.23999999999</v>
      </c>
      <c r="D2065">
        <f>'0374 table 5'!F484</f>
        <v>294.26111111111106</v>
      </c>
      <c r="E2065">
        <f>'0374 table 5'!G484</f>
        <v>1.1726539720463685</v>
      </c>
    </row>
    <row r="2066" spans="1:5" x14ac:dyDescent="0.35">
      <c r="A2066">
        <v>374</v>
      </c>
      <c r="B2066">
        <v>5</v>
      </c>
      <c r="C2066">
        <f>'0374 table 5'!E485</f>
        <v>165474.23999999999</v>
      </c>
      <c r="D2066">
        <f>'0374 table 5'!F485</f>
        <v>299.81666666666666</v>
      </c>
      <c r="E2066">
        <f>'0374 table 5'!G485</f>
        <v>1.1490999467828833</v>
      </c>
    </row>
    <row r="2067" spans="1:5" x14ac:dyDescent="0.35">
      <c r="A2067">
        <v>374</v>
      </c>
      <c r="B2067">
        <v>5</v>
      </c>
      <c r="C2067">
        <f>'0374 table 5'!E486</f>
        <v>165474.23999999999</v>
      </c>
      <c r="D2067">
        <f>'0374 table 5'!F486</f>
        <v>305.37222222222221</v>
      </c>
      <c r="E2067">
        <f>'0374 table 5'!G486</f>
        <v>1.1264735061992539</v>
      </c>
    </row>
    <row r="2068" spans="1:5" x14ac:dyDescent="0.35">
      <c r="A2068">
        <v>374</v>
      </c>
      <c r="B2068">
        <v>5</v>
      </c>
      <c r="C2068">
        <f>'0374 table 5'!E487</f>
        <v>165474.23999999999</v>
      </c>
      <c r="D2068">
        <f>'0374 table 5'!F487</f>
        <v>310.92777777777775</v>
      </c>
      <c r="E2068">
        <f>'0374 table 5'!G487</f>
        <v>1.1054833166427462</v>
      </c>
    </row>
    <row r="2069" spans="1:5" x14ac:dyDescent="0.35">
      <c r="A2069">
        <v>374</v>
      </c>
      <c r="B2069">
        <v>5</v>
      </c>
      <c r="C2069">
        <f>'0374 table 5'!E488</f>
        <v>165474.23999999999</v>
      </c>
      <c r="D2069">
        <f>'0374 table 5'!F488</f>
        <v>316.48333333333329</v>
      </c>
      <c r="E2069">
        <f>'0374 table 5'!G488</f>
        <v>1.0852610608505009</v>
      </c>
    </row>
    <row r="2070" spans="1:5" x14ac:dyDescent="0.35">
      <c r="A2070">
        <v>374</v>
      </c>
      <c r="B2070">
        <v>5</v>
      </c>
      <c r="C2070">
        <f>'0374 table 5'!E489</f>
        <v>165474.23999999999</v>
      </c>
      <c r="D2070">
        <f>'0374 table 5'!F489</f>
        <v>322.03888888888889</v>
      </c>
      <c r="E2070">
        <f>'0374 table 5'!G489</f>
        <v>1.0650567325899862</v>
      </c>
    </row>
    <row r="2071" spans="1:5" x14ac:dyDescent="0.35">
      <c r="A2071">
        <v>374</v>
      </c>
      <c r="B2071">
        <v>5</v>
      </c>
      <c r="C2071">
        <f>'0374 table 5'!E490</f>
        <v>165474.23999999999</v>
      </c>
      <c r="D2071">
        <f>'0374 table 5'!F490</f>
        <v>327.59444444444443</v>
      </c>
      <c r="E2071">
        <f>'0374 table 5'!G490</f>
        <v>1.0462738901471844</v>
      </c>
    </row>
    <row r="2072" spans="1:5" x14ac:dyDescent="0.35">
      <c r="A2072">
        <v>374</v>
      </c>
      <c r="B2072">
        <v>5</v>
      </c>
      <c r="C2072">
        <f>'0374 table 5'!E491</f>
        <v>165474.23999999999</v>
      </c>
      <c r="D2072">
        <f>'0374 table 5'!F491</f>
        <v>333.15</v>
      </c>
      <c r="E2072">
        <f>'0374 table 5'!G491</f>
        <v>1.0281420576478431</v>
      </c>
    </row>
    <row r="2073" spans="1:5" x14ac:dyDescent="0.35">
      <c r="A2073">
        <v>374</v>
      </c>
      <c r="B2073">
        <v>5</v>
      </c>
      <c r="C2073">
        <f>'0374 table 5'!E492</f>
        <v>165474.23999999999</v>
      </c>
      <c r="D2073">
        <f>'0374 table 5'!F492</f>
        <v>338.70555555555552</v>
      </c>
      <c r="E2073">
        <f>'0374 table 5'!G492</f>
        <v>1.0106279658140942</v>
      </c>
    </row>
    <row r="2074" spans="1:5" x14ac:dyDescent="0.35">
      <c r="A2074">
        <v>374</v>
      </c>
      <c r="B2074">
        <v>5</v>
      </c>
      <c r="C2074">
        <f>'0374 table 5'!E493</f>
        <v>165474.23999999999</v>
      </c>
      <c r="D2074">
        <f>'0374 table 5'!F493</f>
        <v>344.26111111111106</v>
      </c>
      <c r="E2074">
        <f>'0374 table 5'!G493</f>
        <v>0.99370057432713343</v>
      </c>
    </row>
    <row r="2075" spans="1:5" x14ac:dyDescent="0.35">
      <c r="A2075">
        <v>374</v>
      </c>
      <c r="B2075">
        <v>5</v>
      </c>
      <c r="C2075">
        <f>'0374 table 5'!E494</f>
        <v>165474.23999999999</v>
      </c>
      <c r="D2075">
        <f>'0374 table 5'!F494</f>
        <v>349.81666666666666</v>
      </c>
      <c r="E2075">
        <f>'0374 table 5'!G494</f>
        <v>0.97733088823388614</v>
      </c>
    </row>
    <row r="2076" spans="1:5" x14ac:dyDescent="0.35">
      <c r="A2076">
        <v>374</v>
      </c>
      <c r="B2076">
        <v>5</v>
      </c>
      <c r="C2076">
        <f>'0374 table 5'!E495</f>
        <v>165474.23999999999</v>
      </c>
      <c r="D2076">
        <f>'0374 table 5'!F495</f>
        <v>355.37222222222221</v>
      </c>
      <c r="E2076">
        <f>'0374 table 5'!G495</f>
        <v>0.96149179220608605</v>
      </c>
    </row>
    <row r="2077" spans="1:5" x14ac:dyDescent="0.35">
      <c r="A2077">
        <v>374</v>
      </c>
      <c r="B2077">
        <v>5</v>
      </c>
      <c r="C2077">
        <f>'0374 table 5'!E496</f>
        <v>165474.23999999999</v>
      </c>
      <c r="D2077">
        <f>'0374 table 5'!F496</f>
        <v>360.92777777777775</v>
      </c>
      <c r="E2077">
        <f>'0374 table 5'!G496</f>
        <v>0.94615790065879468</v>
      </c>
    </row>
    <row r="2078" spans="1:5" x14ac:dyDescent="0.35">
      <c r="A2078">
        <v>374</v>
      </c>
      <c r="B2078">
        <v>5</v>
      </c>
      <c r="C2078">
        <f>'0374 table 5'!E497</f>
        <v>165474.23999999999</v>
      </c>
      <c r="D2078">
        <f>'0374 table 5'!F497</f>
        <v>366.48333333333329</v>
      </c>
      <c r="E2078">
        <f>'0374 table 5'!G497</f>
        <v>0.93130542198566246</v>
      </c>
    </row>
    <row r="2079" spans="1:5" x14ac:dyDescent="0.35">
      <c r="A2079">
        <v>374</v>
      </c>
      <c r="B2079">
        <v>5</v>
      </c>
      <c r="C2079">
        <f>'0374 table 5'!E498</f>
        <v>165474.23999999999</v>
      </c>
      <c r="D2079">
        <f>'0374 table 5'!F498</f>
        <v>377.59444444444443</v>
      </c>
      <c r="E2079">
        <f>'0374 table 5'!G498</f>
        <v>0.90346606080955394</v>
      </c>
    </row>
    <row r="2080" spans="1:5" x14ac:dyDescent="0.35">
      <c r="A2080">
        <v>374</v>
      </c>
      <c r="B2080">
        <v>5</v>
      </c>
      <c r="C2080">
        <f>'0374 table 5'!E499</f>
        <v>165474.23999999999</v>
      </c>
      <c r="D2080">
        <f>'0374 table 5'!F499</f>
        <v>388.70555555555552</v>
      </c>
      <c r="E2080">
        <f>'0374 table 5'!G499</f>
        <v>0.87676263044079872</v>
      </c>
    </row>
    <row r="2081" spans="1:5" x14ac:dyDescent="0.35">
      <c r="A2081">
        <v>374</v>
      </c>
      <c r="B2081">
        <v>5</v>
      </c>
      <c r="C2081">
        <f>'0374 table 5'!E500</f>
        <v>172369</v>
      </c>
      <c r="D2081">
        <f>'0374 table 5'!F500</f>
        <v>255.37222222222221</v>
      </c>
      <c r="E2081">
        <f>'0374 table 5'!G500</f>
        <v>1.4314971633738511</v>
      </c>
    </row>
    <row r="2082" spans="1:5" x14ac:dyDescent="0.35">
      <c r="A2082">
        <v>374</v>
      </c>
      <c r="B2082">
        <v>5</v>
      </c>
      <c r="C2082">
        <f>'0374 table 5'!E501</f>
        <v>172369</v>
      </c>
      <c r="D2082">
        <f>'0374 table 5'!F501</f>
        <v>260.92777777777775</v>
      </c>
      <c r="E2082">
        <f>'0374 table 5'!G501</f>
        <v>1.3965521585138094</v>
      </c>
    </row>
    <row r="2083" spans="1:5" x14ac:dyDescent="0.35">
      <c r="A2083">
        <v>374</v>
      </c>
      <c r="B2083">
        <v>5</v>
      </c>
      <c r="C2083">
        <f>'0374 table 5'!E502</f>
        <v>172369</v>
      </c>
      <c r="D2083">
        <f>'0374 table 5'!F502</f>
        <v>266.48333333333329</v>
      </c>
      <c r="E2083">
        <f>'0374 table 5'!G502</f>
        <v>1.3632726177151824</v>
      </c>
    </row>
    <row r="2084" spans="1:5" x14ac:dyDescent="0.35">
      <c r="A2084">
        <v>374</v>
      </c>
      <c r="B2084">
        <v>5</v>
      </c>
      <c r="C2084">
        <f>'0374 table 5'!E503</f>
        <v>172369</v>
      </c>
      <c r="D2084">
        <f>'0374 table 5'!F503</f>
        <v>272.03888888888889</v>
      </c>
      <c r="E2084">
        <f>'0374 table 5'!G503</f>
        <v>1.3315422492230586</v>
      </c>
    </row>
    <row r="2085" spans="1:5" x14ac:dyDescent="0.35">
      <c r="A2085">
        <v>374</v>
      </c>
      <c r="B2085">
        <v>5</v>
      </c>
      <c r="C2085">
        <f>'0374 table 5'!E504</f>
        <v>172369</v>
      </c>
      <c r="D2085">
        <f>'0374 table 5'!F504</f>
        <v>277.59444444444443</v>
      </c>
      <c r="E2085">
        <f>'0374 table 5'!G504</f>
        <v>1.3023132730206011</v>
      </c>
    </row>
    <row r="2086" spans="1:5" x14ac:dyDescent="0.35">
      <c r="A2086">
        <v>374</v>
      </c>
      <c r="B2086">
        <v>5</v>
      </c>
      <c r="C2086">
        <f>'0374 table 5'!E505</f>
        <v>172369</v>
      </c>
      <c r="D2086">
        <f>'0374 table 5'!F505</f>
        <v>283.14999999999998</v>
      </c>
      <c r="E2086">
        <f>'0374 table 5'!G505</f>
        <v>1.2743399568936669</v>
      </c>
    </row>
    <row r="2087" spans="1:5" x14ac:dyDescent="0.35">
      <c r="A2087">
        <v>374</v>
      </c>
      <c r="B2087">
        <v>5</v>
      </c>
      <c r="C2087">
        <f>'0374 table 5'!E506</f>
        <v>172369</v>
      </c>
      <c r="D2087">
        <f>'0374 table 5'!F506</f>
        <v>288.70555555555552</v>
      </c>
      <c r="E2087">
        <f>'0374 table 5'!G506</f>
        <v>1.24754308864123</v>
      </c>
    </row>
    <row r="2088" spans="1:5" x14ac:dyDescent="0.35">
      <c r="A2088">
        <v>374</v>
      </c>
      <c r="B2088">
        <v>5</v>
      </c>
      <c r="C2088">
        <f>'0374 table 5'!E507</f>
        <v>172369</v>
      </c>
      <c r="D2088">
        <f>'0374 table 5'!F507</f>
        <v>294.26111111111106</v>
      </c>
      <c r="E2088">
        <f>'0374 table 5'!G507</f>
        <v>1.221849981552509</v>
      </c>
    </row>
    <row r="2089" spans="1:5" x14ac:dyDescent="0.35">
      <c r="A2089">
        <v>374</v>
      </c>
      <c r="B2089">
        <v>5</v>
      </c>
      <c r="C2089">
        <f>'0374 table 5'!E508</f>
        <v>172369</v>
      </c>
      <c r="D2089">
        <f>'0374 table 5'!F508</f>
        <v>299.81666666666666</v>
      </c>
      <c r="E2089">
        <f>'0374 table 5'!G508</f>
        <v>1.1980892489269555</v>
      </c>
    </row>
    <row r="2090" spans="1:5" x14ac:dyDescent="0.35">
      <c r="A2090">
        <v>374</v>
      </c>
      <c r="B2090">
        <v>5</v>
      </c>
      <c r="C2090">
        <f>'0374 table 5'!E509</f>
        <v>172369</v>
      </c>
      <c r="D2090">
        <f>'0374 table 5'!F509</f>
        <v>305.37222222222221</v>
      </c>
      <c r="E2090">
        <f>'0374 table 5'!G509</f>
        <v>1.174373406022976</v>
      </c>
    </row>
    <row r="2091" spans="1:5" x14ac:dyDescent="0.35">
      <c r="A2091">
        <v>374</v>
      </c>
      <c r="B2091">
        <v>5</v>
      </c>
      <c r="C2091">
        <f>'0374 table 5'!E510</f>
        <v>172369</v>
      </c>
      <c r="D2091">
        <f>'0374 table 5'!F510</f>
        <v>310.92777777777775</v>
      </c>
      <c r="E2091">
        <f>'0374 table 5'!G510</f>
        <v>1.1524067092196686</v>
      </c>
    </row>
    <row r="2092" spans="1:5" x14ac:dyDescent="0.35">
      <c r="A2092">
        <v>374</v>
      </c>
      <c r="B2092">
        <v>5</v>
      </c>
      <c r="C2092">
        <f>'0374 table 5'!E511</f>
        <v>172369</v>
      </c>
      <c r="D2092">
        <f>'0374 table 5'!F511</f>
        <v>316.48333333333329</v>
      </c>
      <c r="E2092">
        <f>'0374 table 5'!G511</f>
        <v>1.1304483597849959</v>
      </c>
    </row>
    <row r="2093" spans="1:5" x14ac:dyDescent="0.35">
      <c r="A2093">
        <v>374</v>
      </c>
      <c r="B2093">
        <v>5</v>
      </c>
      <c r="C2093">
        <f>'0374 table 5'!E512</f>
        <v>172369</v>
      </c>
      <c r="D2093">
        <f>'0374 table 5'!F512</f>
        <v>322.03888888888889</v>
      </c>
      <c r="E2093">
        <f>'0374 table 5'!G512</f>
        <v>1.110079920869951</v>
      </c>
    </row>
    <row r="2094" spans="1:5" x14ac:dyDescent="0.35">
      <c r="A2094">
        <v>374</v>
      </c>
      <c r="B2094">
        <v>5</v>
      </c>
      <c r="C2094">
        <f>'0374 table 5'!E513</f>
        <v>172369</v>
      </c>
      <c r="D2094">
        <f>'0374 table 5'!F513</f>
        <v>327.59444444444443</v>
      </c>
      <c r="E2094">
        <f>'0374 table 5'!G513</f>
        <v>1.0904324886421644</v>
      </c>
    </row>
    <row r="2095" spans="1:5" x14ac:dyDescent="0.35">
      <c r="A2095">
        <v>374</v>
      </c>
      <c r="B2095">
        <v>5</v>
      </c>
      <c r="C2095">
        <f>'0374 table 5'!E514</f>
        <v>172369</v>
      </c>
      <c r="D2095">
        <f>'0374 table 5'!F514</f>
        <v>333.15</v>
      </c>
      <c r="E2095">
        <f>'0374 table 5'!G514</f>
        <v>1.0714684453614312</v>
      </c>
    </row>
    <row r="2096" spans="1:5" x14ac:dyDescent="0.35">
      <c r="A2096">
        <v>374</v>
      </c>
      <c r="B2096">
        <v>5</v>
      </c>
      <c r="C2096">
        <f>'0374 table 5'!E515</f>
        <v>172369</v>
      </c>
      <c r="D2096">
        <f>'0374 table 5'!F515</f>
        <v>338.70555555555552</v>
      </c>
      <c r="E2096">
        <f>'0374 table 5'!G515</f>
        <v>1.0531527454407226</v>
      </c>
    </row>
    <row r="2097" spans="1:5" x14ac:dyDescent="0.35">
      <c r="A2097">
        <v>374</v>
      </c>
      <c r="B2097">
        <v>5</v>
      </c>
      <c r="C2097">
        <f>'0374 table 5'!E516</f>
        <v>172369</v>
      </c>
      <c r="D2097">
        <f>'0374 table 5'!F516</f>
        <v>344.26111111111106</v>
      </c>
      <c r="E2097">
        <f>'0374 table 5'!G516</f>
        <v>1.0354526992988617</v>
      </c>
    </row>
    <row r="2098" spans="1:5" x14ac:dyDescent="0.35">
      <c r="A2098">
        <v>374</v>
      </c>
      <c r="B2098">
        <v>5</v>
      </c>
      <c r="C2098">
        <f>'0374 table 5'!E517</f>
        <v>172369</v>
      </c>
      <c r="D2098">
        <f>'0374 table 5'!F517</f>
        <v>349.81666666666666</v>
      </c>
      <c r="E2098">
        <f>'0374 table 5'!G517</f>
        <v>1.018337778649294</v>
      </c>
    </row>
    <row r="2099" spans="1:5" x14ac:dyDescent="0.35">
      <c r="A2099">
        <v>374</v>
      </c>
      <c r="B2099">
        <v>5</v>
      </c>
      <c r="C2099">
        <f>'0374 table 5'!E518</f>
        <v>172369</v>
      </c>
      <c r="D2099">
        <f>'0374 table 5'!F518</f>
        <v>355.37222222222221</v>
      </c>
      <c r="E2099">
        <f>'0374 table 5'!G518</f>
        <v>1.0017794407850777</v>
      </c>
    </row>
    <row r="2100" spans="1:5" x14ac:dyDescent="0.35">
      <c r="A2100">
        <v>374</v>
      </c>
      <c r="B2100">
        <v>5</v>
      </c>
      <c r="C2100">
        <f>'0374 table 5'!E519</f>
        <v>172369</v>
      </c>
      <c r="D2100">
        <f>'0374 table 5'!F519</f>
        <v>360.92777777777775</v>
      </c>
      <c r="E2100">
        <f>'0374 table 5'!G519</f>
        <v>0.98575096973251664</v>
      </c>
    </row>
    <row r="2101" spans="1:5" x14ac:dyDescent="0.35">
      <c r="A2101">
        <v>374</v>
      </c>
      <c r="B2101">
        <v>5</v>
      </c>
      <c r="C2101">
        <f>'0374 table 5'!E520</f>
        <v>172369</v>
      </c>
      <c r="D2101">
        <f>'0374 table 5'!F520</f>
        <v>366.48333333333329</v>
      </c>
      <c r="E2101">
        <f>'0374 table 5'!G520</f>
        <v>0.97081534897899346</v>
      </c>
    </row>
    <row r="2102" spans="1:5" x14ac:dyDescent="0.35">
      <c r="A2102">
        <v>374</v>
      </c>
      <c r="B2102">
        <v>5</v>
      </c>
      <c r="C2102">
        <f>'0374 table 5'!E521</f>
        <v>172369</v>
      </c>
      <c r="D2102">
        <f>'0374 table 5'!F521</f>
        <v>377.59444444444443</v>
      </c>
      <c r="E2102">
        <f>'0374 table 5'!G521</f>
        <v>0.94115471552017593</v>
      </c>
    </row>
    <row r="2103" spans="1:5" x14ac:dyDescent="0.35">
      <c r="A2103">
        <v>374</v>
      </c>
      <c r="B2103">
        <v>5</v>
      </c>
      <c r="C2103">
        <f>'0374 table 5'!E522</f>
        <v>172369</v>
      </c>
      <c r="D2103">
        <f>'0374 table 5'!F522</f>
        <v>388.70555555555552</v>
      </c>
      <c r="E2103">
        <f>'0374 table 5'!G522</f>
        <v>0.91377371695113474</v>
      </c>
    </row>
    <row r="2104" spans="1:5" x14ac:dyDescent="0.35">
      <c r="A2104">
        <v>374</v>
      </c>
      <c r="B2104">
        <v>5</v>
      </c>
      <c r="C2104">
        <f>'0374 table 5'!E523</f>
        <v>179263.76</v>
      </c>
      <c r="D2104">
        <f>'0374 table 5'!F523</f>
        <v>255.37222222222221</v>
      </c>
      <c r="E2104">
        <f>'0374 table 5'!G523</f>
        <v>1.4914760948001295</v>
      </c>
    </row>
    <row r="2105" spans="1:5" x14ac:dyDescent="0.35">
      <c r="A2105">
        <v>374</v>
      </c>
      <c r="B2105">
        <v>5</v>
      </c>
      <c r="C2105">
        <f>'0374 table 5'!E524</f>
        <v>179263.76</v>
      </c>
      <c r="D2105">
        <f>'0374 table 5'!F524</f>
        <v>260.92777777777775</v>
      </c>
      <c r="E2105">
        <f>'0374 table 5'!G524</f>
        <v>1.4549003867532602</v>
      </c>
    </row>
    <row r="2106" spans="1:5" x14ac:dyDescent="0.35">
      <c r="A2106">
        <v>374</v>
      </c>
      <c r="B2106">
        <v>5</v>
      </c>
      <c r="C2106">
        <f>'0374 table 5'!E525</f>
        <v>179263.76</v>
      </c>
      <c r="D2106">
        <f>'0374 table 5'!F525</f>
        <v>266.48333333333329</v>
      </c>
      <c r="E2106">
        <f>'0374 table 5'!G525</f>
        <v>1.4200756434533151</v>
      </c>
    </row>
    <row r="2107" spans="1:5" x14ac:dyDescent="0.35">
      <c r="A2107">
        <v>374</v>
      </c>
      <c r="B2107">
        <v>5</v>
      </c>
      <c r="C2107">
        <f>'0374 table 5'!E526</f>
        <v>179263.76</v>
      </c>
      <c r="D2107">
        <f>'0374 table 5'!F526</f>
        <v>272.03888888888889</v>
      </c>
      <c r="E2107">
        <f>'0374 table 5'!G526</f>
        <v>1.3868790699699907</v>
      </c>
    </row>
    <row r="2108" spans="1:5" x14ac:dyDescent="0.35">
      <c r="A2108">
        <v>374</v>
      </c>
      <c r="B2108">
        <v>5</v>
      </c>
      <c r="C2108">
        <f>'0374 table 5'!E527</f>
        <v>179263.76</v>
      </c>
      <c r="D2108">
        <f>'0374 table 5'!F527</f>
        <v>277.59444444444443</v>
      </c>
      <c r="E2108">
        <f>'0374 table 5'!G527</f>
        <v>1.356346592561676</v>
      </c>
    </row>
    <row r="2109" spans="1:5" x14ac:dyDescent="0.35">
      <c r="A2109">
        <v>374</v>
      </c>
      <c r="B2109">
        <v>5</v>
      </c>
      <c r="C2109">
        <f>'0374 table 5'!E528</f>
        <v>179263.76</v>
      </c>
      <c r="D2109">
        <f>'0374 table 5'!F528</f>
        <v>283.14999999999998</v>
      </c>
      <c r="E2109">
        <f>'0374 table 5'!G528</f>
        <v>1.3260308988537577</v>
      </c>
    </row>
    <row r="2110" spans="1:5" x14ac:dyDescent="0.35">
      <c r="A2110">
        <v>374</v>
      </c>
      <c r="B2110">
        <v>5</v>
      </c>
      <c r="C2110">
        <f>'0374 table 5'!E529</f>
        <v>179263.76</v>
      </c>
      <c r="D2110">
        <f>'0374 table 5'!F529</f>
        <v>288.70555555555552</v>
      </c>
      <c r="E2110">
        <f>'0374 table 5'!G529</f>
        <v>1.2980918361550562</v>
      </c>
    </row>
    <row r="2111" spans="1:5" x14ac:dyDescent="0.35">
      <c r="A2111">
        <v>374</v>
      </c>
      <c r="B2111">
        <v>5</v>
      </c>
      <c r="C2111">
        <f>'0374 table 5'!E530</f>
        <v>179263.76</v>
      </c>
      <c r="D2111">
        <f>'0374 table 5'!F530</f>
        <v>294.26111111111106</v>
      </c>
      <c r="E2111">
        <f>'0374 table 5'!G530</f>
        <v>1.2723155884156787</v>
      </c>
    </row>
    <row r="2112" spans="1:5" x14ac:dyDescent="0.35">
      <c r="A2112">
        <v>374</v>
      </c>
      <c r="B2112">
        <v>5</v>
      </c>
      <c r="C2112">
        <f>'0374 table 5'!E531</f>
        <v>179263.76</v>
      </c>
      <c r="D2112">
        <f>'0374 table 5'!F531</f>
        <v>299.81666666666666</v>
      </c>
      <c r="E2112">
        <f>'0374 table 5'!G531</f>
        <v>1.2465722379885911</v>
      </c>
    </row>
    <row r="2113" spans="1:5" x14ac:dyDescent="0.35">
      <c r="A2113">
        <v>374</v>
      </c>
      <c r="B2113">
        <v>5</v>
      </c>
      <c r="C2113">
        <f>'0374 table 5'!E532</f>
        <v>179263.76</v>
      </c>
      <c r="D2113">
        <f>'0374 table 5'!F532</f>
        <v>305.37222222222221</v>
      </c>
      <c r="E2113">
        <f>'0374 table 5'!G532</f>
        <v>1.221849981552509</v>
      </c>
    </row>
    <row r="2114" spans="1:5" x14ac:dyDescent="0.35">
      <c r="A2114">
        <v>374</v>
      </c>
      <c r="B2114">
        <v>5</v>
      </c>
      <c r="C2114">
        <f>'0374 table 5'!E533</f>
        <v>179263.76</v>
      </c>
      <c r="D2114">
        <f>'0374 table 5'!F533</f>
        <v>310.92777777777775</v>
      </c>
      <c r="E2114">
        <f>'0374 table 5'!G533</f>
        <v>1.1989860223168709</v>
      </c>
    </row>
    <row r="2115" spans="1:5" x14ac:dyDescent="0.35">
      <c r="A2115">
        <v>374</v>
      </c>
      <c r="B2115">
        <v>5</v>
      </c>
      <c r="C2115">
        <f>'0374 table 5'!E534</f>
        <v>179263.76</v>
      </c>
      <c r="D2115">
        <f>'0374 table 5'!F534</f>
        <v>316.48333333333329</v>
      </c>
      <c r="E2115">
        <f>'0374 table 5'!G534</f>
        <v>1.1769620321934897</v>
      </c>
    </row>
    <row r="2116" spans="1:5" x14ac:dyDescent="0.35">
      <c r="A2116">
        <v>374</v>
      </c>
      <c r="B2116">
        <v>5</v>
      </c>
      <c r="C2116">
        <f>'0374 table 5'!E535</f>
        <v>179263.76</v>
      </c>
      <c r="D2116">
        <f>'0374 table 5'!F535</f>
        <v>322.03888888888889</v>
      </c>
      <c r="E2116">
        <f>'0374 table 5'!G535</f>
        <v>1.1548992976318238</v>
      </c>
    </row>
    <row r="2117" spans="1:5" x14ac:dyDescent="0.35">
      <c r="A2117">
        <v>374</v>
      </c>
      <c r="B2117">
        <v>5</v>
      </c>
      <c r="C2117">
        <f>'0374 table 5'!E536</f>
        <v>179263.76</v>
      </c>
      <c r="D2117">
        <f>'0374 table 5'!F536</f>
        <v>327.59444444444443</v>
      </c>
      <c r="E2117">
        <f>'0374 table 5'!G536</f>
        <v>1.1344513638918834</v>
      </c>
    </row>
    <row r="2118" spans="1:5" x14ac:dyDescent="0.35">
      <c r="A2118">
        <v>374</v>
      </c>
      <c r="B2118">
        <v>5</v>
      </c>
      <c r="C2118">
        <f>'0374 table 5'!E537</f>
        <v>179263.76</v>
      </c>
      <c r="D2118">
        <f>'0374 table 5'!F537</f>
        <v>333.15</v>
      </c>
      <c r="E2118">
        <f>'0374 table 5'!G537</f>
        <v>1.1147149101011409</v>
      </c>
    </row>
    <row r="2119" spans="1:5" x14ac:dyDescent="0.35">
      <c r="A2119">
        <v>374</v>
      </c>
      <c r="B2119">
        <v>5</v>
      </c>
      <c r="C2119">
        <f>'0374 table 5'!E538</f>
        <v>179263.76</v>
      </c>
      <c r="D2119">
        <f>'0374 table 5'!F538</f>
        <v>338.70555555555552</v>
      </c>
      <c r="E2119">
        <f>'0374 table 5'!G538</f>
        <v>1.0956534376301912</v>
      </c>
    </row>
    <row r="2120" spans="1:5" x14ac:dyDescent="0.35">
      <c r="A2120">
        <v>374</v>
      </c>
      <c r="B2120">
        <v>5</v>
      </c>
      <c r="C2120">
        <f>'0374 table 5'!E539</f>
        <v>179263.76</v>
      </c>
      <c r="D2120">
        <f>'0374 table 5'!F539</f>
        <v>344.26111111111106</v>
      </c>
      <c r="E2120">
        <f>'0374 table 5'!G539</f>
        <v>1.0772329023640479</v>
      </c>
    </row>
    <row r="2121" spans="1:5" x14ac:dyDescent="0.35">
      <c r="A2121">
        <v>374</v>
      </c>
      <c r="B2121">
        <v>5</v>
      </c>
      <c r="C2121">
        <f>'0374 table 5'!E540</f>
        <v>179263.76</v>
      </c>
      <c r="D2121">
        <f>'0374 table 5'!F540</f>
        <v>349.81666666666666</v>
      </c>
      <c r="E2121">
        <f>'0374 table 5'!G540</f>
        <v>1.059421511782632</v>
      </c>
    </row>
    <row r="2122" spans="1:5" x14ac:dyDescent="0.35">
      <c r="A2122">
        <v>374</v>
      </c>
      <c r="B2122">
        <v>5</v>
      </c>
      <c r="C2122">
        <f>'0374 table 5'!E541</f>
        <v>179263.76</v>
      </c>
      <c r="D2122">
        <f>'0374 table 5'!F541</f>
        <v>355.37222222222221</v>
      </c>
      <c r="E2122">
        <f>'0374 table 5'!G541</f>
        <v>1.0421895418447231</v>
      </c>
    </row>
    <row r="2123" spans="1:5" x14ac:dyDescent="0.35">
      <c r="A2123">
        <v>374</v>
      </c>
      <c r="B2123">
        <v>5</v>
      </c>
      <c r="C2123">
        <f>'0374 table 5'!E542</f>
        <v>179263.76</v>
      </c>
      <c r="D2123">
        <f>'0374 table 5'!F542</f>
        <v>360.92777777777775</v>
      </c>
      <c r="E2123">
        <f>'0374 table 5'!G542</f>
        <v>1.0255091714566833</v>
      </c>
    </row>
    <row r="2124" spans="1:5" x14ac:dyDescent="0.35">
      <c r="A2124">
        <v>374</v>
      </c>
      <c r="B2124">
        <v>5</v>
      </c>
      <c r="C2124">
        <f>'0374 table 5'!E543</f>
        <v>179263.76</v>
      </c>
      <c r="D2124">
        <f>'0374 table 5'!F543</f>
        <v>366.48333333333329</v>
      </c>
      <c r="E2124">
        <f>'0374 table 5'!G543</f>
        <v>1.0119048173185972</v>
      </c>
    </row>
    <row r="2125" spans="1:5" x14ac:dyDescent="0.35">
      <c r="A2125">
        <v>374</v>
      </c>
      <c r="B2125">
        <v>5</v>
      </c>
      <c r="C2125">
        <f>'0374 table 5'!E544</f>
        <v>179263.76</v>
      </c>
      <c r="D2125">
        <f>'0374 table 5'!F544</f>
        <v>377.59444444444443</v>
      </c>
      <c r="E2125">
        <f>'0374 table 5'!G544</f>
        <v>0.97912305978932712</v>
      </c>
    </row>
    <row r="2126" spans="1:5" x14ac:dyDescent="0.35">
      <c r="A2126">
        <v>374</v>
      </c>
      <c r="B2126">
        <v>5</v>
      </c>
      <c r="C2126">
        <f>'0374 table 5'!E545</f>
        <v>179263.76</v>
      </c>
      <c r="D2126">
        <f>'0374 table 5'!F545</f>
        <v>388.70555555555552</v>
      </c>
      <c r="E2126">
        <f>'0374 table 5'!G545</f>
        <v>0.95065004499426653</v>
      </c>
    </row>
    <row r="2127" spans="1:5" x14ac:dyDescent="0.35">
      <c r="A2127">
        <v>374</v>
      </c>
      <c r="B2127">
        <v>5</v>
      </c>
      <c r="C2127">
        <f>'0374 table 5'!E546</f>
        <v>179263.76</v>
      </c>
      <c r="D2127">
        <f>'0374 table 5'!F546</f>
        <v>399.81666666666666</v>
      </c>
      <c r="E2127">
        <f>'0374 table 5'!G546</f>
        <v>0.92325379009529629</v>
      </c>
    </row>
    <row r="2128" spans="1:5" x14ac:dyDescent="0.35">
      <c r="A2128">
        <v>374</v>
      </c>
      <c r="B2128">
        <v>5</v>
      </c>
      <c r="C2128">
        <f>'0374 table 5'!E547</f>
        <v>186158.52000000002</v>
      </c>
      <c r="D2128">
        <f>'0374 table 5'!F547</f>
        <v>255.37222222222221</v>
      </c>
      <c r="E2128">
        <f>'0374 table 5'!G547</f>
        <v>1.5506731130835811</v>
      </c>
    </row>
    <row r="2129" spans="1:5" x14ac:dyDescent="0.35">
      <c r="A2129">
        <v>374</v>
      </c>
      <c r="B2129">
        <v>5</v>
      </c>
      <c r="C2129">
        <f>'0374 table 5'!E548</f>
        <v>186158.52000000002</v>
      </c>
      <c r="D2129">
        <f>'0374 table 5'!F548</f>
        <v>260.92777777777775</v>
      </c>
      <c r="E2129">
        <f>'0374 table 5'!G548</f>
        <v>1.5126018185225112</v>
      </c>
    </row>
    <row r="2130" spans="1:5" x14ac:dyDescent="0.35">
      <c r="A2130">
        <v>374</v>
      </c>
      <c r="B2130">
        <v>5</v>
      </c>
      <c r="C2130">
        <f>'0374 table 5'!E549</f>
        <v>186158.52000000002</v>
      </c>
      <c r="D2130">
        <f>'0374 table 5'!F549</f>
        <v>266.48333333333329</v>
      </c>
      <c r="E2130">
        <f>'0374 table 5'!G549</f>
        <v>1.4763551390003129</v>
      </c>
    </row>
    <row r="2131" spans="1:5" x14ac:dyDescent="0.35">
      <c r="A2131">
        <v>374</v>
      </c>
      <c r="B2131">
        <v>5</v>
      </c>
      <c r="C2131">
        <f>'0374 table 5'!E550</f>
        <v>186158.52000000002</v>
      </c>
      <c r="D2131">
        <f>'0374 table 5'!F550</f>
        <v>272.03888888888889</v>
      </c>
      <c r="E2131">
        <f>'0374 table 5'!G550</f>
        <v>1.4418049737311787</v>
      </c>
    </row>
    <row r="2132" spans="1:5" x14ac:dyDescent="0.35">
      <c r="A2132">
        <v>374</v>
      </c>
      <c r="B2132">
        <v>5</v>
      </c>
      <c r="C2132">
        <f>'0374 table 5'!E551</f>
        <v>186158.52000000002</v>
      </c>
      <c r="D2132">
        <f>'0374 table 5'!F551</f>
        <v>277.59444444444443</v>
      </c>
      <c r="E2132">
        <f>'0374 table 5'!G551</f>
        <v>1.4088349391515738</v>
      </c>
    </row>
    <row r="2133" spans="1:5" x14ac:dyDescent="0.35">
      <c r="A2133">
        <v>374</v>
      </c>
      <c r="B2133">
        <v>5</v>
      </c>
      <c r="C2133">
        <f>'0374 table 5'!E552</f>
        <v>186158.52000000002</v>
      </c>
      <c r="D2133">
        <f>'0374 table 5'!F552</f>
        <v>283.14999999999998</v>
      </c>
      <c r="E2133">
        <f>'0374 table 5'!G552</f>
        <v>1.3785243767774007</v>
      </c>
    </row>
    <row r="2134" spans="1:5" x14ac:dyDescent="0.35">
      <c r="A2134">
        <v>374</v>
      </c>
      <c r="B2134">
        <v>5</v>
      </c>
      <c r="C2134">
        <f>'0374 table 5'!E553</f>
        <v>186158.52000000002</v>
      </c>
      <c r="D2134">
        <f>'0374 table 5'!F553</f>
        <v>288.70555555555552</v>
      </c>
      <c r="E2134">
        <f>'0374 table 5'!G553</f>
        <v>1.3494905861965791</v>
      </c>
    </row>
    <row r="2135" spans="1:5" x14ac:dyDescent="0.35">
      <c r="A2135">
        <v>374</v>
      </c>
      <c r="B2135">
        <v>5</v>
      </c>
      <c r="C2135">
        <f>'0374 table 5'!E554</f>
        <v>186158.52000000002</v>
      </c>
      <c r="D2135">
        <f>'0374 table 5'!F554</f>
        <v>294.26111111111106</v>
      </c>
      <c r="E2135">
        <f>'0374 table 5'!G554</f>
        <v>1.3216545592535802</v>
      </c>
    </row>
    <row r="2136" spans="1:5" x14ac:dyDescent="0.35">
      <c r="A2136">
        <v>374</v>
      </c>
      <c r="B2136">
        <v>5</v>
      </c>
      <c r="C2136">
        <f>'0374 table 5'!E555</f>
        <v>186158.52000000002</v>
      </c>
      <c r="D2136">
        <f>'0374 table 5'!F555</f>
        <v>299.81666666666666</v>
      </c>
      <c r="E2136">
        <f>'0374 table 5'!G555</f>
        <v>1.2949436748709293</v>
      </c>
    </row>
    <row r="2137" spans="1:5" x14ac:dyDescent="0.35">
      <c r="A2137">
        <v>374</v>
      </c>
      <c r="B2137">
        <v>5</v>
      </c>
      <c r="C2137">
        <f>'0374 table 5'!E556</f>
        <v>186158.52000000002</v>
      </c>
      <c r="D2137">
        <f>'0374 table 5'!F556</f>
        <v>305.37222222222221</v>
      </c>
      <c r="E2137">
        <f>'0374 table 5'!G556</f>
        <v>1.2702976414078821</v>
      </c>
    </row>
    <row r="2138" spans="1:5" x14ac:dyDescent="0.35">
      <c r="A2138">
        <v>374</v>
      </c>
      <c r="B2138">
        <v>5</v>
      </c>
      <c r="C2138">
        <f>'0374 table 5'!E557</f>
        <v>186158.52000000002</v>
      </c>
      <c r="D2138">
        <f>'0374 table 5'!F557</f>
        <v>310.92777777777775</v>
      </c>
      <c r="E2138">
        <f>'0374 table 5'!G557</f>
        <v>1.2456028972125501</v>
      </c>
    </row>
    <row r="2139" spans="1:5" x14ac:dyDescent="0.35">
      <c r="A2139">
        <v>374</v>
      </c>
      <c r="B2139">
        <v>5</v>
      </c>
      <c r="C2139">
        <f>'0374 table 5'!E558</f>
        <v>186158.52000000002</v>
      </c>
      <c r="D2139">
        <f>'0374 table 5'!F558</f>
        <v>316.48333333333329</v>
      </c>
      <c r="E2139">
        <f>'0374 table 5'!G558</f>
        <v>1.2227826914620912</v>
      </c>
    </row>
    <row r="2140" spans="1:5" x14ac:dyDescent="0.35">
      <c r="A2140">
        <v>374</v>
      </c>
      <c r="B2140">
        <v>5</v>
      </c>
      <c r="C2140">
        <f>'0374 table 5'!E559</f>
        <v>186158.52000000002</v>
      </c>
      <c r="D2140">
        <f>'0374 table 5'!F559</f>
        <v>322.03888888888889</v>
      </c>
      <c r="E2140">
        <f>'0374 table 5'!G559</f>
        <v>1.2007836025602243</v>
      </c>
    </row>
    <row r="2141" spans="1:5" x14ac:dyDescent="0.35">
      <c r="A2141">
        <v>374</v>
      </c>
      <c r="B2141">
        <v>5</v>
      </c>
      <c r="C2141">
        <f>'0374 table 5'!E560</f>
        <v>186158.52000000002</v>
      </c>
      <c r="D2141">
        <f>'0374 table 5'!F560</f>
        <v>327.59444444444443</v>
      </c>
      <c r="E2141">
        <f>'0374 table 5'!G560</f>
        <v>1.1786941323144513</v>
      </c>
    </row>
    <row r="2142" spans="1:5" x14ac:dyDescent="0.35">
      <c r="A2142">
        <v>374</v>
      </c>
      <c r="B2142">
        <v>5</v>
      </c>
      <c r="C2142">
        <f>'0374 table 5'!E561</f>
        <v>186158.52000000002</v>
      </c>
      <c r="D2142">
        <f>'0374 table 5'!F561</f>
        <v>333.15</v>
      </c>
      <c r="E2142">
        <f>'0374 table 5'!G561</f>
        <v>1.1582395703653936</v>
      </c>
    </row>
    <row r="2143" spans="1:5" x14ac:dyDescent="0.35">
      <c r="A2143">
        <v>374</v>
      </c>
      <c r="B2143">
        <v>5</v>
      </c>
      <c r="C2143">
        <f>'0374 table 5'!E562</f>
        <v>186158.52000000002</v>
      </c>
      <c r="D2143">
        <f>'0374 table 5'!F562</f>
        <v>338.70555555555552</v>
      </c>
      <c r="E2143">
        <f>'0374 table 5'!G562</f>
        <v>1.1384828186320819</v>
      </c>
    </row>
    <row r="2144" spans="1:5" x14ac:dyDescent="0.35">
      <c r="A2144">
        <v>374</v>
      </c>
      <c r="B2144">
        <v>5</v>
      </c>
      <c r="C2144">
        <f>'0374 table 5'!E563</f>
        <v>186158.52000000002</v>
      </c>
      <c r="D2144">
        <f>'0374 table 5'!F563</f>
        <v>344.26111111111106</v>
      </c>
      <c r="E2144">
        <f>'0374 table 5'!G563</f>
        <v>1.1193887671665543</v>
      </c>
    </row>
    <row r="2145" spans="1:5" x14ac:dyDescent="0.35">
      <c r="A2145">
        <v>374</v>
      </c>
      <c r="B2145">
        <v>5</v>
      </c>
      <c r="C2145">
        <f>'0374 table 5'!E564</f>
        <v>186158.52000000002</v>
      </c>
      <c r="D2145">
        <f>'0374 table 5'!F564</f>
        <v>349.81666666666666</v>
      </c>
      <c r="E2145">
        <f>'0374 table 5'!G564</f>
        <v>1.1009246225534979</v>
      </c>
    </row>
    <row r="2146" spans="1:5" x14ac:dyDescent="0.35">
      <c r="A2146">
        <v>374</v>
      </c>
      <c r="B2146">
        <v>5</v>
      </c>
      <c r="C2146">
        <f>'0374 table 5'!E565</f>
        <v>186158.52000000002</v>
      </c>
      <c r="D2146">
        <f>'0374 table 5'!F565</f>
        <v>355.37222222222221</v>
      </c>
      <c r="E2146">
        <f>'0374 table 5'!G565</f>
        <v>1.0830597199562808</v>
      </c>
    </row>
    <row r="2147" spans="1:5" x14ac:dyDescent="0.35">
      <c r="A2147">
        <v>374</v>
      </c>
      <c r="B2147">
        <v>5</v>
      </c>
      <c r="C2147">
        <f>'0374 table 5'!E566</f>
        <v>186158.52000000002</v>
      </c>
      <c r="D2147">
        <f>'0374 table 5'!F566</f>
        <v>360.92777777777775</v>
      </c>
      <c r="E2147">
        <f>'0374 table 5'!G566</f>
        <v>1.0657653531705518</v>
      </c>
    </row>
    <row r="2148" spans="1:5" x14ac:dyDescent="0.35">
      <c r="A2148">
        <v>374</v>
      </c>
      <c r="B2148">
        <v>5</v>
      </c>
      <c r="C2148">
        <f>'0374 table 5'!E567</f>
        <v>186158.52000000002</v>
      </c>
      <c r="D2148">
        <f>'0374 table 5'!F567</f>
        <v>366.48333333333329</v>
      </c>
      <c r="E2148">
        <f>'0374 table 5'!G567</f>
        <v>1.049014620704217</v>
      </c>
    </row>
    <row r="2149" spans="1:5" x14ac:dyDescent="0.35">
      <c r="A2149">
        <v>374</v>
      </c>
      <c r="B2149">
        <v>5</v>
      </c>
      <c r="C2149">
        <f>'0374 table 5'!E568</f>
        <v>186158.52000000002</v>
      </c>
      <c r="D2149">
        <f>'0374 table 5'!F568</f>
        <v>377.59444444444443</v>
      </c>
      <c r="E2149">
        <f>'0374 table 5'!G568</f>
        <v>1.0170446513113267</v>
      </c>
    </row>
    <row r="2150" spans="1:5" x14ac:dyDescent="0.35">
      <c r="A2150">
        <v>374</v>
      </c>
      <c r="B2150">
        <v>5</v>
      </c>
      <c r="C2150">
        <f>'0374 table 5'!E569</f>
        <v>186158.52000000002</v>
      </c>
      <c r="D2150">
        <f>'0374 table 5'!F569</f>
        <v>388.70555555555552</v>
      </c>
      <c r="E2150">
        <f>'0374 table 5'!G569</f>
        <v>0.98696569674389356</v>
      </c>
    </row>
    <row r="2151" spans="1:5" x14ac:dyDescent="0.35">
      <c r="A2151">
        <v>374</v>
      </c>
      <c r="B2151">
        <v>5</v>
      </c>
      <c r="C2151">
        <f>'0374 table 5'!E570</f>
        <v>186158.52000000002</v>
      </c>
      <c r="D2151">
        <f>'0374 table 5'!F570</f>
        <v>399.81666666666666</v>
      </c>
      <c r="E2151">
        <f>'0374 table 5'!G570</f>
        <v>0.95918881785349652</v>
      </c>
    </row>
    <row r="2152" spans="1:5" x14ac:dyDescent="0.35">
      <c r="A2152">
        <v>374</v>
      </c>
      <c r="B2152">
        <v>5</v>
      </c>
      <c r="C2152">
        <f>'0374 table 5'!E571</f>
        <v>193053.28</v>
      </c>
      <c r="D2152">
        <f>'0374 table 5'!F571</f>
        <v>255.37222222222221</v>
      </c>
      <c r="E2152">
        <f>'0374 table 5'!G571</f>
        <v>1.6111902291443767</v>
      </c>
    </row>
    <row r="2153" spans="1:5" x14ac:dyDescent="0.35">
      <c r="A2153">
        <v>374</v>
      </c>
      <c r="B2153">
        <v>5</v>
      </c>
      <c r="C2153">
        <f>'0374 table 5'!E572</f>
        <v>193053.28</v>
      </c>
      <c r="D2153">
        <f>'0374 table 5'!F572</f>
        <v>260.92777777777775</v>
      </c>
      <c r="E2153">
        <f>'0374 table 5'!G572</f>
        <v>1.5704365939366074</v>
      </c>
    </row>
    <row r="2154" spans="1:5" x14ac:dyDescent="0.35">
      <c r="A2154">
        <v>374</v>
      </c>
      <c r="B2154">
        <v>5</v>
      </c>
      <c r="C2154">
        <f>'0374 table 5'!E573</f>
        <v>193053.28</v>
      </c>
      <c r="D2154">
        <f>'0374 table 5'!F573</f>
        <v>266.48333333333329</v>
      </c>
      <c r="E2154">
        <f>'0374 table 5'!G573</f>
        <v>1.5328663404931477</v>
      </c>
    </row>
    <row r="2155" spans="1:5" x14ac:dyDescent="0.35">
      <c r="A2155">
        <v>374</v>
      </c>
      <c r="B2155">
        <v>5</v>
      </c>
      <c r="C2155">
        <f>'0374 table 5'!E574</f>
        <v>193053.28</v>
      </c>
      <c r="D2155">
        <f>'0374 table 5'!F574</f>
        <v>272.03888888888889</v>
      </c>
      <c r="E2155">
        <f>'0374 table 5'!G574</f>
        <v>1.4970517063694762</v>
      </c>
    </row>
    <row r="2156" spans="1:5" x14ac:dyDescent="0.35">
      <c r="A2156">
        <v>374</v>
      </c>
      <c r="B2156">
        <v>5</v>
      </c>
      <c r="C2156">
        <f>'0374 table 5'!E575</f>
        <v>193053.28</v>
      </c>
      <c r="D2156">
        <f>'0374 table 5'!F575</f>
        <v>277.59444444444443</v>
      </c>
      <c r="E2156">
        <f>'0374 table 5'!G575</f>
        <v>1.4628724436669767</v>
      </c>
    </row>
    <row r="2157" spans="1:5" x14ac:dyDescent="0.35">
      <c r="A2157">
        <v>374</v>
      </c>
      <c r="B2157">
        <v>5</v>
      </c>
      <c r="C2157">
        <f>'0374 table 5'!E576</f>
        <v>193053.28</v>
      </c>
      <c r="D2157">
        <f>'0374 table 5'!F576</f>
        <v>283.14999999999998</v>
      </c>
      <c r="E2157">
        <f>'0374 table 5'!G576</f>
        <v>1.4314971633738511</v>
      </c>
    </row>
    <row r="2158" spans="1:5" x14ac:dyDescent="0.35">
      <c r="A2158">
        <v>374</v>
      </c>
      <c r="B2158">
        <v>5</v>
      </c>
      <c r="C2158">
        <f>'0374 table 5'!E577</f>
        <v>193053.28</v>
      </c>
      <c r="D2158">
        <f>'0374 table 5'!F577</f>
        <v>288.70555555555552</v>
      </c>
      <c r="E2158">
        <f>'0374 table 5'!G577</f>
        <v>1.4002144456427792</v>
      </c>
    </row>
    <row r="2159" spans="1:5" x14ac:dyDescent="0.35">
      <c r="A2159">
        <v>374</v>
      </c>
      <c r="B2159">
        <v>5</v>
      </c>
      <c r="C2159">
        <f>'0374 table 5'!E578</f>
        <v>193053.28</v>
      </c>
      <c r="D2159">
        <f>'0374 table 5'!F578</f>
        <v>294.26111111111106</v>
      </c>
      <c r="E2159">
        <f>'0374 table 5'!G578</f>
        <v>1.3714429159377906</v>
      </c>
    </row>
    <row r="2160" spans="1:5" x14ac:dyDescent="0.35">
      <c r="A2160">
        <v>374</v>
      </c>
      <c r="B2160">
        <v>5</v>
      </c>
      <c r="C2160">
        <f>'0374 table 5'!E579</f>
        <v>193053.28</v>
      </c>
      <c r="D2160">
        <f>'0374 table 5'!F579</f>
        <v>299.81666666666666</v>
      </c>
      <c r="E2160">
        <f>'0374 table 5'!G579</f>
        <v>1.3438299713215933</v>
      </c>
    </row>
    <row r="2161" spans="1:5" x14ac:dyDescent="0.35">
      <c r="A2161">
        <v>374</v>
      </c>
      <c r="B2161">
        <v>5</v>
      </c>
      <c r="C2161">
        <f>'0374 table 5'!E580</f>
        <v>193053.28</v>
      </c>
      <c r="D2161">
        <f>'0374 table 5'!F580</f>
        <v>305.37222222222221</v>
      </c>
      <c r="E2161">
        <f>'0374 table 5'!G580</f>
        <v>1.3183912146628307</v>
      </c>
    </row>
    <row r="2162" spans="1:5" x14ac:dyDescent="0.35">
      <c r="A2162">
        <v>374</v>
      </c>
      <c r="B2162">
        <v>5</v>
      </c>
      <c r="C2162">
        <f>'0374 table 5'!E581</f>
        <v>193053.28</v>
      </c>
      <c r="D2162">
        <f>'0374 table 5'!F581</f>
        <v>310.92777777777775</v>
      </c>
      <c r="E2162">
        <f>'0374 table 5'!G581</f>
        <v>1.2928533703110083</v>
      </c>
    </row>
    <row r="2163" spans="1:5" x14ac:dyDescent="0.35">
      <c r="A2163">
        <v>374</v>
      </c>
      <c r="B2163">
        <v>5</v>
      </c>
      <c r="C2163">
        <f>'0374 table 5'!E582</f>
        <v>193053.28</v>
      </c>
      <c r="D2163">
        <f>'0374 table 5'!F582</f>
        <v>316.48333333333329</v>
      </c>
      <c r="E2163">
        <f>'0374 table 5'!G582</f>
        <v>1.2682860853644808</v>
      </c>
    </row>
    <row r="2164" spans="1:5" x14ac:dyDescent="0.35">
      <c r="A2164">
        <v>374</v>
      </c>
      <c r="B2164">
        <v>5</v>
      </c>
      <c r="C2164">
        <f>'0374 table 5'!E583</f>
        <v>193053.28</v>
      </c>
      <c r="D2164">
        <f>'0374 table 5'!F583</f>
        <v>322.03888888888889</v>
      </c>
      <c r="E2164">
        <f>'0374 table 5'!G583</f>
        <v>1.2456028972125501</v>
      </c>
    </row>
    <row r="2165" spans="1:5" x14ac:dyDescent="0.35">
      <c r="A2165">
        <v>374</v>
      </c>
      <c r="B2165">
        <v>5</v>
      </c>
      <c r="C2165">
        <f>'0374 table 5'!E584</f>
        <v>193053.28</v>
      </c>
      <c r="D2165">
        <f>'0374 table 5'!F584</f>
        <v>327.59444444444443</v>
      </c>
      <c r="E2165">
        <f>'0374 table 5'!G584</f>
        <v>1.2227826914620912</v>
      </c>
    </row>
    <row r="2166" spans="1:5" x14ac:dyDescent="0.35">
      <c r="A2166">
        <v>374</v>
      </c>
      <c r="B2166">
        <v>5</v>
      </c>
      <c r="C2166">
        <f>'0374 table 5'!E585</f>
        <v>193053.28</v>
      </c>
      <c r="D2166">
        <f>'0374 table 5'!F585</f>
        <v>333.15</v>
      </c>
      <c r="E2166">
        <f>'0374 table 5'!G585</f>
        <v>1.201684415465371</v>
      </c>
    </row>
    <row r="2167" spans="1:5" x14ac:dyDescent="0.35">
      <c r="A2167">
        <v>374</v>
      </c>
      <c r="B2167">
        <v>5</v>
      </c>
      <c r="C2167">
        <f>'0374 table 5'!E586</f>
        <v>193053.28</v>
      </c>
      <c r="D2167">
        <f>'0374 table 5'!F586</f>
        <v>338.70555555555552</v>
      </c>
      <c r="E2167">
        <f>'0374 table 5'!G586</f>
        <v>1.1813018626956779</v>
      </c>
    </row>
    <row r="2168" spans="1:5" x14ac:dyDescent="0.35">
      <c r="A2168">
        <v>374</v>
      </c>
      <c r="B2168">
        <v>5</v>
      </c>
      <c r="C2168">
        <f>'0374 table 5'!E587</f>
        <v>193053.28</v>
      </c>
      <c r="D2168">
        <f>'0374 table 5'!F587</f>
        <v>344.26111111111106</v>
      </c>
      <c r="E2168">
        <f>'0374 table 5'!G587</f>
        <v>1.1607574824748834</v>
      </c>
    </row>
    <row r="2169" spans="1:5" x14ac:dyDescent="0.35">
      <c r="A2169">
        <v>374</v>
      </c>
      <c r="B2169">
        <v>5</v>
      </c>
      <c r="C2169">
        <f>'0374 table 5'!E588</f>
        <v>193053.28</v>
      </c>
      <c r="D2169">
        <f>'0374 table 5'!F588</f>
        <v>349.81666666666666</v>
      </c>
      <c r="E2169">
        <f>'0374 table 5'!G588</f>
        <v>1.1417286712867707</v>
      </c>
    </row>
    <row r="2170" spans="1:5" x14ac:dyDescent="0.35">
      <c r="A2170">
        <v>374</v>
      </c>
      <c r="B2170">
        <v>5</v>
      </c>
      <c r="C2170">
        <f>'0374 table 5'!E589</f>
        <v>193053.28</v>
      </c>
      <c r="D2170">
        <f>'0374 table 5'!F589</f>
        <v>355.37222222222221</v>
      </c>
      <c r="E2170">
        <f>'0374 table 5'!G589</f>
        <v>1.1233136927176293</v>
      </c>
    </row>
    <row r="2171" spans="1:5" x14ac:dyDescent="0.35">
      <c r="A2171">
        <v>374</v>
      </c>
      <c r="B2171">
        <v>5</v>
      </c>
      <c r="C2171">
        <f>'0374 table 5'!E590</f>
        <v>193053.28</v>
      </c>
      <c r="D2171">
        <f>'0374 table 5'!F590</f>
        <v>360.92777777777775</v>
      </c>
      <c r="E2171">
        <f>'0374 table 5'!G590</f>
        <v>1.1054833166427462</v>
      </c>
    </row>
    <row r="2172" spans="1:5" x14ac:dyDescent="0.35">
      <c r="A2172">
        <v>374</v>
      </c>
      <c r="B2172">
        <v>5</v>
      </c>
      <c r="C2172">
        <f>'0374 table 5'!E591</f>
        <v>193053.28</v>
      </c>
      <c r="D2172">
        <f>'0374 table 5'!F591</f>
        <v>366.48333333333329</v>
      </c>
      <c r="E2172">
        <f>'0374 table 5'!G591</f>
        <v>1.0882101398202033</v>
      </c>
    </row>
    <row r="2173" spans="1:5" x14ac:dyDescent="0.35">
      <c r="A2173">
        <v>374</v>
      </c>
      <c r="B2173">
        <v>5</v>
      </c>
      <c r="C2173">
        <f>'0374 table 5'!E592</f>
        <v>193053.28</v>
      </c>
      <c r="D2173">
        <f>'0374 table 5'!F592</f>
        <v>377.59444444444443</v>
      </c>
      <c r="E2173">
        <f>'0374 table 5'!G592</f>
        <v>1.0552340749771669</v>
      </c>
    </row>
    <row r="2174" spans="1:5" x14ac:dyDescent="0.35">
      <c r="A2174">
        <v>374</v>
      </c>
      <c r="B2174">
        <v>5</v>
      </c>
      <c r="C2174">
        <f>'0374 table 5'!E593</f>
        <v>193053.28</v>
      </c>
      <c r="D2174">
        <f>'0374 table 5'!F593</f>
        <v>388.70555555555552</v>
      </c>
      <c r="E2174">
        <f>'0374 table 5'!G593</f>
        <v>1.0241977786543091</v>
      </c>
    </row>
    <row r="2175" spans="1:5" x14ac:dyDescent="0.35">
      <c r="A2175">
        <v>374</v>
      </c>
      <c r="B2175">
        <v>5</v>
      </c>
      <c r="C2175">
        <f>'0374 table 5'!E594</f>
        <v>193053.28</v>
      </c>
      <c r="D2175">
        <f>'0374 table 5'!F594</f>
        <v>399.81666666666666</v>
      </c>
      <c r="E2175">
        <f>'0374 table 5'!G594</f>
        <v>0.99493498497847155</v>
      </c>
    </row>
    <row r="2176" spans="1:5" x14ac:dyDescent="0.35">
      <c r="A2176">
        <v>374</v>
      </c>
      <c r="B2176">
        <v>5</v>
      </c>
      <c r="C2176">
        <f>'0374 table 5'!E595</f>
        <v>199948.04</v>
      </c>
      <c r="D2176">
        <f>'0374 table 5'!F595</f>
        <v>255.37222222222221</v>
      </c>
      <c r="E2176">
        <f>'0374 table 5'!G595</f>
        <v>1.6713745052330338</v>
      </c>
    </row>
    <row r="2177" spans="1:5" x14ac:dyDescent="0.35">
      <c r="A2177">
        <v>374</v>
      </c>
      <c r="B2177">
        <v>5</v>
      </c>
      <c r="C2177">
        <f>'0374 table 5'!E596</f>
        <v>199948.04</v>
      </c>
      <c r="D2177">
        <f>'0374 table 5'!F596</f>
        <v>260.92777777777775</v>
      </c>
      <c r="E2177">
        <f>'0374 table 5'!G596</f>
        <v>1.6288848137231435</v>
      </c>
    </row>
    <row r="2178" spans="1:5" x14ac:dyDescent="0.35">
      <c r="A2178">
        <v>374</v>
      </c>
      <c r="B2178">
        <v>5</v>
      </c>
      <c r="C2178">
        <f>'0374 table 5'!E597</f>
        <v>199948.04</v>
      </c>
      <c r="D2178">
        <f>'0374 table 5'!F597</f>
        <v>266.48333333333329</v>
      </c>
      <c r="E2178">
        <f>'0374 table 5'!G597</f>
        <v>1.5891322676739477</v>
      </c>
    </row>
    <row r="2179" spans="1:5" x14ac:dyDescent="0.35">
      <c r="A2179">
        <v>374</v>
      </c>
      <c r="B2179">
        <v>5</v>
      </c>
      <c r="C2179">
        <f>'0374 table 5'!E598</f>
        <v>199948.04</v>
      </c>
      <c r="D2179">
        <f>'0374 table 5'!F598</f>
        <v>272.03888888888889</v>
      </c>
      <c r="E2179">
        <f>'0374 table 5'!G598</f>
        <v>1.5521757033094372</v>
      </c>
    </row>
    <row r="2180" spans="1:5" x14ac:dyDescent="0.35">
      <c r="A2180">
        <v>374</v>
      </c>
      <c r="B2180">
        <v>5</v>
      </c>
      <c r="C2180">
        <f>'0374 table 5'!E599</f>
        <v>199948.04</v>
      </c>
      <c r="D2180">
        <f>'0374 table 5'!F599</f>
        <v>277.59444444444443</v>
      </c>
      <c r="E2180">
        <f>'0374 table 5'!G599</f>
        <v>1.5168989827796773</v>
      </c>
    </row>
    <row r="2181" spans="1:5" x14ac:dyDescent="0.35">
      <c r="A2181">
        <v>374</v>
      </c>
      <c r="B2181">
        <v>5</v>
      </c>
      <c r="C2181">
        <f>'0374 table 5'!E600</f>
        <v>199948.04</v>
      </c>
      <c r="D2181">
        <f>'0374 table 5'!F600</f>
        <v>283.14999999999998</v>
      </c>
      <c r="E2181">
        <f>'0374 table 5'!G600</f>
        <v>1.4831901164956844</v>
      </c>
    </row>
    <row r="2182" spans="1:5" x14ac:dyDescent="0.35">
      <c r="A2182">
        <v>374</v>
      </c>
      <c r="B2182">
        <v>5</v>
      </c>
      <c r="C2182">
        <f>'0374 table 5'!E601</f>
        <v>199948.04</v>
      </c>
      <c r="D2182">
        <f>'0374 table 5'!F601</f>
        <v>288.70555555555552</v>
      </c>
      <c r="E2182">
        <f>'0374 table 5'!G601</f>
        <v>1.4522623080828099</v>
      </c>
    </row>
    <row r="2183" spans="1:5" x14ac:dyDescent="0.35">
      <c r="A2183">
        <v>374</v>
      </c>
      <c r="B2183">
        <v>5</v>
      </c>
      <c r="C2183">
        <f>'0374 table 5'!E602</f>
        <v>199948.04</v>
      </c>
      <c r="D2183">
        <f>'0374 table 5'!F602</f>
        <v>294.26111111111106</v>
      </c>
      <c r="E2183">
        <f>'0374 table 5'!G602</f>
        <v>1.4225979802978148</v>
      </c>
    </row>
    <row r="2184" spans="1:5" x14ac:dyDescent="0.35">
      <c r="A2184">
        <v>374</v>
      </c>
      <c r="B2184">
        <v>5</v>
      </c>
      <c r="C2184">
        <f>'0374 table 5'!E603</f>
        <v>199948.04</v>
      </c>
      <c r="D2184">
        <f>'0374 table 5'!F603</f>
        <v>299.81666666666666</v>
      </c>
      <c r="E2184">
        <f>'0374 table 5'!G603</f>
        <v>1.3929089789698603</v>
      </c>
    </row>
    <row r="2185" spans="1:5" x14ac:dyDescent="0.35">
      <c r="A2185">
        <v>374</v>
      </c>
      <c r="B2185">
        <v>5</v>
      </c>
      <c r="C2185">
        <f>'0374 table 5'!E604</f>
        <v>199948.04</v>
      </c>
      <c r="D2185">
        <f>'0374 table 5'!F604</f>
        <v>305.37222222222221</v>
      </c>
      <c r="E2185">
        <f>'0374 table 5'!G604</f>
        <v>1.3655970382057452</v>
      </c>
    </row>
    <row r="2186" spans="1:5" x14ac:dyDescent="0.35">
      <c r="A2186">
        <v>374</v>
      </c>
      <c r="B2186">
        <v>5</v>
      </c>
      <c r="C2186">
        <f>'0374 table 5'!E605</f>
        <v>199948.04</v>
      </c>
      <c r="D2186">
        <f>'0374 table 5'!F605</f>
        <v>310.92777777777775</v>
      </c>
      <c r="E2186">
        <f>'0374 table 5'!G605</f>
        <v>1.3393355567017886</v>
      </c>
    </row>
    <row r="2187" spans="1:5" x14ac:dyDescent="0.35">
      <c r="A2187">
        <v>374</v>
      </c>
      <c r="B2187">
        <v>5</v>
      </c>
      <c r="C2187">
        <f>'0374 table 5'!E606</f>
        <v>199948.04</v>
      </c>
      <c r="D2187">
        <f>'0374 table 5'!F606</f>
        <v>316.48333333333329</v>
      </c>
      <c r="E2187">
        <f>'0374 table 5'!G606</f>
        <v>1.3151439456611982</v>
      </c>
    </row>
    <row r="2188" spans="1:5" x14ac:dyDescent="0.35">
      <c r="A2188">
        <v>374</v>
      </c>
      <c r="B2188">
        <v>5</v>
      </c>
      <c r="C2188">
        <f>'0374 table 5'!E607</f>
        <v>199948.04</v>
      </c>
      <c r="D2188">
        <f>'0374 table 5'!F607</f>
        <v>322.03888888888889</v>
      </c>
      <c r="E2188">
        <f>'0374 table 5'!G607</f>
        <v>1.2907698032355674</v>
      </c>
    </row>
    <row r="2189" spans="1:5" x14ac:dyDescent="0.35">
      <c r="A2189">
        <v>374</v>
      </c>
      <c r="B2189">
        <v>5</v>
      </c>
      <c r="C2189">
        <f>'0374 table 5'!E608</f>
        <v>199948.04</v>
      </c>
      <c r="D2189">
        <f>'0374 table 5'!F608</f>
        <v>327.59444444444443</v>
      </c>
      <c r="E2189">
        <f>'0374 table 5'!G608</f>
        <v>1.2672826944741609</v>
      </c>
    </row>
    <row r="2190" spans="1:5" x14ac:dyDescent="0.35">
      <c r="A2190">
        <v>374</v>
      </c>
      <c r="B2190">
        <v>5</v>
      </c>
      <c r="C2190">
        <f>'0374 table 5'!E609</f>
        <v>199948.04</v>
      </c>
      <c r="D2190">
        <f>'0374 table 5'!F609</f>
        <v>333.15</v>
      </c>
      <c r="E2190">
        <f>'0374 table 5'!G609</f>
        <v>1.2456028972125501</v>
      </c>
    </row>
    <row r="2191" spans="1:5" x14ac:dyDescent="0.35">
      <c r="A2191">
        <v>374</v>
      </c>
      <c r="B2191">
        <v>5</v>
      </c>
      <c r="C2191">
        <f>'0374 table 5'!E610</f>
        <v>199948.04</v>
      </c>
      <c r="D2191">
        <f>'0374 table 5'!F610</f>
        <v>338.70555555555552</v>
      </c>
      <c r="E2191">
        <f>'0374 table 5'!G610</f>
        <v>1.2237168264441096</v>
      </c>
    </row>
    <row r="2192" spans="1:5" x14ac:dyDescent="0.35">
      <c r="A2192">
        <v>374</v>
      </c>
      <c r="B2192">
        <v>5</v>
      </c>
      <c r="C2192">
        <f>'0374 table 5'!E611</f>
        <v>199948.04</v>
      </c>
      <c r="D2192">
        <f>'0374 table 5'!F611</f>
        <v>344.26111111111106</v>
      </c>
      <c r="E2192">
        <f>'0374 table 5'!G611</f>
        <v>1.2034901020400746</v>
      </c>
    </row>
    <row r="2193" spans="1:5" x14ac:dyDescent="0.35">
      <c r="A2193">
        <v>374</v>
      </c>
      <c r="B2193">
        <v>5</v>
      </c>
      <c r="C2193">
        <f>'0374 table 5'!E612</f>
        <v>199948.04</v>
      </c>
      <c r="D2193">
        <f>'0374 table 5'!F612</f>
        <v>349.81666666666666</v>
      </c>
      <c r="E2193">
        <f>'0374 table 5'!G612</f>
        <v>1.183046769435258</v>
      </c>
    </row>
    <row r="2194" spans="1:5" x14ac:dyDescent="0.35">
      <c r="A2194">
        <v>374</v>
      </c>
      <c r="B2194">
        <v>5</v>
      </c>
      <c r="C2194">
        <f>'0374 table 5'!E613</f>
        <v>199948.04</v>
      </c>
      <c r="D2194">
        <f>'0374 table 5'!F613</f>
        <v>355.37222222222221</v>
      </c>
      <c r="E2194">
        <f>'0374 table 5'!G613</f>
        <v>1.1641317774820781</v>
      </c>
    </row>
    <row r="2195" spans="1:5" x14ac:dyDescent="0.35">
      <c r="A2195">
        <v>374</v>
      </c>
      <c r="B2195">
        <v>5</v>
      </c>
      <c r="C2195">
        <f>'0374 table 5'!E614</f>
        <v>199948.04</v>
      </c>
      <c r="D2195">
        <f>'0374 table 5'!F614</f>
        <v>360.92777777777775</v>
      </c>
      <c r="E2195">
        <f>'0374 table 5'!G614</f>
        <v>1.1449930849287628</v>
      </c>
    </row>
    <row r="2196" spans="1:5" x14ac:dyDescent="0.35">
      <c r="A2196">
        <v>374</v>
      </c>
      <c r="B2196">
        <v>5</v>
      </c>
      <c r="C2196">
        <f>'0374 table 5'!E615</f>
        <v>199948.04</v>
      </c>
      <c r="D2196">
        <f>'0374 table 5'!F615</f>
        <v>366.48333333333329</v>
      </c>
      <c r="E2196">
        <f>'0374 table 5'!G615</f>
        <v>1.1272662391381698</v>
      </c>
    </row>
    <row r="2197" spans="1:5" x14ac:dyDescent="0.35">
      <c r="A2197">
        <v>374</v>
      </c>
      <c r="B2197">
        <v>5</v>
      </c>
      <c r="C2197">
        <f>'0374 table 5'!E616</f>
        <v>199948.04</v>
      </c>
      <c r="D2197">
        <f>'0374 table 5'!F616</f>
        <v>377.59444444444443</v>
      </c>
      <c r="E2197">
        <f>'0374 table 5'!G616</f>
        <v>1.0934097787135422</v>
      </c>
    </row>
    <row r="2198" spans="1:5" x14ac:dyDescent="0.35">
      <c r="A2198">
        <v>374</v>
      </c>
      <c r="B2198">
        <v>5</v>
      </c>
      <c r="C2198">
        <f>'0374 table 5'!E617</f>
        <v>199948.04</v>
      </c>
      <c r="D2198">
        <f>'0374 table 5'!F617</f>
        <v>388.70555555555552</v>
      </c>
      <c r="E2198">
        <f>'0374 table 5'!G617</f>
        <v>1.0608247190830062</v>
      </c>
    </row>
    <row r="2199" spans="1:5" x14ac:dyDescent="0.35">
      <c r="A2199">
        <v>374</v>
      </c>
      <c r="B2199">
        <v>5</v>
      </c>
      <c r="C2199">
        <f>'0374 table 5'!E618</f>
        <v>199948.04</v>
      </c>
      <c r="D2199">
        <f>'0374 table 5'!F618</f>
        <v>399.81666666666666</v>
      </c>
      <c r="E2199">
        <f>'0374 table 5'!G618</f>
        <v>1.030788497950669</v>
      </c>
    </row>
    <row r="2200" spans="1:5" x14ac:dyDescent="0.35">
      <c r="A2200">
        <v>374</v>
      </c>
      <c r="B2200">
        <v>5</v>
      </c>
      <c r="C2200">
        <f>'0374 table 5'!E619</f>
        <v>206842.80000000002</v>
      </c>
      <c r="D2200">
        <f>'0374 table 5'!F619</f>
        <v>255.37222222222221</v>
      </c>
      <c r="E2200">
        <f>'0374 table 5'!G619</f>
        <v>1.7317246765571237</v>
      </c>
    </row>
    <row r="2201" spans="1:5" x14ac:dyDescent="0.35">
      <c r="A2201">
        <v>374</v>
      </c>
      <c r="B2201">
        <v>5</v>
      </c>
      <c r="C2201">
        <f>'0374 table 5'!E620</f>
        <v>206842.80000000002</v>
      </c>
      <c r="D2201">
        <f>'0374 table 5'!F620</f>
        <v>260.92777777777775</v>
      </c>
      <c r="E2201">
        <f>'0374 table 5'!G620</f>
        <v>1.687574089565254</v>
      </c>
    </row>
    <row r="2202" spans="1:5" x14ac:dyDescent="0.35">
      <c r="A2202">
        <v>374</v>
      </c>
      <c r="B2202">
        <v>5</v>
      </c>
      <c r="C2202">
        <f>'0374 table 5'!E621</f>
        <v>206842.80000000002</v>
      </c>
      <c r="D2202">
        <f>'0374 table 5'!F621</f>
        <v>266.48333333333329</v>
      </c>
      <c r="E2202">
        <f>'0374 table 5'!G621</f>
        <v>1.6461261184003078</v>
      </c>
    </row>
    <row r="2203" spans="1:5" x14ac:dyDescent="0.35">
      <c r="A2203">
        <v>374</v>
      </c>
      <c r="B2203">
        <v>5</v>
      </c>
      <c r="C2203">
        <f>'0374 table 5'!E622</f>
        <v>206842.80000000002</v>
      </c>
      <c r="D2203">
        <f>'0374 table 5'!F622</f>
        <v>272.03888888888889</v>
      </c>
      <c r="E2203">
        <f>'0374 table 5'!G622</f>
        <v>1.6073101804287973</v>
      </c>
    </row>
    <row r="2204" spans="1:5" x14ac:dyDescent="0.35">
      <c r="A2204">
        <v>374</v>
      </c>
      <c r="B2204">
        <v>5</v>
      </c>
      <c r="C2204">
        <f>'0374 table 5'!E623</f>
        <v>206842.80000000002</v>
      </c>
      <c r="D2204">
        <f>'0374 table 5'!F623</f>
        <v>277.59444444444443</v>
      </c>
      <c r="E2204">
        <f>'0374 table 5'!G623</f>
        <v>1.5704365939366074</v>
      </c>
    </row>
    <row r="2205" spans="1:5" x14ac:dyDescent="0.35">
      <c r="A2205">
        <v>374</v>
      </c>
      <c r="B2205">
        <v>5</v>
      </c>
      <c r="C2205">
        <f>'0374 table 5'!E624</f>
        <v>206842.80000000002</v>
      </c>
      <c r="D2205">
        <f>'0374 table 5'!F624</f>
        <v>283.14999999999998</v>
      </c>
      <c r="E2205">
        <f>'0374 table 5'!G624</f>
        <v>1.5358056815103927</v>
      </c>
    </row>
    <row r="2206" spans="1:5" x14ac:dyDescent="0.35">
      <c r="A2206">
        <v>374</v>
      </c>
      <c r="B2206">
        <v>5</v>
      </c>
      <c r="C2206">
        <f>'0374 table 5'!E625</f>
        <v>206842.80000000002</v>
      </c>
      <c r="D2206">
        <f>'0374 table 5'!F625</f>
        <v>288.70555555555552</v>
      </c>
      <c r="E2206">
        <f>'0374 table 5'!G625</f>
        <v>1.5040801181364689</v>
      </c>
    </row>
    <row r="2207" spans="1:5" x14ac:dyDescent="0.35">
      <c r="A2207">
        <v>374</v>
      </c>
      <c r="B2207">
        <v>5</v>
      </c>
      <c r="C2207">
        <f>'0374 table 5'!E626</f>
        <v>206842.80000000002</v>
      </c>
      <c r="D2207">
        <f>'0374 table 5'!F626</f>
        <v>294.26111111111106</v>
      </c>
      <c r="E2207">
        <f>'0374 table 5'!G626</f>
        <v>1.4722843068155691</v>
      </c>
    </row>
    <row r="2208" spans="1:5" x14ac:dyDescent="0.35">
      <c r="A2208">
        <v>374</v>
      </c>
      <c r="B2208">
        <v>5</v>
      </c>
      <c r="C2208">
        <f>'0374 table 5'!E627</f>
        <v>206842.80000000002</v>
      </c>
      <c r="D2208">
        <f>'0374 table 5'!F627</f>
        <v>299.81666666666666</v>
      </c>
      <c r="E2208">
        <f>'0374 table 5'!G627</f>
        <v>1.4431038971309362</v>
      </c>
    </row>
    <row r="2209" spans="1:5" x14ac:dyDescent="0.35">
      <c r="A2209">
        <v>374</v>
      </c>
      <c r="B2209">
        <v>5</v>
      </c>
      <c r="C2209">
        <f>'0374 table 5'!E628</f>
        <v>206842.80000000002</v>
      </c>
      <c r="D2209">
        <f>'0374 table 5'!F628</f>
        <v>305.37222222222221</v>
      </c>
      <c r="E2209">
        <f>'0374 table 5'!G628</f>
        <v>1.4138087606490197</v>
      </c>
    </row>
    <row r="2210" spans="1:5" x14ac:dyDescent="0.35">
      <c r="A2210">
        <v>374</v>
      </c>
      <c r="B2210">
        <v>5</v>
      </c>
      <c r="C2210">
        <f>'0374 table 5'!E629</f>
        <v>206842.80000000002</v>
      </c>
      <c r="D2210">
        <f>'0374 table 5'!F629</f>
        <v>310.92777777777775</v>
      </c>
      <c r="E2210">
        <f>'0374 table 5'!G629</f>
        <v>1.3868790699699907</v>
      </c>
    </row>
    <row r="2211" spans="1:5" x14ac:dyDescent="0.35">
      <c r="A2211">
        <v>374</v>
      </c>
      <c r="B2211">
        <v>5</v>
      </c>
      <c r="C2211">
        <f>'0374 table 5'!E630</f>
        <v>206842.80000000002</v>
      </c>
      <c r="D2211">
        <f>'0374 table 5'!F630</f>
        <v>316.48333333333329</v>
      </c>
      <c r="E2211">
        <f>'0374 table 5'!G630</f>
        <v>1.3609560966995238</v>
      </c>
    </row>
    <row r="2212" spans="1:5" x14ac:dyDescent="0.35">
      <c r="A2212">
        <v>374</v>
      </c>
      <c r="B2212">
        <v>5</v>
      </c>
      <c r="C2212">
        <f>'0374 table 5'!E631</f>
        <v>206842.80000000002</v>
      </c>
      <c r="D2212">
        <f>'0374 table 5'!F631</f>
        <v>322.03888888888889</v>
      </c>
      <c r="E2212">
        <f>'0374 table 5'!G631</f>
        <v>1.3359844252004498</v>
      </c>
    </row>
    <row r="2213" spans="1:5" x14ac:dyDescent="0.35">
      <c r="A2213">
        <v>374</v>
      </c>
      <c r="B2213">
        <v>5</v>
      </c>
      <c r="C2213">
        <f>'0374 table 5'!E632</f>
        <v>206842.80000000002</v>
      </c>
      <c r="D2213">
        <f>'0374 table 5'!F632</f>
        <v>327.59444444444443</v>
      </c>
      <c r="E2213">
        <f>'0374 table 5'!G632</f>
        <v>1.3119126337553966</v>
      </c>
    </row>
    <row r="2214" spans="1:5" x14ac:dyDescent="0.35">
      <c r="A2214">
        <v>374</v>
      </c>
      <c r="B2214">
        <v>5</v>
      </c>
      <c r="C2214">
        <f>'0374 table 5'!E633</f>
        <v>206842.80000000002</v>
      </c>
      <c r="D2214">
        <f>'0374 table 5'!F633</f>
        <v>333.15</v>
      </c>
      <c r="E2214">
        <f>'0374 table 5'!G633</f>
        <v>1.2886929411225578</v>
      </c>
    </row>
    <row r="2215" spans="1:5" x14ac:dyDescent="0.35">
      <c r="A2215">
        <v>374</v>
      </c>
      <c r="B2215">
        <v>5</v>
      </c>
      <c r="C2215">
        <f>'0374 table 5'!E634</f>
        <v>206842.80000000002</v>
      </c>
      <c r="D2215">
        <f>'0374 table 5'!F634</f>
        <v>338.70555555555552</v>
      </c>
      <c r="E2215">
        <f>'0374 table 5'!G634</f>
        <v>1.2662808899726001</v>
      </c>
    </row>
    <row r="2216" spans="1:5" x14ac:dyDescent="0.35">
      <c r="A2216">
        <v>374</v>
      </c>
      <c r="B2216">
        <v>5</v>
      </c>
      <c r="C2216">
        <f>'0374 table 5'!E635</f>
        <v>206842.80000000002</v>
      </c>
      <c r="D2216">
        <f>'0374 table 5'!F635</f>
        <v>344.26111111111106</v>
      </c>
      <c r="E2216">
        <f>'0374 table 5'!G635</f>
        <v>1.2446350627935814</v>
      </c>
    </row>
    <row r="2217" spans="1:5" x14ac:dyDescent="0.35">
      <c r="A2217">
        <v>374</v>
      </c>
      <c r="B2217">
        <v>5</v>
      </c>
      <c r="C2217">
        <f>'0374 table 5'!E636</f>
        <v>206842.80000000002</v>
      </c>
      <c r="D2217">
        <f>'0374 table 5'!F636</f>
        <v>349.81666666666666</v>
      </c>
      <c r="E2217">
        <f>'0374 table 5'!G636</f>
        <v>1.2246523897670789</v>
      </c>
    </row>
    <row r="2218" spans="1:5" x14ac:dyDescent="0.35">
      <c r="A2218">
        <v>374</v>
      </c>
      <c r="B2218">
        <v>5</v>
      </c>
      <c r="C2218">
        <f>'0374 table 5'!E637</f>
        <v>206842.80000000002</v>
      </c>
      <c r="D2218">
        <f>'0374 table 5'!F637</f>
        <v>355.37222222222221</v>
      </c>
      <c r="E2218">
        <f>'0374 table 5'!G637</f>
        <v>1.2043949818160444</v>
      </c>
    </row>
    <row r="2219" spans="1:5" x14ac:dyDescent="0.35">
      <c r="A2219">
        <v>374</v>
      </c>
      <c r="B2219">
        <v>5</v>
      </c>
      <c r="C2219">
        <f>'0374 table 5'!E638</f>
        <v>206842.80000000002</v>
      </c>
      <c r="D2219">
        <f>'0374 table 5'!F638</f>
        <v>360.92777777777775</v>
      </c>
      <c r="E2219">
        <f>'0374 table 5'!G638</f>
        <v>1.1847968386208132</v>
      </c>
    </row>
    <row r="2220" spans="1:5" x14ac:dyDescent="0.35">
      <c r="A2220">
        <v>374</v>
      </c>
      <c r="B2220">
        <v>5</v>
      </c>
      <c r="C2220">
        <f>'0374 table 5'!E639</f>
        <v>206842.80000000002</v>
      </c>
      <c r="D2220">
        <f>'0374 table 5'!F639</f>
        <v>366.48333333333329</v>
      </c>
      <c r="E2220">
        <f>'0374 table 5'!G639</f>
        <v>1.1666754011765035</v>
      </c>
    </row>
    <row r="2221" spans="1:5" x14ac:dyDescent="0.35">
      <c r="A2221">
        <v>374</v>
      </c>
      <c r="B2221">
        <v>5</v>
      </c>
      <c r="C2221">
        <f>'0374 table 5'!E640</f>
        <v>206842.80000000002</v>
      </c>
      <c r="D2221">
        <f>'0374 table 5'!F640</f>
        <v>377.59444444444443</v>
      </c>
      <c r="E2221">
        <f>'0374 table 5'!G640</f>
        <v>1.1312466990221324</v>
      </c>
    </row>
    <row r="2222" spans="1:5" x14ac:dyDescent="0.35">
      <c r="A2222">
        <v>374</v>
      </c>
      <c r="B2222">
        <v>5</v>
      </c>
      <c r="C2222">
        <f>'0374 table 5'!E641</f>
        <v>206842.80000000002</v>
      </c>
      <c r="D2222">
        <f>'0374 table 5'!F641</f>
        <v>388.70555555555552</v>
      </c>
      <c r="E2222">
        <f>'0374 table 5'!G641</f>
        <v>1.0979063233826865</v>
      </c>
    </row>
    <row r="2223" spans="1:5" x14ac:dyDescent="0.35">
      <c r="A2223">
        <v>374</v>
      </c>
      <c r="B2223">
        <v>5</v>
      </c>
      <c r="C2223">
        <f>'0374 table 5'!E642</f>
        <v>206842.80000000002</v>
      </c>
      <c r="D2223">
        <f>'0374 table 5'!F642</f>
        <v>399.81666666666666</v>
      </c>
      <c r="E2223">
        <f>'0374 table 5'!G642</f>
        <v>1.0664749173204655</v>
      </c>
    </row>
    <row r="2224" spans="1:5" x14ac:dyDescent="0.35">
      <c r="A2224">
        <v>374</v>
      </c>
      <c r="B2224">
        <v>5</v>
      </c>
      <c r="C2224">
        <f>'0374 table 5'!E643</f>
        <v>206842.80000000002</v>
      </c>
      <c r="D2224">
        <f>'0374 table 5'!F643</f>
        <v>410.92777777777775</v>
      </c>
      <c r="E2224">
        <f>'0374 table 5'!G643</f>
        <v>1.0367930911426144</v>
      </c>
    </row>
    <row r="2225" spans="1:5" x14ac:dyDescent="0.35">
      <c r="A2225">
        <v>374</v>
      </c>
      <c r="B2225">
        <v>5</v>
      </c>
      <c r="C2225">
        <f>'0374 table 5'!E644</f>
        <v>213737.56</v>
      </c>
      <c r="D2225">
        <f>'0374 table 5'!F644</f>
        <v>260.92777777777775</v>
      </c>
      <c r="E2225">
        <f>'0374 table 5'!G644</f>
        <v>1.7462611204789482</v>
      </c>
    </row>
    <row r="2226" spans="1:5" x14ac:dyDescent="0.35">
      <c r="A2226">
        <v>374</v>
      </c>
      <c r="B2226">
        <v>5</v>
      </c>
      <c r="C2226">
        <f>'0374 table 5'!E645</f>
        <v>213737.56</v>
      </c>
      <c r="D2226">
        <f>'0374 table 5'!F645</f>
        <v>266.48333333333329</v>
      </c>
      <c r="E2226">
        <f>'0374 table 5'!G645</f>
        <v>1.7031848227701643</v>
      </c>
    </row>
    <row r="2227" spans="1:5" x14ac:dyDescent="0.35">
      <c r="A2227">
        <v>374</v>
      </c>
      <c r="B2227">
        <v>5</v>
      </c>
      <c r="C2227">
        <f>'0374 table 5'!E646</f>
        <v>213737.56</v>
      </c>
      <c r="D2227">
        <f>'0374 table 5'!F646</f>
        <v>272.03888888888889</v>
      </c>
      <c r="E2227">
        <f>'0374 table 5'!G646</f>
        <v>1.6628727559590359</v>
      </c>
    </row>
    <row r="2228" spans="1:5" x14ac:dyDescent="0.35">
      <c r="A2228">
        <v>374</v>
      </c>
      <c r="B2228">
        <v>5</v>
      </c>
      <c r="C2228">
        <f>'0374 table 5'!E647</f>
        <v>213737.56</v>
      </c>
      <c r="D2228">
        <f>'0374 table 5'!F647</f>
        <v>277.59444444444443</v>
      </c>
      <c r="E2228">
        <f>'0374 table 5'!G647</f>
        <v>1.6249191781449981</v>
      </c>
    </row>
    <row r="2229" spans="1:5" x14ac:dyDescent="0.35">
      <c r="A2229">
        <v>374</v>
      </c>
      <c r="B2229">
        <v>5</v>
      </c>
      <c r="C2229">
        <f>'0374 table 5'!E648</f>
        <v>213737.56</v>
      </c>
      <c r="D2229">
        <f>'0374 table 5'!F648</f>
        <v>283.14999999999998</v>
      </c>
      <c r="E2229">
        <f>'0374 table 5'!G648</f>
        <v>1.5891322676739477</v>
      </c>
    </row>
    <row r="2230" spans="1:5" x14ac:dyDescent="0.35">
      <c r="A2230">
        <v>374</v>
      </c>
      <c r="B2230">
        <v>5</v>
      </c>
      <c r="C2230">
        <f>'0374 table 5'!E649</f>
        <v>213737.56</v>
      </c>
      <c r="D2230">
        <f>'0374 table 5'!F649</f>
        <v>288.70555555555552</v>
      </c>
      <c r="E2230">
        <f>'0374 table 5'!G649</f>
        <v>1.5551896367139215</v>
      </c>
    </row>
    <row r="2231" spans="1:5" x14ac:dyDescent="0.35">
      <c r="A2231">
        <v>374</v>
      </c>
      <c r="B2231">
        <v>5</v>
      </c>
      <c r="C2231">
        <f>'0374 table 5'!E650</f>
        <v>213737.56</v>
      </c>
      <c r="D2231">
        <f>'0374 table 5'!F650</f>
        <v>294.26111111111106</v>
      </c>
      <c r="E2231">
        <f>'0374 table 5'!G650</f>
        <v>1.5226666595202845</v>
      </c>
    </row>
    <row r="2232" spans="1:5" x14ac:dyDescent="0.35">
      <c r="A2232">
        <v>374</v>
      </c>
      <c r="B2232">
        <v>5</v>
      </c>
      <c r="C2232">
        <f>'0374 table 5'!E651</f>
        <v>213737.56</v>
      </c>
      <c r="D2232">
        <f>'0374 table 5'!F651</f>
        <v>299.81666666666666</v>
      </c>
      <c r="E2232">
        <f>'0374 table 5'!G651</f>
        <v>1.4914760948001295</v>
      </c>
    </row>
    <row r="2233" spans="1:5" x14ac:dyDescent="0.35">
      <c r="A2233">
        <v>374</v>
      </c>
      <c r="B2233">
        <v>5</v>
      </c>
      <c r="C2233">
        <f>'0374 table 5'!E652</f>
        <v>213737.56</v>
      </c>
      <c r="D2233">
        <f>'0374 table 5'!F652</f>
        <v>305.37222222222221</v>
      </c>
      <c r="E2233">
        <f>'0374 table 5'!G652</f>
        <v>1.4615377060358934</v>
      </c>
    </row>
    <row r="2234" spans="1:5" x14ac:dyDescent="0.35">
      <c r="A2234">
        <v>374</v>
      </c>
      <c r="B2234">
        <v>5</v>
      </c>
      <c r="C2234">
        <f>'0374 table 5'!E653</f>
        <v>213737.56</v>
      </c>
      <c r="D2234">
        <f>'0374 table 5'!F653</f>
        <v>310.92777777777775</v>
      </c>
      <c r="E2234">
        <f>'0374 table 5'!G653</f>
        <v>1.4340602737827568</v>
      </c>
    </row>
    <row r="2235" spans="1:5" x14ac:dyDescent="0.35">
      <c r="A2235">
        <v>374</v>
      </c>
      <c r="B2235">
        <v>5</v>
      </c>
      <c r="C2235">
        <f>'0374 table 5'!E654</f>
        <v>213737.56</v>
      </c>
      <c r="D2235">
        <f>'0374 table 5'!F654</f>
        <v>316.48333333333329</v>
      </c>
      <c r="E2235">
        <f>'0374 table 5'!G654</f>
        <v>1.4075969471136549</v>
      </c>
    </row>
    <row r="2236" spans="1:5" x14ac:dyDescent="0.35">
      <c r="A2236">
        <v>374</v>
      </c>
      <c r="B2236">
        <v>5</v>
      </c>
      <c r="C2236">
        <f>'0374 table 5'!E655</f>
        <v>213737.56</v>
      </c>
      <c r="D2236">
        <f>'0374 table 5'!F655</f>
        <v>322.03888888888889</v>
      </c>
      <c r="E2236">
        <f>'0374 table 5'!G655</f>
        <v>1.3809011429442581</v>
      </c>
    </row>
    <row r="2237" spans="1:5" x14ac:dyDescent="0.35">
      <c r="A2237">
        <v>374</v>
      </c>
      <c r="B2237">
        <v>5</v>
      </c>
      <c r="C2237">
        <f>'0374 table 5'!E656</f>
        <v>213737.56</v>
      </c>
      <c r="D2237">
        <f>'0374 table 5'!F656</f>
        <v>327.59444444444443</v>
      </c>
      <c r="E2237">
        <f>'0374 table 5'!G656</f>
        <v>1.356346592561676</v>
      </c>
    </row>
    <row r="2238" spans="1:5" x14ac:dyDescent="0.35">
      <c r="A2238">
        <v>374</v>
      </c>
      <c r="B2238">
        <v>5</v>
      </c>
      <c r="C2238">
        <f>'0374 table 5'!E657</f>
        <v>213737.56</v>
      </c>
      <c r="D2238">
        <f>'0374 table 5'!F657</f>
        <v>333.15</v>
      </c>
      <c r="E2238">
        <f>'0374 table 5'!G657</f>
        <v>1.3326500214769879</v>
      </c>
    </row>
    <row r="2239" spans="1:5" x14ac:dyDescent="0.35">
      <c r="A2239">
        <v>374</v>
      </c>
      <c r="B2239">
        <v>5</v>
      </c>
      <c r="C2239">
        <f>'0374 table 5'!E658</f>
        <v>213737.56</v>
      </c>
      <c r="D2239">
        <f>'0374 table 5'!F658</f>
        <v>338.70555555555552</v>
      </c>
      <c r="E2239">
        <f>'0374 table 5'!G658</f>
        <v>1.3097672328825343</v>
      </c>
    </row>
    <row r="2240" spans="1:5" x14ac:dyDescent="0.35">
      <c r="A2240">
        <v>374</v>
      </c>
      <c r="B2240">
        <v>5</v>
      </c>
      <c r="C2240">
        <f>'0374 table 5'!E659</f>
        <v>213737.56</v>
      </c>
      <c r="D2240">
        <f>'0374 table 5'!F659</f>
        <v>344.26111111111106</v>
      </c>
      <c r="E2240">
        <f>'0374 table 5'!G659</f>
        <v>1.2876570143210124</v>
      </c>
    </row>
    <row r="2241" spans="1:5" x14ac:dyDescent="0.35">
      <c r="A2241">
        <v>374</v>
      </c>
      <c r="B2241">
        <v>5</v>
      </c>
      <c r="C2241">
        <f>'0374 table 5'!E660</f>
        <v>213737.56</v>
      </c>
      <c r="D2241">
        <f>'0374 table 5'!F660</f>
        <v>349.81666666666666</v>
      </c>
      <c r="E2241">
        <f>'0374 table 5'!G660</f>
        <v>1.2652806681005839</v>
      </c>
    </row>
    <row r="2242" spans="1:5" x14ac:dyDescent="0.35">
      <c r="A2242">
        <v>374</v>
      </c>
      <c r="B2242">
        <v>5</v>
      </c>
      <c r="C2242">
        <f>'0374 table 5'!E661</f>
        <v>213737.56</v>
      </c>
      <c r="D2242">
        <f>'0374 table 5'!F661</f>
        <v>355.37222222222221</v>
      </c>
      <c r="E2242">
        <f>'0374 table 5'!G661</f>
        <v>1.2446350627935814</v>
      </c>
    </row>
    <row r="2243" spans="1:5" x14ac:dyDescent="0.35">
      <c r="A2243">
        <v>374</v>
      </c>
      <c r="B2243">
        <v>5</v>
      </c>
      <c r="C2243">
        <f>'0374 table 5'!E662</f>
        <v>213737.56</v>
      </c>
      <c r="D2243">
        <f>'0374 table 5'!F662</f>
        <v>360.92777777777775</v>
      </c>
      <c r="E2243">
        <f>'0374 table 5'!G662</f>
        <v>1.2255893847095174</v>
      </c>
    </row>
    <row r="2244" spans="1:5" x14ac:dyDescent="0.35">
      <c r="A2244">
        <v>374</v>
      </c>
      <c r="B2244">
        <v>5</v>
      </c>
      <c r="C2244">
        <f>'0374 table 5'!E663</f>
        <v>213737.56</v>
      </c>
      <c r="D2244">
        <f>'0374 table 5'!F663</f>
        <v>366.48333333333329</v>
      </c>
      <c r="E2244">
        <f>'0374 table 5'!G663</f>
        <v>1.2062088296802254</v>
      </c>
    </row>
    <row r="2245" spans="1:5" x14ac:dyDescent="0.35">
      <c r="A2245">
        <v>374</v>
      </c>
      <c r="B2245">
        <v>5</v>
      </c>
      <c r="C2245">
        <f>'0374 table 5'!E664</f>
        <v>213737.56</v>
      </c>
      <c r="D2245">
        <f>'0374 table 5'!F664</f>
        <v>377.59444444444443</v>
      </c>
      <c r="E2245">
        <f>'0374 table 5'!G664</f>
        <v>1.1692301648287149</v>
      </c>
    </row>
    <row r="2246" spans="1:5" x14ac:dyDescent="0.35">
      <c r="A2246">
        <v>374</v>
      </c>
      <c r="B2246">
        <v>5</v>
      </c>
      <c r="C2246">
        <f>'0374 table 5'!E665</f>
        <v>213737.56</v>
      </c>
      <c r="D2246">
        <f>'0374 table 5'!F665</f>
        <v>388.70555555555552</v>
      </c>
      <c r="E2246">
        <f>'0374 table 5'!G665</f>
        <v>1.1344513638918834</v>
      </c>
    </row>
    <row r="2247" spans="1:5" x14ac:dyDescent="0.35">
      <c r="A2247">
        <v>374</v>
      </c>
      <c r="B2247">
        <v>5</v>
      </c>
      <c r="C2247">
        <f>'0374 table 5'!E666</f>
        <v>213737.56</v>
      </c>
      <c r="D2247">
        <f>'0374 table 5'!F666</f>
        <v>399.81666666666666</v>
      </c>
      <c r="E2247">
        <f>'0374 table 5'!G666</f>
        <v>1.1024400040022984</v>
      </c>
    </row>
    <row r="2248" spans="1:5" x14ac:dyDescent="0.35">
      <c r="A2248">
        <v>374</v>
      </c>
      <c r="B2248">
        <v>5</v>
      </c>
      <c r="C2248">
        <f>'0374 table 5'!E667</f>
        <v>213737.56</v>
      </c>
      <c r="D2248">
        <f>'0374 table 5'!F667</f>
        <v>410.92777777777775</v>
      </c>
      <c r="E2248">
        <f>'0374 table 5'!G667</f>
        <v>1.0714684453614312</v>
      </c>
    </row>
    <row r="2249" spans="1:5" x14ac:dyDescent="0.35">
      <c r="A2249">
        <v>374</v>
      </c>
      <c r="B2249">
        <v>5</v>
      </c>
      <c r="C2249">
        <f>'0374 table 5'!E668</f>
        <v>220632.32000000001</v>
      </c>
      <c r="D2249">
        <f>'0374 table 5'!F668</f>
        <v>260.92777777777775</v>
      </c>
      <c r="E2249">
        <f>'0374 table 5'!G668</f>
        <v>1.8050995332604678</v>
      </c>
    </row>
    <row r="2250" spans="1:5" x14ac:dyDescent="0.35">
      <c r="A2250">
        <v>374</v>
      </c>
      <c r="B2250">
        <v>5</v>
      </c>
      <c r="C2250">
        <f>'0374 table 5'!E669</f>
        <v>220632.32000000001</v>
      </c>
      <c r="D2250">
        <f>'0374 table 5'!F669</f>
        <v>266.48333333333329</v>
      </c>
      <c r="E2250">
        <f>'0374 table 5'!G669</f>
        <v>1.760463046285679</v>
      </c>
    </row>
    <row r="2251" spans="1:5" x14ac:dyDescent="0.35">
      <c r="A2251">
        <v>374</v>
      </c>
      <c r="B2251">
        <v>5</v>
      </c>
      <c r="C2251">
        <f>'0374 table 5'!E670</f>
        <v>220632.32000000001</v>
      </c>
      <c r="D2251">
        <f>'0374 table 5'!F670</f>
        <v>272.03888888888889</v>
      </c>
      <c r="E2251">
        <f>'0374 table 5'!G670</f>
        <v>1.7185337687108029</v>
      </c>
    </row>
    <row r="2252" spans="1:5" x14ac:dyDescent="0.35">
      <c r="A2252">
        <v>374</v>
      </c>
      <c r="B2252">
        <v>5</v>
      </c>
      <c r="C2252">
        <f>'0374 table 5'!E671</f>
        <v>220632.32000000001</v>
      </c>
      <c r="D2252">
        <f>'0374 table 5'!F671</f>
        <v>277.59444444444443</v>
      </c>
      <c r="E2252">
        <f>'0374 table 5'!G671</f>
        <v>1.6790831507498318</v>
      </c>
    </row>
    <row r="2253" spans="1:5" x14ac:dyDescent="0.35">
      <c r="A2253">
        <v>374</v>
      </c>
      <c r="B2253">
        <v>5</v>
      </c>
      <c r="C2253">
        <f>'0374 table 5'!E672</f>
        <v>220632.32000000001</v>
      </c>
      <c r="D2253">
        <f>'0374 table 5'!F672</f>
        <v>283.14999999999998</v>
      </c>
      <c r="E2253">
        <f>'0374 table 5'!G672</f>
        <v>1.6417395980479035</v>
      </c>
    </row>
    <row r="2254" spans="1:5" x14ac:dyDescent="0.35">
      <c r="A2254">
        <v>374</v>
      </c>
      <c r="B2254">
        <v>5</v>
      </c>
      <c r="C2254">
        <f>'0374 table 5'!E673</f>
        <v>220632.32000000001</v>
      </c>
      <c r="D2254">
        <f>'0374 table 5'!F673</f>
        <v>288.70555555555552</v>
      </c>
      <c r="E2254">
        <f>'0374 table 5'!G673</f>
        <v>1.6063430864574202</v>
      </c>
    </row>
    <row r="2255" spans="1:5" x14ac:dyDescent="0.35">
      <c r="A2255">
        <v>374</v>
      </c>
      <c r="B2255">
        <v>5</v>
      </c>
      <c r="C2255">
        <f>'0374 table 5'!E674</f>
        <v>220632.32000000001</v>
      </c>
      <c r="D2255">
        <f>'0374 table 5'!F674</f>
        <v>294.26111111111106</v>
      </c>
      <c r="E2255">
        <f>'0374 table 5'!G674</f>
        <v>1.5735219310563255</v>
      </c>
    </row>
    <row r="2256" spans="1:5" x14ac:dyDescent="0.35">
      <c r="A2256">
        <v>374</v>
      </c>
      <c r="B2256">
        <v>5</v>
      </c>
      <c r="C2256">
        <f>'0374 table 5'!E675</f>
        <v>220632.32000000001</v>
      </c>
      <c r="D2256">
        <f>'0374 table 5'!F675</f>
        <v>299.81666666666666</v>
      </c>
      <c r="E2256">
        <f>'0374 table 5'!G675</f>
        <v>1.540235890207057</v>
      </c>
    </row>
    <row r="2257" spans="1:5" x14ac:dyDescent="0.35">
      <c r="A2257">
        <v>374</v>
      </c>
      <c r="B2257">
        <v>5</v>
      </c>
      <c r="C2257">
        <f>'0374 table 5'!E676</f>
        <v>220632.32000000001</v>
      </c>
      <c r="D2257">
        <f>'0374 table 5'!F676</f>
        <v>305.37222222222221</v>
      </c>
      <c r="E2257">
        <f>'0374 table 5'!G676</f>
        <v>1.5097505427100277</v>
      </c>
    </row>
    <row r="2258" spans="1:5" x14ac:dyDescent="0.35">
      <c r="A2258">
        <v>374</v>
      </c>
      <c r="B2258">
        <v>5</v>
      </c>
      <c r="C2258">
        <f>'0374 table 5'!E677</f>
        <v>220632.32000000001</v>
      </c>
      <c r="D2258">
        <f>'0374 table 5'!F677</f>
        <v>310.92777777777775</v>
      </c>
      <c r="E2258">
        <f>'0374 table 5'!G677</f>
        <v>1.4818180627338937</v>
      </c>
    </row>
    <row r="2259" spans="1:5" x14ac:dyDescent="0.35">
      <c r="A2259">
        <v>374</v>
      </c>
      <c r="B2259">
        <v>5</v>
      </c>
      <c r="C2259">
        <f>'0374 table 5'!E678</f>
        <v>220632.32000000001</v>
      </c>
      <c r="D2259">
        <f>'0374 table 5'!F678</f>
        <v>316.48333333333329</v>
      </c>
      <c r="E2259">
        <f>'0374 table 5'!G678</f>
        <v>1.4535801504676402</v>
      </c>
    </row>
    <row r="2260" spans="1:5" x14ac:dyDescent="0.35">
      <c r="A2260">
        <v>374</v>
      </c>
      <c r="B2260">
        <v>5</v>
      </c>
      <c r="C2260">
        <f>'0374 table 5'!E679</f>
        <v>220632.32000000001</v>
      </c>
      <c r="D2260">
        <f>'0374 table 5'!F679</f>
        <v>322.03888888888889</v>
      </c>
      <c r="E2260">
        <f>'0374 table 5'!G679</f>
        <v>1.4263983310911303</v>
      </c>
    </row>
    <row r="2261" spans="1:5" x14ac:dyDescent="0.35">
      <c r="A2261">
        <v>374</v>
      </c>
      <c r="B2261">
        <v>5</v>
      </c>
      <c r="C2261">
        <f>'0374 table 5'!E680</f>
        <v>220632.32000000001</v>
      </c>
      <c r="D2261">
        <f>'0374 table 5'!F680</f>
        <v>327.59444444444443</v>
      </c>
      <c r="E2261">
        <f>'0374 table 5'!G680</f>
        <v>1.4002144456427792</v>
      </c>
    </row>
    <row r="2262" spans="1:5" x14ac:dyDescent="0.35">
      <c r="A2262">
        <v>374</v>
      </c>
      <c r="B2262">
        <v>5</v>
      </c>
      <c r="C2262">
        <f>'0374 table 5'!E681</f>
        <v>220632.32000000001</v>
      </c>
      <c r="D2262">
        <f>'0374 table 5'!F681</f>
        <v>333.15</v>
      </c>
      <c r="E2262">
        <f>'0374 table 5'!G681</f>
        <v>1.3761557781918723</v>
      </c>
    </row>
    <row r="2263" spans="1:5" x14ac:dyDescent="0.35">
      <c r="A2263">
        <v>374</v>
      </c>
      <c r="B2263">
        <v>5</v>
      </c>
      <c r="C2263">
        <f>'0374 table 5'!E682</f>
        <v>220632.32000000001</v>
      </c>
      <c r="D2263">
        <f>'0374 table 5'!F682</f>
        <v>338.70555555555552</v>
      </c>
      <c r="E2263">
        <f>'0374 table 5'!G682</f>
        <v>1.3517682074391049</v>
      </c>
    </row>
    <row r="2264" spans="1:5" x14ac:dyDescent="0.35">
      <c r="A2264">
        <v>374</v>
      </c>
      <c r="B2264">
        <v>5</v>
      </c>
      <c r="C2264">
        <f>'0374 table 5'!E683</f>
        <v>220632.32000000001</v>
      </c>
      <c r="D2264">
        <f>'0374 table 5'!F683</f>
        <v>344.26111111111106</v>
      </c>
      <c r="E2264">
        <f>'0374 table 5'!G683</f>
        <v>1.3293322205936426</v>
      </c>
    </row>
    <row r="2265" spans="1:5" x14ac:dyDescent="0.35">
      <c r="A2265">
        <v>374</v>
      </c>
      <c r="B2265">
        <v>5</v>
      </c>
      <c r="C2265">
        <f>'0374 table 5'!E684</f>
        <v>220632.32000000001</v>
      </c>
      <c r="D2265">
        <f>'0374 table 5'!F684</f>
        <v>349.81666666666666</v>
      </c>
      <c r="E2265">
        <f>'0374 table 5'!G684</f>
        <v>1.3065622559668346</v>
      </c>
    </row>
    <row r="2266" spans="1:5" x14ac:dyDescent="0.35">
      <c r="A2266">
        <v>374</v>
      </c>
      <c r="B2266">
        <v>5</v>
      </c>
      <c r="C2266">
        <f>'0374 table 5'!E685</f>
        <v>220632.32000000001</v>
      </c>
      <c r="D2266">
        <f>'0374 table 5'!F685</f>
        <v>355.37222222222221</v>
      </c>
      <c r="E2266">
        <f>'0374 table 5'!G685</f>
        <v>1.2855901491294859</v>
      </c>
    </row>
    <row r="2267" spans="1:5" x14ac:dyDescent="0.35">
      <c r="A2267">
        <v>374</v>
      </c>
      <c r="B2267">
        <v>5</v>
      </c>
      <c r="C2267">
        <f>'0374 table 5'!E686</f>
        <v>220632.32000000001</v>
      </c>
      <c r="D2267">
        <f>'0374 table 5'!F686</f>
        <v>360.92777777777775</v>
      </c>
      <c r="E2267">
        <f>'0374 table 5'!G686</f>
        <v>1.2652806681005839</v>
      </c>
    </row>
    <row r="2268" spans="1:5" x14ac:dyDescent="0.35">
      <c r="A2268">
        <v>374</v>
      </c>
      <c r="B2268">
        <v>5</v>
      </c>
      <c r="C2268">
        <f>'0374 table 5'!E687</f>
        <v>220632.32000000001</v>
      </c>
      <c r="D2268">
        <f>'0374 table 5'!F687</f>
        <v>366.48333333333329</v>
      </c>
      <c r="E2268">
        <f>'0374 table 5'!G687</f>
        <v>1.2456028972125501</v>
      </c>
    </row>
    <row r="2269" spans="1:5" x14ac:dyDescent="0.35">
      <c r="A2269">
        <v>374</v>
      </c>
      <c r="B2269">
        <v>5</v>
      </c>
      <c r="C2269">
        <f>'0374 table 5'!E688</f>
        <v>220632.32000000001</v>
      </c>
      <c r="D2269">
        <f>'0374 table 5'!F688</f>
        <v>377.59444444444443</v>
      </c>
      <c r="E2269">
        <f>'0374 table 5'!G688</f>
        <v>1.2071178039301729</v>
      </c>
    </row>
    <row r="2270" spans="1:5" x14ac:dyDescent="0.35">
      <c r="A2270">
        <v>374</v>
      </c>
      <c r="B2270">
        <v>5</v>
      </c>
      <c r="C2270">
        <f>'0374 table 5'!E689</f>
        <v>220632.32000000001</v>
      </c>
      <c r="D2270">
        <f>'0374 table 5'!F689</f>
        <v>388.70555555555552</v>
      </c>
      <c r="E2270">
        <f>'0374 table 5'!G689</f>
        <v>1.1717961417815212</v>
      </c>
    </row>
    <row r="2271" spans="1:5" x14ac:dyDescent="0.35">
      <c r="A2271">
        <v>374</v>
      </c>
      <c r="B2271">
        <v>5</v>
      </c>
      <c r="C2271">
        <f>'0374 table 5'!E690</f>
        <v>220632.32000000001</v>
      </c>
      <c r="D2271">
        <f>'0374 table 5'!F690</f>
        <v>399.81666666666666</v>
      </c>
      <c r="E2271">
        <f>'0374 table 5'!G690</f>
        <v>1.1376742370847581</v>
      </c>
    </row>
    <row r="2272" spans="1:5" x14ac:dyDescent="0.35">
      <c r="A2272">
        <v>374</v>
      </c>
      <c r="B2272">
        <v>5</v>
      </c>
      <c r="C2272">
        <f>'0374 table 5'!E691</f>
        <v>220632.32000000001</v>
      </c>
      <c r="D2272">
        <f>'0374 table 5'!F691</f>
        <v>410.92777777777775</v>
      </c>
      <c r="E2272">
        <f>'0374 table 5'!G691</f>
        <v>1.1062467719719193</v>
      </c>
    </row>
    <row r="2273" spans="1:5" x14ac:dyDescent="0.35">
      <c r="A2273">
        <v>374</v>
      </c>
      <c r="B2273">
        <v>5</v>
      </c>
      <c r="C2273">
        <f>'0374 table 5'!E692</f>
        <v>227527.08000000002</v>
      </c>
      <c r="D2273">
        <f>'0374 table 5'!F692</f>
        <v>260.92777777777775</v>
      </c>
      <c r="E2273">
        <f>'0374 table 5'!G692</f>
        <v>1.864345118500162</v>
      </c>
    </row>
    <row r="2274" spans="1:5" x14ac:dyDescent="0.35">
      <c r="A2274">
        <v>374</v>
      </c>
      <c r="B2274">
        <v>5</v>
      </c>
      <c r="C2274">
        <f>'0374 table 5'!E693</f>
        <v>227527.08000000002</v>
      </c>
      <c r="D2274">
        <f>'0374 table 5'!F693</f>
        <v>266.48333333333329</v>
      </c>
      <c r="E2274">
        <f>'0374 table 5'!G693</f>
        <v>1.8177999612066946</v>
      </c>
    </row>
    <row r="2275" spans="1:5" x14ac:dyDescent="0.35">
      <c r="A2275">
        <v>374</v>
      </c>
      <c r="B2275">
        <v>5</v>
      </c>
      <c r="C2275">
        <f>'0374 table 5'!E694</f>
        <v>227527.08000000002</v>
      </c>
      <c r="D2275">
        <f>'0374 table 5'!F694</f>
        <v>272.03888888888889</v>
      </c>
      <c r="E2275">
        <f>'0374 table 5'!G694</f>
        <v>1.7743080702429543</v>
      </c>
    </row>
    <row r="2276" spans="1:5" x14ac:dyDescent="0.35">
      <c r="A2276">
        <v>374</v>
      </c>
      <c r="B2276">
        <v>5</v>
      </c>
      <c r="C2276">
        <f>'0374 table 5'!E695</f>
        <v>227527.08000000002</v>
      </c>
      <c r="D2276">
        <f>'0374 table 5'!F695</f>
        <v>277.59444444444443</v>
      </c>
      <c r="E2276">
        <f>'0374 table 5'!G695</f>
        <v>1.7332236808216179</v>
      </c>
    </row>
    <row r="2277" spans="1:5" x14ac:dyDescent="0.35">
      <c r="A2277">
        <v>374</v>
      </c>
      <c r="B2277">
        <v>5</v>
      </c>
      <c r="C2277">
        <f>'0374 table 5'!E696</f>
        <v>227527.08000000002</v>
      </c>
      <c r="D2277">
        <f>'0374 table 5'!F696</f>
        <v>283.14999999999998</v>
      </c>
      <c r="E2277">
        <f>'0374 table 5'!G696</f>
        <v>1.694715748852454</v>
      </c>
    </row>
    <row r="2278" spans="1:5" x14ac:dyDescent="0.35">
      <c r="A2278">
        <v>374</v>
      </c>
      <c r="B2278">
        <v>5</v>
      </c>
      <c r="C2278">
        <f>'0374 table 5'!E697</f>
        <v>227527.08000000002</v>
      </c>
      <c r="D2278">
        <f>'0374 table 5'!F697</f>
        <v>288.70555555555552</v>
      </c>
      <c r="E2278">
        <f>'0374 table 5'!G697</f>
        <v>1.6580533338322527</v>
      </c>
    </row>
    <row r="2279" spans="1:5" x14ac:dyDescent="0.35">
      <c r="A2279">
        <v>374</v>
      </c>
      <c r="B2279">
        <v>5</v>
      </c>
      <c r="C2279">
        <f>'0374 table 5'!E698</f>
        <v>227527.08000000002</v>
      </c>
      <c r="D2279">
        <f>'0374 table 5'!F698</f>
        <v>294.26111111111106</v>
      </c>
      <c r="E2279">
        <f>'0374 table 5'!G698</f>
        <v>1.6232725231205303</v>
      </c>
    </row>
    <row r="2280" spans="1:5" x14ac:dyDescent="0.35">
      <c r="A2280">
        <v>374</v>
      </c>
      <c r="B2280">
        <v>5</v>
      </c>
      <c r="C2280">
        <f>'0374 table 5'!E699</f>
        <v>227527.08000000002</v>
      </c>
      <c r="D2280">
        <f>'0374 table 5'!F699</f>
        <v>299.81666666666666</v>
      </c>
      <c r="E2280">
        <f>'0374 table 5'!G699</f>
        <v>1.5907103533419458</v>
      </c>
    </row>
    <row r="2281" spans="1:5" x14ac:dyDescent="0.35">
      <c r="A2281">
        <v>374</v>
      </c>
      <c r="B2281">
        <v>5</v>
      </c>
      <c r="C2281">
        <f>'0374 table 5'!E700</f>
        <v>227527.08000000002</v>
      </c>
      <c r="D2281">
        <f>'0374 table 5'!F700</f>
        <v>305.37222222222221</v>
      </c>
      <c r="E2281">
        <f>'0374 table 5'!G700</f>
        <v>1.5582152974857386</v>
      </c>
    </row>
    <row r="2282" spans="1:5" x14ac:dyDescent="0.35">
      <c r="A2282">
        <v>374</v>
      </c>
      <c r="B2282">
        <v>5</v>
      </c>
      <c r="C2282">
        <f>'0374 table 5'!E701</f>
        <v>227527.08000000002</v>
      </c>
      <c r="D2282">
        <f>'0374 table 5'!F701</f>
        <v>310.92777777777775</v>
      </c>
      <c r="E2282">
        <f>'0374 table 5'!G701</f>
        <v>1.5284783643276139</v>
      </c>
    </row>
    <row r="2283" spans="1:5" x14ac:dyDescent="0.35">
      <c r="A2283">
        <v>374</v>
      </c>
      <c r="B2283">
        <v>5</v>
      </c>
      <c r="C2283">
        <f>'0374 table 5'!E702</f>
        <v>227527.08000000002</v>
      </c>
      <c r="D2283">
        <f>'0374 table 5'!F702</f>
        <v>316.48333333333329</v>
      </c>
      <c r="E2283">
        <f>'0374 table 5'!G702</f>
        <v>1.4998551739844002</v>
      </c>
    </row>
    <row r="2284" spans="1:5" x14ac:dyDescent="0.35">
      <c r="A2284">
        <v>374</v>
      </c>
      <c r="B2284">
        <v>5</v>
      </c>
      <c r="C2284">
        <f>'0374 table 5'!E703</f>
        <v>227527.08000000002</v>
      </c>
      <c r="D2284">
        <f>'0374 table 5'!F703</f>
        <v>322.03888888888889</v>
      </c>
      <c r="E2284">
        <f>'0374 table 5'!G703</f>
        <v>1.4722843068155691</v>
      </c>
    </row>
    <row r="2285" spans="1:5" x14ac:dyDescent="0.35">
      <c r="A2285">
        <v>374</v>
      </c>
      <c r="B2285">
        <v>5</v>
      </c>
      <c r="C2285">
        <f>'0374 table 5'!E704</f>
        <v>227527.08000000002</v>
      </c>
      <c r="D2285">
        <f>'0374 table 5'!F704</f>
        <v>327.59444444444443</v>
      </c>
      <c r="E2285">
        <f>'0374 table 5'!G704</f>
        <v>1.4457087778116779</v>
      </c>
    </row>
    <row r="2286" spans="1:5" x14ac:dyDescent="0.35">
      <c r="A2286">
        <v>374</v>
      </c>
      <c r="B2286">
        <v>5</v>
      </c>
      <c r="C2286">
        <f>'0374 table 5'!E705</f>
        <v>227527.08000000002</v>
      </c>
      <c r="D2286">
        <f>'0374 table 5'!F705</f>
        <v>333.15</v>
      </c>
      <c r="E2286">
        <f>'0374 table 5'!G705</f>
        <v>1.4200756434533151</v>
      </c>
    </row>
    <row r="2287" spans="1:5" x14ac:dyDescent="0.35">
      <c r="A2287">
        <v>374</v>
      </c>
      <c r="B2287">
        <v>5</v>
      </c>
      <c r="C2287">
        <f>'0374 table 5'!E706</f>
        <v>227527.08000000002</v>
      </c>
      <c r="D2287">
        <f>'0374 table 5'!F706</f>
        <v>338.70555555555552</v>
      </c>
      <c r="E2287">
        <f>'0374 table 5'!G706</f>
        <v>1.3953356496649296</v>
      </c>
    </row>
    <row r="2288" spans="1:5" x14ac:dyDescent="0.35">
      <c r="A2288">
        <v>374</v>
      </c>
      <c r="B2288">
        <v>5</v>
      </c>
      <c r="C2288">
        <f>'0374 table 5'!E707</f>
        <v>227527.08000000002</v>
      </c>
      <c r="D2288">
        <f>'0374 table 5'!F707</f>
        <v>344.26111111111106</v>
      </c>
      <c r="E2288">
        <f>'0374 table 5'!G707</f>
        <v>1.3714429159377906</v>
      </c>
    </row>
    <row r="2289" spans="1:5" x14ac:dyDescent="0.35">
      <c r="A2289">
        <v>374</v>
      </c>
      <c r="B2289">
        <v>5</v>
      </c>
      <c r="C2289">
        <f>'0374 table 5'!E708</f>
        <v>227527.08000000002</v>
      </c>
      <c r="D2289">
        <f>'0374 table 5'!F708</f>
        <v>349.81666666666666</v>
      </c>
      <c r="E2289">
        <f>'0374 table 5'!G708</f>
        <v>1.3483546513597133</v>
      </c>
    </row>
    <row r="2290" spans="1:5" x14ac:dyDescent="0.35">
      <c r="A2290">
        <v>374</v>
      </c>
      <c r="B2290">
        <v>5</v>
      </c>
      <c r="C2290">
        <f>'0374 table 5'!E709</f>
        <v>227527.08000000002</v>
      </c>
      <c r="D2290">
        <f>'0374 table 5'!F709</f>
        <v>355.37222222222221</v>
      </c>
      <c r="E2290">
        <f>'0374 table 5'!G709</f>
        <v>1.3260308988537577</v>
      </c>
    </row>
    <row r="2291" spans="1:5" x14ac:dyDescent="0.35">
      <c r="A2291">
        <v>374</v>
      </c>
      <c r="B2291">
        <v>5</v>
      </c>
      <c r="C2291">
        <f>'0374 table 5'!E710</f>
        <v>227527.08000000002</v>
      </c>
      <c r="D2291">
        <f>'0374 table 5'!F710</f>
        <v>360.92777777777775</v>
      </c>
      <c r="E2291">
        <f>'0374 table 5'!G710</f>
        <v>1.3054974130524364</v>
      </c>
    </row>
    <row r="2292" spans="1:5" x14ac:dyDescent="0.35">
      <c r="A2292">
        <v>374</v>
      </c>
      <c r="B2292">
        <v>5</v>
      </c>
      <c r="C2292">
        <f>'0374 table 5'!E711</f>
        <v>227527.08000000002</v>
      </c>
      <c r="D2292">
        <f>'0374 table 5'!F711</f>
        <v>366.48333333333329</v>
      </c>
      <c r="E2292">
        <f>'0374 table 5'!G711</f>
        <v>1.2845592027388446</v>
      </c>
    </row>
    <row r="2293" spans="1:5" x14ac:dyDescent="0.35">
      <c r="A2293">
        <v>374</v>
      </c>
      <c r="B2293">
        <v>5</v>
      </c>
      <c r="C2293">
        <f>'0374 table 5'!E712</f>
        <v>227527.08000000002</v>
      </c>
      <c r="D2293">
        <f>'0374 table 5'!F712</f>
        <v>377.59444444444443</v>
      </c>
      <c r="E2293">
        <f>'0374 table 5'!G712</f>
        <v>1.2456028972125501</v>
      </c>
    </row>
    <row r="2294" spans="1:5" x14ac:dyDescent="0.35">
      <c r="A2294">
        <v>374</v>
      </c>
      <c r="B2294">
        <v>5</v>
      </c>
      <c r="C2294">
        <f>'0374 table 5'!E713</f>
        <v>227527.08000000002</v>
      </c>
      <c r="D2294">
        <f>'0374 table 5'!F713</f>
        <v>388.70555555555552</v>
      </c>
      <c r="E2294">
        <f>'0374 table 5'!G713</f>
        <v>1.2080281491820055</v>
      </c>
    </row>
    <row r="2295" spans="1:5" x14ac:dyDescent="0.35">
      <c r="A2295">
        <v>374</v>
      </c>
      <c r="B2295">
        <v>5</v>
      </c>
      <c r="C2295">
        <f>'0374 table 5'!E714</f>
        <v>227527.08000000002</v>
      </c>
      <c r="D2295">
        <f>'0374 table 5'!F714</f>
        <v>399.81666666666666</v>
      </c>
      <c r="E2295">
        <f>'0374 table 5'!G714</f>
        <v>1.1735130592053769</v>
      </c>
    </row>
    <row r="2296" spans="1:5" x14ac:dyDescent="0.35">
      <c r="A2296">
        <v>374</v>
      </c>
      <c r="B2296">
        <v>5</v>
      </c>
      <c r="C2296">
        <f>'0374 table 5'!E715</f>
        <v>227527.08000000002</v>
      </c>
      <c r="D2296">
        <f>'0374 table 5'!F715</f>
        <v>410.92777777777775</v>
      </c>
      <c r="E2296">
        <f>'0374 table 5'!G715</f>
        <v>1.1409154742274497</v>
      </c>
    </row>
    <row r="2297" spans="1:5" x14ac:dyDescent="0.35">
      <c r="A2297">
        <v>374</v>
      </c>
      <c r="B2297">
        <v>5</v>
      </c>
      <c r="C2297">
        <f>'0374 table 5'!E716</f>
        <v>234421.84</v>
      </c>
      <c r="D2297">
        <f>'0374 table 5'!F716</f>
        <v>260.92777777777775</v>
      </c>
      <c r="E2297">
        <f>'0374 table 5'!G716</f>
        <v>1.9234453960318678</v>
      </c>
    </row>
    <row r="2298" spans="1:5" x14ac:dyDescent="0.35">
      <c r="A2298">
        <v>374</v>
      </c>
      <c r="B2298">
        <v>5</v>
      </c>
      <c r="C2298">
        <f>'0374 table 5'!E717</f>
        <v>234421.84</v>
      </c>
      <c r="D2298">
        <f>'0374 table 5'!F717</f>
        <v>266.48333333333329</v>
      </c>
      <c r="E2298">
        <f>'0374 table 5'!G717</f>
        <v>1.8752579323523055</v>
      </c>
    </row>
    <row r="2299" spans="1:5" x14ac:dyDescent="0.35">
      <c r="A2299">
        <v>374</v>
      </c>
      <c r="B2299">
        <v>5</v>
      </c>
      <c r="C2299">
        <f>'0374 table 5'!E718</f>
        <v>234421.84</v>
      </c>
      <c r="D2299">
        <f>'0374 table 5'!F718</f>
        <v>272.03888888888889</v>
      </c>
      <c r="E2299">
        <f>'0374 table 5'!G718</f>
        <v>1.8300529256430245</v>
      </c>
    </row>
    <row r="2300" spans="1:5" x14ac:dyDescent="0.35">
      <c r="A2300">
        <v>374</v>
      </c>
      <c r="B2300">
        <v>5</v>
      </c>
      <c r="C2300">
        <f>'0374 table 5'!E719</f>
        <v>234421.84</v>
      </c>
      <c r="D2300">
        <f>'0374 table 5'!F719</f>
        <v>277.59444444444443</v>
      </c>
      <c r="E2300">
        <f>'0374 table 5'!G719</f>
        <v>1.7877738011331912</v>
      </c>
    </row>
    <row r="2301" spans="1:5" x14ac:dyDescent="0.35">
      <c r="A2301">
        <v>374</v>
      </c>
      <c r="B2301">
        <v>5</v>
      </c>
      <c r="C2301">
        <f>'0374 table 5'!E720</f>
        <v>234421.84</v>
      </c>
      <c r="D2301">
        <f>'0374 table 5'!F720</f>
        <v>283.14999999999998</v>
      </c>
      <c r="E2301">
        <f>'0374 table 5'!G720</f>
        <v>1.7475947259604399</v>
      </c>
    </row>
    <row r="2302" spans="1:5" x14ac:dyDescent="0.35">
      <c r="A2302">
        <v>374</v>
      </c>
      <c r="B2302">
        <v>5</v>
      </c>
      <c r="C2302">
        <f>'0374 table 5'!E721</f>
        <v>234421.84</v>
      </c>
      <c r="D2302">
        <f>'0374 table 5'!F721</f>
        <v>288.70555555555552</v>
      </c>
      <c r="E2302">
        <f>'0374 table 5'!G721</f>
        <v>1.7097292409172156</v>
      </c>
    </row>
    <row r="2303" spans="1:5" x14ac:dyDescent="0.35">
      <c r="A2303">
        <v>374</v>
      </c>
      <c r="B2303">
        <v>5</v>
      </c>
      <c r="C2303">
        <f>'0374 table 5'!E722</f>
        <v>234421.84</v>
      </c>
      <c r="D2303">
        <f>'0374 table 5'!F722</f>
        <v>294.26111111111106</v>
      </c>
      <c r="E2303">
        <f>'0374 table 5'!G722</f>
        <v>1.6738195672051612</v>
      </c>
    </row>
    <row r="2304" spans="1:5" x14ac:dyDescent="0.35">
      <c r="A2304">
        <v>374</v>
      </c>
      <c r="B2304">
        <v>5</v>
      </c>
      <c r="C2304">
        <f>'0374 table 5'!E723</f>
        <v>234421.84</v>
      </c>
      <c r="D2304">
        <f>'0374 table 5'!F723</f>
        <v>299.81666666666666</v>
      </c>
      <c r="E2304">
        <f>'0374 table 5'!G723</f>
        <v>1.6395550929532645</v>
      </c>
    </row>
    <row r="2305" spans="1:5" x14ac:dyDescent="0.35">
      <c r="A2305">
        <v>374</v>
      </c>
      <c r="B2305">
        <v>5</v>
      </c>
      <c r="C2305">
        <f>'0374 table 5'!E724</f>
        <v>234421.84</v>
      </c>
      <c r="D2305">
        <f>'0374 table 5'!F724</f>
        <v>305.37222222222221</v>
      </c>
      <c r="E2305">
        <f>'0374 table 5'!G724</f>
        <v>1.6068264879279159</v>
      </c>
    </row>
    <row r="2306" spans="1:5" x14ac:dyDescent="0.35">
      <c r="A2306">
        <v>374</v>
      </c>
      <c r="B2306">
        <v>5</v>
      </c>
      <c r="C2306">
        <f>'0374 table 5'!E725</f>
        <v>234421.84</v>
      </c>
      <c r="D2306">
        <f>'0374 table 5'!F725</f>
        <v>310.92777777777775</v>
      </c>
      <c r="E2306">
        <f>'0374 table 5'!G725</f>
        <v>1.575069150260904</v>
      </c>
    </row>
    <row r="2307" spans="1:5" x14ac:dyDescent="0.35">
      <c r="A2307">
        <v>374</v>
      </c>
      <c r="B2307">
        <v>5</v>
      </c>
      <c r="C2307">
        <f>'0374 table 5'!E726</f>
        <v>234421.84</v>
      </c>
      <c r="D2307">
        <f>'0374 table 5'!F726</f>
        <v>316.48333333333329</v>
      </c>
      <c r="E2307">
        <f>'0374 table 5'!G726</f>
        <v>1.5461827469260034</v>
      </c>
    </row>
    <row r="2308" spans="1:5" x14ac:dyDescent="0.35">
      <c r="A2308">
        <v>374</v>
      </c>
      <c r="B2308">
        <v>5</v>
      </c>
      <c r="C2308">
        <f>'0374 table 5'!E727</f>
        <v>234421.84</v>
      </c>
      <c r="D2308">
        <f>'0374 table 5'!F727</f>
        <v>322.03888888888889</v>
      </c>
      <c r="E2308">
        <f>'0374 table 5'!G727</f>
        <v>1.5168989827796773</v>
      </c>
    </row>
    <row r="2309" spans="1:5" x14ac:dyDescent="0.35">
      <c r="A2309">
        <v>374</v>
      </c>
      <c r="B2309">
        <v>5</v>
      </c>
      <c r="C2309">
        <f>'0374 table 5'!E728</f>
        <v>234421.84</v>
      </c>
      <c r="D2309">
        <f>'0374 table 5'!F728</f>
        <v>327.59444444444443</v>
      </c>
      <c r="E2309">
        <f>'0374 table 5'!G728</f>
        <v>1.4900886751770599</v>
      </c>
    </row>
    <row r="2310" spans="1:5" x14ac:dyDescent="0.35">
      <c r="A2310">
        <v>374</v>
      </c>
      <c r="B2310">
        <v>5</v>
      </c>
      <c r="C2310">
        <f>'0374 table 5'!E729</f>
        <v>234421.84</v>
      </c>
      <c r="D2310">
        <f>'0374 table 5'!F729</f>
        <v>333.15</v>
      </c>
      <c r="E2310">
        <f>'0374 table 5'!G729</f>
        <v>1.4628724436669767</v>
      </c>
    </row>
    <row r="2311" spans="1:5" x14ac:dyDescent="0.35">
      <c r="A2311">
        <v>374</v>
      </c>
      <c r="B2311">
        <v>5</v>
      </c>
      <c r="C2311">
        <f>'0374 table 5'!E730</f>
        <v>234421.84</v>
      </c>
      <c r="D2311">
        <f>'0374 table 5'!F730</f>
        <v>338.70555555555552</v>
      </c>
      <c r="E2311">
        <f>'0374 table 5'!G730</f>
        <v>1.4340602737827568</v>
      </c>
    </row>
    <row r="2312" spans="1:5" x14ac:dyDescent="0.35">
      <c r="A2312">
        <v>374</v>
      </c>
      <c r="B2312">
        <v>5</v>
      </c>
      <c r="C2312">
        <f>'0374 table 5'!E731</f>
        <v>234421.84</v>
      </c>
      <c r="D2312">
        <f>'0374 table 5'!F731</f>
        <v>344.26111111111106</v>
      </c>
      <c r="E2312">
        <f>'0374 table 5'!G731</f>
        <v>1.4138087606490197</v>
      </c>
    </row>
    <row r="2313" spans="1:5" x14ac:dyDescent="0.35">
      <c r="A2313">
        <v>374</v>
      </c>
      <c r="B2313">
        <v>5</v>
      </c>
      <c r="C2313">
        <f>'0374 table 5'!E732</f>
        <v>234421.84</v>
      </c>
      <c r="D2313">
        <f>'0374 table 5'!F732</f>
        <v>349.81666666666666</v>
      </c>
      <c r="E2313">
        <f>'0374 table 5'!G732</f>
        <v>1.3892847578623932</v>
      </c>
    </row>
    <row r="2314" spans="1:5" x14ac:dyDescent="0.35">
      <c r="A2314">
        <v>374</v>
      </c>
      <c r="B2314">
        <v>5</v>
      </c>
      <c r="C2314">
        <f>'0374 table 5'!E733</f>
        <v>234421.84</v>
      </c>
      <c r="D2314">
        <f>'0374 table 5'!F733</f>
        <v>355.37222222222221</v>
      </c>
      <c r="E2314">
        <f>'0374 table 5'!G733</f>
        <v>1.3667622233919277</v>
      </c>
    </row>
    <row r="2315" spans="1:5" x14ac:dyDescent="0.35">
      <c r="A2315">
        <v>374</v>
      </c>
      <c r="B2315">
        <v>5</v>
      </c>
      <c r="C2315">
        <f>'0374 table 5'!E734</f>
        <v>234421.84</v>
      </c>
      <c r="D2315">
        <f>'0374 table 5'!F734</f>
        <v>360.92777777777775</v>
      </c>
      <c r="E2315">
        <f>'0374 table 5'!G734</f>
        <v>1.3449582920363892</v>
      </c>
    </row>
    <row r="2316" spans="1:5" x14ac:dyDescent="0.35">
      <c r="A2316">
        <v>374</v>
      </c>
      <c r="B2316">
        <v>5</v>
      </c>
      <c r="C2316">
        <f>'0374 table 5'!E735</f>
        <v>234421.84</v>
      </c>
      <c r="D2316">
        <f>'0374 table 5'!F735</f>
        <v>366.48333333333329</v>
      </c>
      <c r="E2316">
        <f>'0374 table 5'!G735</f>
        <v>1.3238391122440822</v>
      </c>
    </row>
    <row r="2317" spans="1:5" x14ac:dyDescent="0.35">
      <c r="A2317">
        <v>374</v>
      </c>
      <c r="B2317">
        <v>5</v>
      </c>
      <c r="C2317">
        <f>'0374 table 5'!E736</f>
        <v>234421.84</v>
      </c>
      <c r="D2317">
        <f>'0374 table 5'!F736</f>
        <v>377.59444444444443</v>
      </c>
      <c r="E2317">
        <f>'0374 table 5'!G736</f>
        <v>1.2835299085058807</v>
      </c>
    </row>
    <row r="2318" spans="1:5" x14ac:dyDescent="0.35">
      <c r="A2318">
        <v>374</v>
      </c>
      <c r="B2318">
        <v>5</v>
      </c>
      <c r="C2318">
        <f>'0374 table 5'!E737</f>
        <v>234421.84</v>
      </c>
      <c r="D2318">
        <f>'0374 table 5'!F737</f>
        <v>388.70555555555552</v>
      </c>
      <c r="E2318">
        <f>'0374 table 5'!G737</f>
        <v>1.2485154527009661</v>
      </c>
    </row>
    <row r="2319" spans="1:5" x14ac:dyDescent="0.35">
      <c r="A2319">
        <v>374</v>
      </c>
      <c r="B2319">
        <v>5</v>
      </c>
      <c r="C2319">
        <f>'0374 table 5'!E738</f>
        <v>234421.84</v>
      </c>
      <c r="D2319">
        <f>'0374 table 5'!F738</f>
        <v>399.81666666666666</v>
      </c>
      <c r="E2319">
        <f>'0374 table 5'!G738</f>
        <v>1.2098529651173258</v>
      </c>
    </row>
    <row r="2320" spans="1:5" x14ac:dyDescent="0.35">
      <c r="A2320">
        <v>374</v>
      </c>
      <c r="B2320">
        <v>5</v>
      </c>
      <c r="C2320">
        <f>'0374 table 5'!E739</f>
        <v>234421.84</v>
      </c>
      <c r="D2320">
        <f>'0374 table 5'!F739</f>
        <v>410.92777777777775</v>
      </c>
      <c r="E2320">
        <f>'0374 table 5'!G739</f>
        <v>1.1760978897322609</v>
      </c>
    </row>
    <row r="2321" spans="1:5" x14ac:dyDescent="0.35">
      <c r="A2321">
        <v>374</v>
      </c>
      <c r="B2321">
        <v>5</v>
      </c>
      <c r="C2321">
        <f>'0374 table 5'!E740</f>
        <v>241316.6</v>
      </c>
      <c r="D2321">
        <f>'0374 table 5'!F740</f>
        <v>260.92777777777775</v>
      </c>
      <c r="E2321">
        <f>'0374 table 5'!G740</f>
        <v>1.9829726737005937</v>
      </c>
    </row>
    <row r="2322" spans="1:5" x14ac:dyDescent="0.35">
      <c r="A2322">
        <v>374</v>
      </c>
      <c r="B2322">
        <v>5</v>
      </c>
      <c r="C2322">
        <f>'0374 table 5'!E741</f>
        <v>241316.6</v>
      </c>
      <c r="D2322">
        <f>'0374 table 5'!F741</f>
        <v>266.48333333333329</v>
      </c>
      <c r="E2322">
        <f>'0374 table 5'!G741</f>
        <v>1.9329616577957514</v>
      </c>
    </row>
    <row r="2323" spans="1:5" x14ac:dyDescent="0.35">
      <c r="A2323">
        <v>374</v>
      </c>
      <c r="B2323">
        <v>5</v>
      </c>
      <c r="C2323">
        <f>'0374 table 5'!E742</f>
        <v>241316.6</v>
      </c>
      <c r="D2323">
        <f>'0374 table 5'!F742</f>
        <v>272.03888888888889</v>
      </c>
      <c r="E2323">
        <f>'0374 table 5'!G742</f>
        <v>1.8860771527320608</v>
      </c>
    </row>
    <row r="2324" spans="1:5" x14ac:dyDescent="0.35">
      <c r="A2324">
        <v>374</v>
      </c>
      <c r="B2324">
        <v>5</v>
      </c>
      <c r="C2324">
        <f>'0374 table 5'!E743</f>
        <v>241316.6</v>
      </c>
      <c r="D2324">
        <f>'0374 table 5'!F743</f>
        <v>277.59444444444443</v>
      </c>
      <c r="E2324">
        <f>'0374 table 5'!G743</f>
        <v>1.8422602942097057</v>
      </c>
    </row>
    <row r="2325" spans="1:5" x14ac:dyDescent="0.35">
      <c r="A2325">
        <v>374</v>
      </c>
      <c r="B2325">
        <v>5</v>
      </c>
      <c r="C2325">
        <f>'0374 table 5'!E744</f>
        <v>241316.6</v>
      </c>
      <c r="D2325">
        <f>'0374 table 5'!F744</f>
        <v>283.14999999999998</v>
      </c>
      <c r="E2325">
        <f>'0374 table 5'!G744</f>
        <v>1.8008379154753678</v>
      </c>
    </row>
    <row r="2326" spans="1:5" x14ac:dyDescent="0.35">
      <c r="A2326">
        <v>374</v>
      </c>
      <c r="B2326">
        <v>5</v>
      </c>
      <c r="C2326">
        <f>'0374 table 5'!E745</f>
        <v>241316.6</v>
      </c>
      <c r="D2326">
        <f>'0374 table 5'!F745</f>
        <v>288.70555555555552</v>
      </c>
      <c r="E2326">
        <f>'0374 table 5'!G745</f>
        <v>1.7616246847193877</v>
      </c>
    </row>
    <row r="2327" spans="1:5" x14ac:dyDescent="0.35">
      <c r="A2327">
        <v>374</v>
      </c>
      <c r="B2327">
        <v>5</v>
      </c>
      <c r="C2327">
        <f>'0374 table 5'!E746</f>
        <v>241316.6</v>
      </c>
      <c r="D2327">
        <f>'0374 table 5'!F746</f>
        <v>294.26111111111106</v>
      </c>
      <c r="E2327">
        <f>'0374 table 5'!G746</f>
        <v>1.7244540056145325</v>
      </c>
    </row>
    <row r="2328" spans="1:5" x14ac:dyDescent="0.35">
      <c r="A2328">
        <v>374</v>
      </c>
      <c r="B2328">
        <v>5</v>
      </c>
      <c r="C2328">
        <f>'0374 table 5'!E747</f>
        <v>241316.6</v>
      </c>
      <c r="D2328">
        <f>'0374 table 5'!F747</f>
        <v>299.81666666666666</v>
      </c>
      <c r="E2328">
        <f>'0374 table 5'!G747</f>
        <v>1.6889976020828126</v>
      </c>
    </row>
    <row r="2329" spans="1:5" x14ac:dyDescent="0.35">
      <c r="A2329">
        <v>374</v>
      </c>
      <c r="B2329">
        <v>5</v>
      </c>
      <c r="C2329">
        <f>'0374 table 5'!E748</f>
        <v>241316.6</v>
      </c>
      <c r="D2329">
        <f>'0374 table 5'!F748</f>
        <v>305.37222222222221</v>
      </c>
      <c r="E2329">
        <f>'0374 table 5'!G748</f>
        <v>1.6553119001915255</v>
      </c>
    </row>
    <row r="2330" spans="1:5" x14ac:dyDescent="0.35">
      <c r="A2330">
        <v>374</v>
      </c>
      <c r="B2330">
        <v>5</v>
      </c>
      <c r="C2330">
        <f>'0374 table 5'!E749</f>
        <v>241316.6</v>
      </c>
      <c r="D2330">
        <f>'0374 table 5'!F749</f>
        <v>310.92777777777775</v>
      </c>
      <c r="E2330">
        <f>'0374 table 5'!G749</f>
        <v>1.6231080411544627</v>
      </c>
    </row>
    <row r="2331" spans="1:5" x14ac:dyDescent="0.35">
      <c r="A2331">
        <v>374</v>
      </c>
      <c r="B2331">
        <v>5</v>
      </c>
      <c r="C2331">
        <f>'0374 table 5'!E750</f>
        <v>241316.6</v>
      </c>
      <c r="D2331">
        <f>'0374 table 5'!F750</f>
        <v>316.48333333333329</v>
      </c>
      <c r="E2331">
        <f>'0374 table 5'!G750</f>
        <v>1.5922915763571961</v>
      </c>
    </row>
    <row r="2332" spans="1:5" x14ac:dyDescent="0.35">
      <c r="A2332">
        <v>374</v>
      </c>
      <c r="B2332">
        <v>5</v>
      </c>
      <c r="C2332">
        <f>'0374 table 5'!E751</f>
        <v>241316.6</v>
      </c>
      <c r="D2332">
        <f>'0374 table 5'!F751</f>
        <v>322.03888888888889</v>
      </c>
      <c r="E2332">
        <f>'0374 table 5'!G751</f>
        <v>1.5627759276247213</v>
      </c>
    </row>
    <row r="2333" spans="1:5" x14ac:dyDescent="0.35">
      <c r="A2333">
        <v>374</v>
      </c>
      <c r="B2333">
        <v>5</v>
      </c>
      <c r="C2333">
        <f>'0374 table 5'!E752</f>
        <v>241316.6</v>
      </c>
      <c r="D2333">
        <f>'0374 table 5'!F752</f>
        <v>327.59444444444443</v>
      </c>
      <c r="E2333">
        <f>'0374 table 5'!G752</f>
        <v>1.5343346032713978</v>
      </c>
    </row>
    <row r="2334" spans="1:5" x14ac:dyDescent="0.35">
      <c r="A2334">
        <v>374</v>
      </c>
      <c r="B2334">
        <v>5</v>
      </c>
      <c r="C2334">
        <f>'0374 table 5'!E753</f>
        <v>241316.6</v>
      </c>
      <c r="D2334">
        <f>'0374 table 5'!F753</f>
        <v>333.15</v>
      </c>
      <c r="E2334">
        <f>'0374 table 5'!G753</f>
        <v>1.5069099960633483</v>
      </c>
    </row>
    <row r="2335" spans="1:5" x14ac:dyDescent="0.35">
      <c r="A2335">
        <v>374</v>
      </c>
      <c r="B2335">
        <v>5</v>
      </c>
      <c r="C2335">
        <f>'0374 table 5'!E754</f>
        <v>241316.6</v>
      </c>
      <c r="D2335">
        <f>'0374 table 5'!F754</f>
        <v>338.70555555555552</v>
      </c>
      <c r="E2335">
        <f>'0374 table 5'!G754</f>
        <v>1.4804485451158405</v>
      </c>
    </row>
    <row r="2336" spans="1:5" x14ac:dyDescent="0.35">
      <c r="A2336">
        <v>374</v>
      </c>
      <c r="B2336">
        <v>5</v>
      </c>
      <c r="C2336">
        <f>'0374 table 5'!E755</f>
        <v>241316.6</v>
      </c>
      <c r="D2336">
        <f>'0374 table 5'!F755</f>
        <v>344.26111111111106</v>
      </c>
      <c r="E2336">
        <f>'0374 table 5'!G755</f>
        <v>1.4562230234684903</v>
      </c>
    </row>
    <row r="2337" spans="1:5" x14ac:dyDescent="0.35">
      <c r="A2337">
        <v>374</v>
      </c>
      <c r="B2337">
        <v>5</v>
      </c>
      <c r="C2337">
        <f>'0374 table 5'!E756</f>
        <v>241316.6</v>
      </c>
      <c r="D2337">
        <f>'0374 table 5'!F756</f>
        <v>349.81666666666666</v>
      </c>
      <c r="E2337">
        <f>'0374 table 5'!G756</f>
        <v>1.4314971633738511</v>
      </c>
    </row>
    <row r="2338" spans="1:5" x14ac:dyDescent="0.35">
      <c r="A2338">
        <v>374</v>
      </c>
      <c r="B2338">
        <v>5</v>
      </c>
      <c r="C2338">
        <f>'0374 table 5'!E757</f>
        <v>241316.6</v>
      </c>
      <c r="D2338">
        <f>'0374 table 5'!F757</f>
        <v>355.37222222222221</v>
      </c>
      <c r="E2338">
        <f>'0374 table 5'!G757</f>
        <v>1.4075969471136549</v>
      </c>
    </row>
    <row r="2339" spans="1:5" x14ac:dyDescent="0.35">
      <c r="A2339">
        <v>374</v>
      </c>
      <c r="B2339">
        <v>5</v>
      </c>
      <c r="C2339">
        <f>'0374 table 5'!E758</f>
        <v>241316.6</v>
      </c>
      <c r="D2339">
        <f>'0374 table 5'!F758</f>
        <v>360.92777777777775</v>
      </c>
      <c r="E2339">
        <f>'0374 table 5'!G758</f>
        <v>1.3856793475911238</v>
      </c>
    </row>
    <row r="2340" spans="1:5" x14ac:dyDescent="0.35">
      <c r="A2340">
        <v>374</v>
      </c>
      <c r="B2340">
        <v>5</v>
      </c>
      <c r="C2340">
        <f>'0374 table 5'!E759</f>
        <v>241316.6</v>
      </c>
      <c r="D2340">
        <f>'0374 table 5'!F759</f>
        <v>366.48333333333329</v>
      </c>
      <c r="E2340">
        <f>'0374 table 5'!G759</f>
        <v>1.3632726177151824</v>
      </c>
    </row>
    <row r="2341" spans="1:5" x14ac:dyDescent="0.35">
      <c r="A2341">
        <v>374</v>
      </c>
      <c r="B2341">
        <v>5</v>
      </c>
      <c r="C2341">
        <f>'0374 table 5'!E760</f>
        <v>241316.6</v>
      </c>
      <c r="D2341">
        <f>'0374 table 5'!F760</f>
        <v>377.59444444444443</v>
      </c>
      <c r="E2341">
        <f>'0374 table 5'!G760</f>
        <v>1.3216545592535802</v>
      </c>
    </row>
    <row r="2342" spans="1:5" x14ac:dyDescent="0.35">
      <c r="A2342">
        <v>374</v>
      </c>
      <c r="B2342">
        <v>5</v>
      </c>
      <c r="C2342">
        <f>'0374 table 5'!E761</f>
        <v>241316.6</v>
      </c>
      <c r="D2342">
        <f>'0374 table 5'!F761</f>
        <v>388.70555555555552</v>
      </c>
      <c r="E2342">
        <f>'0374 table 5'!G761</f>
        <v>1.2825022624622413</v>
      </c>
    </row>
    <row r="2343" spans="1:5" x14ac:dyDescent="0.35">
      <c r="A2343">
        <v>374</v>
      </c>
      <c r="B2343">
        <v>5</v>
      </c>
      <c r="C2343">
        <f>'0374 table 5'!E762</f>
        <v>241316.6</v>
      </c>
      <c r="D2343">
        <f>'0374 table 5'!F762</f>
        <v>399.81666666666666</v>
      </c>
      <c r="E2343">
        <f>'0374 table 5'!G762</f>
        <v>1.2456028972125501</v>
      </c>
    </row>
    <row r="2344" spans="1:5" x14ac:dyDescent="0.35">
      <c r="A2344">
        <v>374</v>
      </c>
      <c r="B2344">
        <v>5</v>
      </c>
      <c r="C2344">
        <f>'0374 table 5'!E763</f>
        <v>241316.6</v>
      </c>
      <c r="D2344">
        <f>'0374 table 5'!F763</f>
        <v>410.92777777777775</v>
      </c>
      <c r="E2344">
        <f>'0374 table 5'!G763</f>
        <v>1.2107674420372934</v>
      </c>
    </row>
    <row r="2345" spans="1:5" x14ac:dyDescent="0.35">
      <c r="A2345">
        <v>374</v>
      </c>
      <c r="B2345">
        <v>5</v>
      </c>
      <c r="C2345">
        <f>'0374 table 5'!E764</f>
        <v>248211.36000000002</v>
      </c>
      <c r="D2345">
        <f>'0374 table 5'!F764</f>
        <v>260.92777777777775</v>
      </c>
      <c r="E2345">
        <f>'0374 table 5'!G764</f>
        <v>2.0426489745158625</v>
      </c>
    </row>
    <row r="2346" spans="1:5" x14ac:dyDescent="0.35">
      <c r="A2346">
        <v>374</v>
      </c>
      <c r="B2346">
        <v>5</v>
      </c>
      <c r="C2346">
        <f>'0374 table 5'!E765</f>
        <v>248211.36000000002</v>
      </c>
      <c r="D2346">
        <f>'0374 table 5'!F765</f>
        <v>266.48333333333329</v>
      </c>
      <c r="E2346">
        <f>'0374 table 5'!G765</f>
        <v>1.9908592167727313</v>
      </c>
    </row>
    <row r="2347" spans="1:5" x14ac:dyDescent="0.35">
      <c r="A2347">
        <v>374</v>
      </c>
      <c r="B2347">
        <v>5</v>
      </c>
      <c r="C2347">
        <f>'0374 table 5'!E766</f>
        <v>248211.36000000002</v>
      </c>
      <c r="D2347">
        <f>'0374 table 5'!F766</f>
        <v>272.03888888888889</v>
      </c>
      <c r="E2347">
        <f>'0374 table 5'!G766</f>
        <v>1.942337002322468</v>
      </c>
    </row>
    <row r="2348" spans="1:5" x14ac:dyDescent="0.35">
      <c r="A2348">
        <v>374</v>
      </c>
      <c r="B2348">
        <v>5</v>
      </c>
      <c r="C2348">
        <f>'0374 table 5'!E767</f>
        <v>248211.36000000002</v>
      </c>
      <c r="D2348">
        <f>'0374 table 5'!F767</f>
        <v>277.59444444444443</v>
      </c>
      <c r="E2348">
        <f>'0374 table 5'!G767</f>
        <v>1.8967973070637529</v>
      </c>
    </row>
    <row r="2349" spans="1:5" x14ac:dyDescent="0.35">
      <c r="A2349">
        <v>374</v>
      </c>
      <c r="B2349">
        <v>5</v>
      </c>
      <c r="C2349">
        <f>'0374 table 5'!E768</f>
        <v>248211.36000000002</v>
      </c>
      <c r="D2349">
        <f>'0374 table 5'!F768</f>
        <v>283.14999999999998</v>
      </c>
      <c r="E2349">
        <f>'0374 table 5'!G768</f>
        <v>1.8539876456196054</v>
      </c>
    </row>
    <row r="2350" spans="1:5" x14ac:dyDescent="0.35">
      <c r="A2350">
        <v>374</v>
      </c>
      <c r="B2350">
        <v>5</v>
      </c>
      <c r="C2350">
        <f>'0374 table 5'!E769</f>
        <v>248211.36000000002</v>
      </c>
      <c r="D2350">
        <f>'0374 table 5'!F769</f>
        <v>288.70555555555552</v>
      </c>
      <c r="E2350">
        <f>'0374 table 5'!G769</f>
        <v>1.8134782359507973</v>
      </c>
    </row>
    <row r="2351" spans="1:5" x14ac:dyDescent="0.35">
      <c r="A2351">
        <v>374</v>
      </c>
      <c r="B2351">
        <v>5</v>
      </c>
      <c r="C2351">
        <f>'0374 table 5'!E770</f>
        <v>248211.36000000002</v>
      </c>
      <c r="D2351">
        <f>'0374 table 5'!F770</f>
        <v>294.26111111111106</v>
      </c>
      <c r="E2351">
        <f>'0374 table 5'!G770</f>
        <v>1.7750945543166441</v>
      </c>
    </row>
    <row r="2352" spans="1:5" x14ac:dyDescent="0.35">
      <c r="A2352">
        <v>374</v>
      </c>
      <c r="B2352">
        <v>5</v>
      </c>
      <c r="C2352">
        <f>'0374 table 5'!E771</f>
        <v>248211.36000000002</v>
      </c>
      <c r="D2352">
        <f>'0374 table 5'!F771</f>
        <v>299.81666666666666</v>
      </c>
      <c r="E2352">
        <f>'0374 table 5'!G771</f>
        <v>1.738490694394768</v>
      </c>
    </row>
    <row r="2353" spans="1:5" x14ac:dyDescent="0.35">
      <c r="A2353">
        <v>374</v>
      </c>
      <c r="B2353">
        <v>5</v>
      </c>
      <c r="C2353">
        <f>'0374 table 5'!E772</f>
        <v>248211.36000000002</v>
      </c>
      <c r="D2353">
        <f>'0374 table 5'!F772</f>
        <v>305.37222222222221</v>
      </c>
      <c r="E2353">
        <f>'0374 table 5'!G772</f>
        <v>1.703728276765943</v>
      </c>
    </row>
    <row r="2354" spans="1:5" x14ac:dyDescent="0.35">
      <c r="A2354">
        <v>374</v>
      </c>
      <c r="B2354">
        <v>5</v>
      </c>
      <c r="C2354">
        <f>'0374 table 5'!E773</f>
        <v>248211.36000000002</v>
      </c>
      <c r="D2354">
        <f>'0374 table 5'!F773</f>
        <v>310.92777777777775</v>
      </c>
      <c r="E2354">
        <f>'0374 table 5'!G773</f>
        <v>1.6705029990774212</v>
      </c>
    </row>
    <row r="2355" spans="1:5" x14ac:dyDescent="0.35">
      <c r="A2355">
        <v>374</v>
      </c>
      <c r="B2355">
        <v>5</v>
      </c>
      <c r="C2355">
        <f>'0374 table 5'!E774</f>
        <v>248211.36000000002</v>
      </c>
      <c r="D2355">
        <f>'0374 table 5'!F774</f>
        <v>316.48333333333329</v>
      </c>
      <c r="E2355">
        <f>'0374 table 5'!G774</f>
        <v>1.6387164458468944</v>
      </c>
    </row>
    <row r="2356" spans="1:5" x14ac:dyDescent="0.35">
      <c r="A2356">
        <v>374</v>
      </c>
      <c r="B2356">
        <v>5</v>
      </c>
      <c r="C2356">
        <f>'0374 table 5'!E775</f>
        <v>248211.36000000002</v>
      </c>
      <c r="D2356">
        <f>'0374 table 5'!F775</f>
        <v>322.03888888888889</v>
      </c>
      <c r="E2356">
        <f>'0374 table 5'!G775</f>
        <v>1.6081169820453158</v>
      </c>
    </row>
    <row r="2357" spans="1:5" x14ac:dyDescent="0.35">
      <c r="A2357">
        <v>374</v>
      </c>
      <c r="B2357">
        <v>5</v>
      </c>
      <c r="C2357">
        <f>'0374 table 5'!E776</f>
        <v>248211.36000000002</v>
      </c>
      <c r="D2357">
        <f>'0374 table 5'!F776</f>
        <v>327.59444444444443</v>
      </c>
      <c r="E2357">
        <f>'0374 table 5'!G776</f>
        <v>1.5781727347934378</v>
      </c>
    </row>
    <row r="2358" spans="1:5" x14ac:dyDescent="0.35">
      <c r="A2358">
        <v>374</v>
      </c>
      <c r="B2358">
        <v>5</v>
      </c>
      <c r="C2358">
        <f>'0374 table 5'!E777</f>
        <v>248211.36000000002</v>
      </c>
      <c r="D2358">
        <f>'0374 table 5'!F777</f>
        <v>333.15</v>
      </c>
      <c r="E2358">
        <f>'0374 table 5'!G777</f>
        <v>1.5506731130835811</v>
      </c>
    </row>
    <row r="2359" spans="1:5" x14ac:dyDescent="0.35">
      <c r="A2359">
        <v>374</v>
      </c>
      <c r="B2359">
        <v>5</v>
      </c>
      <c r="C2359">
        <f>'0374 table 5'!E778</f>
        <v>248211.36000000002</v>
      </c>
      <c r="D2359">
        <f>'0374 table 5'!F778</f>
        <v>338.70555555555552</v>
      </c>
      <c r="E2359">
        <f>'0374 table 5'!G778</f>
        <v>1.5241154384541764</v>
      </c>
    </row>
    <row r="2360" spans="1:5" x14ac:dyDescent="0.35">
      <c r="A2360">
        <v>374</v>
      </c>
      <c r="B2360">
        <v>5</v>
      </c>
      <c r="C2360">
        <f>'0374 table 5'!E779</f>
        <v>248211.36000000002</v>
      </c>
      <c r="D2360">
        <f>'0374 table 5'!F779</f>
        <v>344.26111111111106</v>
      </c>
      <c r="E2360">
        <f>'0374 table 5'!G779</f>
        <v>1.4984521289198685</v>
      </c>
    </row>
    <row r="2361" spans="1:5" x14ac:dyDescent="0.35">
      <c r="A2361">
        <v>374</v>
      </c>
      <c r="B2361">
        <v>5</v>
      </c>
      <c r="C2361">
        <f>'0374 table 5'!E780</f>
        <v>248211.36000000002</v>
      </c>
      <c r="D2361">
        <f>'0374 table 5'!F780</f>
        <v>349.81666666666666</v>
      </c>
      <c r="E2361">
        <f>'0374 table 5'!G780</f>
        <v>1.4722843068155691</v>
      </c>
    </row>
    <row r="2362" spans="1:5" x14ac:dyDescent="0.35">
      <c r="A2362">
        <v>374</v>
      </c>
      <c r="B2362">
        <v>5</v>
      </c>
      <c r="C2362">
        <f>'0374 table 5'!E781</f>
        <v>248211.36000000002</v>
      </c>
      <c r="D2362">
        <f>'0374 table 5'!F781</f>
        <v>355.37222222222221</v>
      </c>
      <c r="E2362">
        <f>'0374 table 5'!G781</f>
        <v>1.4483230793990409</v>
      </c>
    </row>
    <row r="2363" spans="1:5" x14ac:dyDescent="0.35">
      <c r="A2363">
        <v>374</v>
      </c>
      <c r="B2363">
        <v>5</v>
      </c>
      <c r="C2363">
        <f>'0374 table 5'!E782</f>
        <v>248211.36000000002</v>
      </c>
      <c r="D2363">
        <f>'0374 table 5'!F782</f>
        <v>360.92777777777775</v>
      </c>
      <c r="E2363">
        <f>'0374 table 5'!G782</f>
        <v>1.4251292934300173</v>
      </c>
    </row>
    <row r="2364" spans="1:5" x14ac:dyDescent="0.35">
      <c r="A2364">
        <v>374</v>
      </c>
      <c r="B2364">
        <v>5</v>
      </c>
      <c r="C2364">
        <f>'0374 table 5'!E783</f>
        <v>248211.36000000002</v>
      </c>
      <c r="D2364">
        <f>'0374 table 5'!F783</f>
        <v>366.48333333333329</v>
      </c>
      <c r="E2364">
        <f>'0374 table 5'!G783</f>
        <v>1.4026666600834847</v>
      </c>
    </row>
    <row r="2365" spans="1:5" x14ac:dyDescent="0.35">
      <c r="A2365">
        <v>374</v>
      </c>
      <c r="B2365">
        <v>5</v>
      </c>
      <c r="C2365">
        <f>'0374 table 5'!E784</f>
        <v>248211.36000000002</v>
      </c>
      <c r="D2365">
        <f>'0374 table 5'!F784</f>
        <v>377.59444444444443</v>
      </c>
      <c r="E2365">
        <f>'0374 table 5'!G784</f>
        <v>1.3598007859213408</v>
      </c>
    </row>
    <row r="2366" spans="1:5" x14ac:dyDescent="0.35">
      <c r="A2366">
        <v>374</v>
      </c>
      <c r="B2366">
        <v>5</v>
      </c>
      <c r="C2366">
        <f>'0374 table 5'!E785</f>
        <v>248211.36000000002</v>
      </c>
      <c r="D2366">
        <f>'0374 table 5'!F785</f>
        <v>388.70555555555552</v>
      </c>
      <c r="E2366">
        <f>'0374 table 5'!G785</f>
        <v>1.3194772041312515</v>
      </c>
    </row>
    <row r="2367" spans="1:5" x14ac:dyDescent="0.35">
      <c r="A2367">
        <v>374</v>
      </c>
      <c r="B2367">
        <v>5</v>
      </c>
      <c r="C2367">
        <f>'0374 table 5'!E786</f>
        <v>248211.36000000002</v>
      </c>
      <c r="D2367">
        <f>'0374 table 5'!F786</f>
        <v>399.81666666666666</v>
      </c>
      <c r="E2367">
        <f>'0374 table 5'!G786</f>
        <v>1.2814762606522714</v>
      </c>
    </row>
    <row r="2368" spans="1:5" x14ac:dyDescent="0.35">
      <c r="A2368">
        <v>374</v>
      </c>
      <c r="B2368">
        <v>5</v>
      </c>
      <c r="C2368">
        <f>'0374 table 5'!E787</f>
        <v>248211.36000000002</v>
      </c>
      <c r="D2368">
        <f>'0374 table 5'!F787</f>
        <v>410.92777777777775</v>
      </c>
      <c r="E2368">
        <f>'0374 table 5'!G787</f>
        <v>1.2456028972125501</v>
      </c>
    </row>
    <row r="2369" spans="1:5" x14ac:dyDescent="0.35">
      <c r="A2369">
        <v>374</v>
      </c>
      <c r="B2369">
        <v>5</v>
      </c>
      <c r="C2369">
        <f>'0374 table 5'!E788</f>
        <v>255106.12</v>
      </c>
      <c r="D2369">
        <f>'0374 table 5'!F788</f>
        <v>260.92777777777775</v>
      </c>
      <c r="E2369">
        <f>'0374 table 5'!G788</f>
        <v>2.1024351303521978</v>
      </c>
    </row>
    <row r="2370" spans="1:5" x14ac:dyDescent="0.35">
      <c r="A2370">
        <v>374</v>
      </c>
      <c r="B2370">
        <v>5</v>
      </c>
      <c r="C2370">
        <f>'0374 table 5'!E789</f>
        <v>255106.12</v>
      </c>
      <c r="D2370">
        <f>'0374 table 5'!F789</f>
        <v>266.48333333333329</v>
      </c>
      <c r="E2370">
        <f>'0374 table 5'!G789</f>
        <v>2.0486575339753665</v>
      </c>
    </row>
    <row r="2371" spans="1:5" x14ac:dyDescent="0.35">
      <c r="A2371">
        <v>374</v>
      </c>
      <c r="B2371">
        <v>5</v>
      </c>
      <c r="C2371">
        <f>'0374 table 5'!E790</f>
        <v>255106.12</v>
      </c>
      <c r="D2371">
        <f>'0374 table 5'!F790</f>
        <v>272.03888888888889</v>
      </c>
      <c r="E2371">
        <f>'0374 table 5'!G790</f>
        <v>1.9985593584720389</v>
      </c>
    </row>
    <row r="2372" spans="1:5" x14ac:dyDescent="0.35">
      <c r="A2372">
        <v>374</v>
      </c>
      <c r="B2372">
        <v>5</v>
      </c>
      <c r="C2372">
        <f>'0374 table 5'!E791</f>
        <v>255106.12</v>
      </c>
      <c r="D2372">
        <f>'0374 table 5'!F791</f>
        <v>277.59444444444443</v>
      </c>
      <c r="E2372">
        <f>'0374 table 5'!G791</f>
        <v>1.9515659427574796</v>
      </c>
    </row>
    <row r="2373" spans="1:5" x14ac:dyDescent="0.35">
      <c r="A2373">
        <v>374</v>
      </c>
      <c r="B2373">
        <v>5</v>
      </c>
      <c r="C2373">
        <f>'0374 table 5'!E792</f>
        <v>255106.12</v>
      </c>
      <c r="D2373">
        <f>'0374 table 5'!F792</f>
        <v>283.14999999999998</v>
      </c>
      <c r="E2373">
        <f>'0374 table 5'!G792</f>
        <v>1.9074128671294825</v>
      </c>
    </row>
    <row r="2374" spans="1:5" x14ac:dyDescent="0.35">
      <c r="A2374">
        <v>374</v>
      </c>
      <c r="B2374">
        <v>5</v>
      </c>
      <c r="C2374">
        <f>'0374 table 5'!E793</f>
        <v>255106.12</v>
      </c>
      <c r="D2374">
        <f>'0374 table 5'!F793</f>
        <v>288.70555555555552</v>
      </c>
      <c r="E2374">
        <f>'0374 table 5'!G793</f>
        <v>1.8654306810473265</v>
      </c>
    </row>
    <row r="2375" spans="1:5" x14ac:dyDescent="0.35">
      <c r="A2375">
        <v>374</v>
      </c>
      <c r="B2375">
        <v>5</v>
      </c>
      <c r="C2375">
        <f>'0374 table 5'!E794</f>
        <v>255106.12</v>
      </c>
      <c r="D2375">
        <f>'0374 table 5'!F794</f>
        <v>294.26111111111106</v>
      </c>
      <c r="E2375">
        <f>'0374 table 5'!G794</f>
        <v>1.8258809139579841</v>
      </c>
    </row>
    <row r="2376" spans="1:5" x14ac:dyDescent="0.35">
      <c r="A2376">
        <v>374</v>
      </c>
      <c r="B2376">
        <v>5</v>
      </c>
      <c r="C2376">
        <f>'0374 table 5'!E795</f>
        <v>255106.12</v>
      </c>
      <c r="D2376">
        <f>'0374 table 5'!F795</f>
        <v>299.81666666666666</v>
      </c>
      <c r="E2376">
        <f>'0374 table 5'!G795</f>
        <v>1.7881729468802627</v>
      </c>
    </row>
    <row r="2377" spans="1:5" x14ac:dyDescent="0.35">
      <c r="A2377">
        <v>374</v>
      </c>
      <c r="B2377">
        <v>5</v>
      </c>
      <c r="C2377">
        <f>'0374 table 5'!E796</f>
        <v>255106.12</v>
      </c>
      <c r="D2377">
        <f>'0374 table 5'!F796</f>
        <v>305.37222222222221</v>
      </c>
      <c r="E2377">
        <f>'0374 table 5'!G796</f>
        <v>1.752182592228549</v>
      </c>
    </row>
    <row r="2378" spans="1:5" x14ac:dyDescent="0.35">
      <c r="A2378">
        <v>374</v>
      </c>
      <c r="B2378">
        <v>5</v>
      </c>
      <c r="C2378">
        <f>'0374 table 5'!E797</f>
        <v>255106.12</v>
      </c>
      <c r="D2378">
        <f>'0374 table 5'!F797</f>
        <v>310.92777777777775</v>
      </c>
      <c r="E2378">
        <f>'0374 table 5'!G797</f>
        <v>1.7179808299177814</v>
      </c>
    </row>
    <row r="2379" spans="1:5" x14ac:dyDescent="0.35">
      <c r="A2379">
        <v>374</v>
      </c>
      <c r="B2379">
        <v>5</v>
      </c>
      <c r="C2379">
        <f>'0374 table 5'!E798</f>
        <v>255106.12</v>
      </c>
      <c r="D2379">
        <f>'0374 table 5'!F798</f>
        <v>316.48333333333329</v>
      </c>
      <c r="E2379">
        <f>'0374 table 5'!G798</f>
        <v>1.6850887079900476</v>
      </c>
    </row>
    <row r="2380" spans="1:5" x14ac:dyDescent="0.35">
      <c r="A2380">
        <v>374</v>
      </c>
      <c r="B2380">
        <v>5</v>
      </c>
      <c r="C2380">
        <f>'0374 table 5'!E799</f>
        <v>255106.12</v>
      </c>
      <c r="D2380">
        <f>'0374 table 5'!F799</f>
        <v>322.03888888888889</v>
      </c>
      <c r="E2380">
        <f>'0374 table 5'!G799</f>
        <v>1.6537738238853392</v>
      </c>
    </row>
    <row r="2381" spans="1:5" x14ac:dyDescent="0.35">
      <c r="A2381">
        <v>374</v>
      </c>
      <c r="B2381">
        <v>5</v>
      </c>
      <c r="C2381">
        <f>'0374 table 5'!E800</f>
        <v>255106.12</v>
      </c>
      <c r="D2381">
        <f>'0374 table 5'!F800</f>
        <v>327.59444444444443</v>
      </c>
      <c r="E2381">
        <f>'0374 table 5'!G800</f>
        <v>1.6236015870822413</v>
      </c>
    </row>
    <row r="2382" spans="1:5" x14ac:dyDescent="0.35">
      <c r="A2382">
        <v>374</v>
      </c>
      <c r="B2382">
        <v>5</v>
      </c>
      <c r="C2382">
        <f>'0374 table 5'!E801</f>
        <v>255106.12</v>
      </c>
      <c r="D2382">
        <f>'0374 table 5'!F801</f>
        <v>333.15</v>
      </c>
      <c r="E2382">
        <f>'0374 table 5'!G801</f>
        <v>1.5938759460849148</v>
      </c>
    </row>
    <row r="2383" spans="1:5" x14ac:dyDescent="0.35">
      <c r="A2383">
        <v>374</v>
      </c>
      <c r="B2383">
        <v>5</v>
      </c>
      <c r="C2383">
        <f>'0374 table 5'!E802</f>
        <v>255106.12</v>
      </c>
      <c r="D2383">
        <f>'0374 table 5'!F802</f>
        <v>338.70555555555552</v>
      </c>
      <c r="E2383">
        <f>'0374 table 5'!G802</f>
        <v>1.567363332500332</v>
      </c>
    </row>
    <row r="2384" spans="1:5" x14ac:dyDescent="0.35">
      <c r="A2384">
        <v>374</v>
      </c>
      <c r="B2384">
        <v>5</v>
      </c>
      <c r="C2384">
        <f>'0374 table 5'!E803</f>
        <v>255106.12</v>
      </c>
      <c r="D2384">
        <f>'0374 table 5'!F803</f>
        <v>344.26111111111106</v>
      </c>
      <c r="E2384">
        <f>'0374 table 5'!G803</f>
        <v>1.540235890207057</v>
      </c>
    </row>
    <row r="2385" spans="1:5" x14ac:dyDescent="0.35">
      <c r="A2385">
        <v>374</v>
      </c>
      <c r="B2385">
        <v>5</v>
      </c>
      <c r="C2385">
        <f>'0374 table 5'!E804</f>
        <v>255106.12</v>
      </c>
      <c r="D2385">
        <f>'0374 table 5'!F804</f>
        <v>349.81666666666666</v>
      </c>
      <c r="E2385">
        <f>'0374 table 5'!G804</f>
        <v>1.514031498880283</v>
      </c>
    </row>
    <row r="2386" spans="1:5" x14ac:dyDescent="0.35">
      <c r="A2386">
        <v>374</v>
      </c>
      <c r="B2386">
        <v>5</v>
      </c>
      <c r="C2386">
        <f>'0374 table 5'!E805</f>
        <v>255106.12</v>
      </c>
      <c r="D2386">
        <f>'0374 table 5'!F805</f>
        <v>355.37222222222221</v>
      </c>
      <c r="E2386">
        <f>'0374 table 5'!G805</f>
        <v>1.4887038344008729</v>
      </c>
    </row>
    <row r="2387" spans="1:5" x14ac:dyDescent="0.35">
      <c r="A2387">
        <v>374</v>
      </c>
      <c r="B2387">
        <v>5</v>
      </c>
      <c r="C2387">
        <f>'0374 table 5'!E806</f>
        <v>255106.12</v>
      </c>
      <c r="D2387">
        <f>'0374 table 5'!F806</f>
        <v>360.92777777777775</v>
      </c>
      <c r="E2387">
        <f>'0374 table 5'!G806</f>
        <v>1.4655492459426709</v>
      </c>
    </row>
    <row r="2388" spans="1:5" x14ac:dyDescent="0.35">
      <c r="A2388">
        <v>374</v>
      </c>
      <c r="B2388">
        <v>5</v>
      </c>
      <c r="C2388">
        <f>'0374 table 5'!E807</f>
        <v>255106.12</v>
      </c>
      <c r="D2388">
        <f>'0374 table 5'!F807</f>
        <v>366.48333333333329</v>
      </c>
      <c r="E2388">
        <f>'0374 table 5'!G807</f>
        <v>1.4418049737311787</v>
      </c>
    </row>
    <row r="2389" spans="1:5" x14ac:dyDescent="0.35">
      <c r="A2389">
        <v>374</v>
      </c>
      <c r="B2389">
        <v>5</v>
      </c>
      <c r="C2389">
        <f>'0374 table 5'!E808</f>
        <v>255106.12</v>
      </c>
      <c r="D2389">
        <f>'0374 table 5'!F808</f>
        <v>377.59444444444443</v>
      </c>
      <c r="E2389">
        <f>'0374 table 5'!G808</f>
        <v>1.3977707904147811</v>
      </c>
    </row>
    <row r="2390" spans="1:5" x14ac:dyDescent="0.35">
      <c r="A2390">
        <v>374</v>
      </c>
      <c r="B2390">
        <v>5</v>
      </c>
      <c r="C2390">
        <f>'0374 table 5'!E809</f>
        <v>255106.12</v>
      </c>
      <c r="D2390">
        <f>'0374 table 5'!F809</f>
        <v>388.70555555555552</v>
      </c>
      <c r="E2390">
        <f>'0374 table 5'!G809</f>
        <v>1.356346592561676</v>
      </c>
    </row>
    <row r="2391" spans="1:5" x14ac:dyDescent="0.35">
      <c r="A2391">
        <v>374</v>
      </c>
      <c r="B2391">
        <v>5</v>
      </c>
      <c r="C2391">
        <f>'0374 table 5'!E810</f>
        <v>255106.12</v>
      </c>
      <c r="D2391">
        <f>'0374 table 5'!F810</f>
        <v>399.81666666666666</v>
      </c>
      <c r="E2391">
        <f>'0374 table 5'!G810</f>
        <v>1.3173070113612988</v>
      </c>
    </row>
    <row r="2392" spans="1:5" x14ac:dyDescent="0.35">
      <c r="A2392">
        <v>374</v>
      </c>
      <c r="B2392">
        <v>5</v>
      </c>
      <c r="C2392">
        <f>'0374 table 5'!E811</f>
        <v>255106.12</v>
      </c>
      <c r="D2392">
        <f>'0374 table 5'!F811</f>
        <v>410.92777777777775</v>
      </c>
      <c r="E2392">
        <f>'0374 table 5'!G811</f>
        <v>1.2804518991329652</v>
      </c>
    </row>
    <row r="2393" spans="1:5" x14ac:dyDescent="0.35">
      <c r="A2393">
        <v>374</v>
      </c>
      <c r="B2393">
        <v>5</v>
      </c>
      <c r="C2393">
        <f>'0374 table 5'!E812</f>
        <v>262000.88</v>
      </c>
      <c r="D2393">
        <f>'0374 table 5'!F812</f>
        <v>260.92777777777775</v>
      </c>
      <c r="E2393">
        <f>'0374 table 5'!G812</f>
        <v>2.1626101334080454</v>
      </c>
    </row>
    <row r="2394" spans="1:5" x14ac:dyDescent="0.35">
      <c r="A2394">
        <v>374</v>
      </c>
      <c r="B2394">
        <v>5</v>
      </c>
      <c r="C2394">
        <f>'0374 table 5'!E813</f>
        <v>262000.88</v>
      </c>
      <c r="D2394">
        <f>'0374 table 5'!F813</f>
        <v>266.48333333333329</v>
      </c>
      <c r="E2394">
        <f>'0374 table 5'!G813</f>
        <v>2.1068595630873856</v>
      </c>
    </row>
    <row r="2395" spans="1:5" x14ac:dyDescent="0.35">
      <c r="A2395">
        <v>374</v>
      </c>
      <c r="B2395">
        <v>5</v>
      </c>
      <c r="C2395">
        <f>'0374 table 5'!E814</f>
        <v>262000.88</v>
      </c>
      <c r="D2395">
        <f>'0374 table 5'!F814</f>
        <v>272.03888888888889</v>
      </c>
      <c r="E2395">
        <f>'0374 table 5'!G814</f>
        <v>2.0549651389548935</v>
      </c>
    </row>
    <row r="2396" spans="1:5" x14ac:dyDescent="0.35">
      <c r="A2396">
        <v>374</v>
      </c>
      <c r="B2396">
        <v>5</v>
      </c>
      <c r="C2396">
        <f>'0374 table 5'!E815</f>
        <v>262000.88</v>
      </c>
      <c r="D2396">
        <f>'0374 table 5'!F815</f>
        <v>277.59444444444443</v>
      </c>
      <c r="E2396">
        <f>'0374 table 5'!G815</f>
        <v>2.0065706198363262</v>
      </c>
    </row>
    <row r="2397" spans="1:5" x14ac:dyDescent="0.35">
      <c r="A2397">
        <v>374</v>
      </c>
      <c r="B2397">
        <v>5</v>
      </c>
      <c r="C2397">
        <f>'0374 table 5'!E816</f>
        <v>262000.88</v>
      </c>
      <c r="D2397">
        <f>'0374 table 5'!F816</f>
        <v>283.14999999999998</v>
      </c>
      <c r="E2397">
        <f>'0374 table 5'!G816</f>
        <v>1.9606429936540262</v>
      </c>
    </row>
    <row r="2398" spans="1:5" x14ac:dyDescent="0.35">
      <c r="A2398">
        <v>374</v>
      </c>
      <c r="B2398">
        <v>5</v>
      </c>
      <c r="C2398">
        <f>'0374 table 5'!E817</f>
        <v>262000.88</v>
      </c>
      <c r="D2398">
        <f>'0374 table 5'!F817</f>
        <v>288.70555555555552</v>
      </c>
      <c r="E2398">
        <f>'0374 table 5'!G817</f>
        <v>1.91768864577438</v>
      </c>
    </row>
    <row r="2399" spans="1:5" x14ac:dyDescent="0.35">
      <c r="A2399">
        <v>374</v>
      </c>
      <c r="B2399">
        <v>5</v>
      </c>
      <c r="C2399">
        <f>'0374 table 5'!E818</f>
        <v>262000.88</v>
      </c>
      <c r="D2399">
        <f>'0374 table 5'!F818</f>
        <v>294.26111111111106</v>
      </c>
      <c r="E2399">
        <f>'0374 table 5'!G818</f>
        <v>1.8767959294848733</v>
      </c>
    </row>
    <row r="2400" spans="1:5" x14ac:dyDescent="0.35">
      <c r="A2400">
        <v>374</v>
      </c>
      <c r="B2400">
        <v>5</v>
      </c>
      <c r="C2400">
        <f>'0374 table 5'!E819</f>
        <v>262000.88</v>
      </c>
      <c r="D2400">
        <f>'0374 table 5'!F819</f>
        <v>299.81666666666666</v>
      </c>
      <c r="E2400">
        <f>'0374 table 5'!G819</f>
        <v>1.837821622091945</v>
      </c>
    </row>
    <row r="2401" spans="1:5" x14ac:dyDescent="0.35">
      <c r="A2401">
        <v>374</v>
      </c>
      <c r="B2401">
        <v>5</v>
      </c>
      <c r="C2401">
        <f>'0374 table 5'!E820</f>
        <v>262000.88</v>
      </c>
      <c r="D2401">
        <f>'0374 table 5'!F820</f>
        <v>305.37222222222221</v>
      </c>
      <c r="E2401">
        <f>'0374 table 5'!G820</f>
        <v>1.8008379154753678</v>
      </c>
    </row>
    <row r="2402" spans="1:5" x14ac:dyDescent="0.35">
      <c r="A2402">
        <v>374</v>
      </c>
      <c r="B2402">
        <v>5</v>
      </c>
      <c r="C2402">
        <f>'0374 table 5'!E821</f>
        <v>262000.88</v>
      </c>
      <c r="D2402">
        <f>'0374 table 5'!F821</f>
        <v>310.92777777777775</v>
      </c>
      <c r="E2402">
        <f>'0374 table 5'!G821</f>
        <v>1.7655079089775589</v>
      </c>
    </row>
    <row r="2403" spans="1:5" x14ac:dyDescent="0.35">
      <c r="A2403">
        <v>374</v>
      </c>
      <c r="B2403">
        <v>5</v>
      </c>
      <c r="C2403">
        <f>'0374 table 5'!E822</f>
        <v>262000.88</v>
      </c>
      <c r="D2403">
        <f>'0374 table 5'!F822</f>
        <v>316.48333333333329</v>
      </c>
      <c r="E2403">
        <f>'0374 table 5'!G822</f>
        <v>1.7317246765571237</v>
      </c>
    </row>
    <row r="2404" spans="1:5" x14ac:dyDescent="0.35">
      <c r="A2404">
        <v>374</v>
      </c>
      <c r="B2404">
        <v>5</v>
      </c>
      <c r="C2404">
        <f>'0374 table 5'!E823</f>
        <v>262000.88</v>
      </c>
      <c r="D2404">
        <f>'0374 table 5'!F823</f>
        <v>322.03888888888889</v>
      </c>
      <c r="E2404">
        <f>'0374 table 5'!G823</f>
        <v>1.6993903308034579</v>
      </c>
    </row>
    <row r="2405" spans="1:5" x14ac:dyDescent="0.35">
      <c r="A2405">
        <v>374</v>
      </c>
      <c r="B2405">
        <v>5</v>
      </c>
      <c r="C2405">
        <f>'0374 table 5'!E824</f>
        <v>262000.88</v>
      </c>
      <c r="D2405">
        <f>'0374 table 5'!F824</f>
        <v>327.59444444444443</v>
      </c>
      <c r="E2405">
        <f>'0374 table 5'!G824</f>
        <v>1.6682413307803992</v>
      </c>
    </row>
    <row r="2406" spans="1:5" x14ac:dyDescent="0.35">
      <c r="A2406">
        <v>374</v>
      </c>
      <c r="B2406">
        <v>5</v>
      </c>
      <c r="C2406">
        <f>'0374 table 5'!E825</f>
        <v>262000.88</v>
      </c>
      <c r="D2406">
        <f>'0374 table 5'!F825</f>
        <v>333.15</v>
      </c>
      <c r="E2406">
        <f>'0374 table 5'!G825</f>
        <v>1.6385488193692095</v>
      </c>
    </row>
    <row r="2407" spans="1:5" x14ac:dyDescent="0.35">
      <c r="A2407">
        <v>374</v>
      </c>
      <c r="B2407">
        <v>5</v>
      </c>
      <c r="C2407">
        <f>'0374 table 5'!E826</f>
        <v>262000.88</v>
      </c>
      <c r="D2407">
        <f>'0374 table 5'!F826</f>
        <v>338.70555555555552</v>
      </c>
      <c r="E2407">
        <f>'0374 table 5'!G826</f>
        <v>1.6098947998144115</v>
      </c>
    </row>
    <row r="2408" spans="1:5" x14ac:dyDescent="0.35">
      <c r="A2408">
        <v>374</v>
      </c>
      <c r="B2408">
        <v>5</v>
      </c>
      <c r="C2408">
        <f>'0374 table 5'!E827</f>
        <v>262000.88</v>
      </c>
      <c r="D2408">
        <f>'0374 table 5'!F827</f>
        <v>344.26111111111106</v>
      </c>
      <c r="E2408">
        <f>'0374 table 5'!G827</f>
        <v>1.5828511124657505</v>
      </c>
    </row>
    <row r="2409" spans="1:5" x14ac:dyDescent="0.35">
      <c r="A2409">
        <v>374</v>
      </c>
      <c r="B2409">
        <v>5</v>
      </c>
      <c r="C2409">
        <f>'0374 table 5'!E828</f>
        <v>262000.88</v>
      </c>
      <c r="D2409">
        <f>'0374 table 5'!F828</f>
        <v>349.81666666666666</v>
      </c>
      <c r="E2409">
        <f>'0374 table 5'!G828</f>
        <v>1.5551896367139215</v>
      </c>
    </row>
    <row r="2410" spans="1:5" x14ac:dyDescent="0.35">
      <c r="A2410">
        <v>374</v>
      </c>
      <c r="B2410">
        <v>5</v>
      </c>
      <c r="C2410">
        <f>'0374 table 5'!E829</f>
        <v>262000.88</v>
      </c>
      <c r="D2410">
        <f>'0374 table 5'!F829</f>
        <v>355.37222222222221</v>
      </c>
      <c r="E2410">
        <f>'0374 table 5'!G829</f>
        <v>1.5299382290499897</v>
      </c>
    </row>
    <row r="2411" spans="1:5" x14ac:dyDescent="0.35">
      <c r="A2411">
        <v>374</v>
      </c>
      <c r="B2411">
        <v>5</v>
      </c>
      <c r="C2411">
        <f>'0374 table 5'!E830</f>
        <v>262000.88</v>
      </c>
      <c r="D2411">
        <f>'0374 table 5'!F830</f>
        <v>360.92777777777775</v>
      </c>
      <c r="E2411">
        <f>'0374 table 5'!G830</f>
        <v>1.5054937272700557</v>
      </c>
    </row>
    <row r="2412" spans="1:5" x14ac:dyDescent="0.35">
      <c r="A2412">
        <v>374</v>
      </c>
      <c r="B2412">
        <v>5</v>
      </c>
      <c r="C2412">
        <f>'0374 table 5'!E831</f>
        <v>262000.88</v>
      </c>
      <c r="D2412">
        <f>'0374 table 5'!F831</f>
        <v>366.48333333333329</v>
      </c>
      <c r="E2412">
        <f>'0374 table 5'!G831</f>
        <v>1.4818180627338937</v>
      </c>
    </row>
    <row r="2413" spans="1:5" x14ac:dyDescent="0.35">
      <c r="A2413">
        <v>374</v>
      </c>
      <c r="B2413">
        <v>5</v>
      </c>
      <c r="C2413">
        <f>'0374 table 5'!E832</f>
        <v>262000.88</v>
      </c>
      <c r="D2413">
        <f>'0374 table 5'!F832</f>
        <v>377.59444444444443</v>
      </c>
      <c r="E2413">
        <f>'0374 table 5'!G832</f>
        <v>1.4353452740280819</v>
      </c>
    </row>
    <row r="2414" spans="1:5" x14ac:dyDescent="0.35">
      <c r="A2414">
        <v>374</v>
      </c>
      <c r="B2414">
        <v>5</v>
      </c>
      <c r="C2414">
        <f>'0374 table 5'!E833</f>
        <v>262000.88</v>
      </c>
      <c r="D2414">
        <f>'0374 table 5'!F833</f>
        <v>388.70555555555552</v>
      </c>
      <c r="E2414">
        <f>'0374 table 5'!G833</f>
        <v>1.3929089789698603</v>
      </c>
    </row>
    <row r="2415" spans="1:5" x14ac:dyDescent="0.35">
      <c r="A2415">
        <v>374</v>
      </c>
      <c r="B2415">
        <v>5</v>
      </c>
      <c r="C2415">
        <f>'0374 table 5'!E834</f>
        <v>262000.88</v>
      </c>
      <c r="D2415">
        <f>'0374 table 5'!F834</f>
        <v>399.81666666666666</v>
      </c>
      <c r="E2415">
        <f>'0374 table 5'!G834</f>
        <v>1.3529099035602528</v>
      </c>
    </row>
    <row r="2416" spans="1:5" x14ac:dyDescent="0.35">
      <c r="A2416">
        <v>374</v>
      </c>
      <c r="B2416">
        <v>5</v>
      </c>
      <c r="C2416">
        <f>'0374 table 5'!E835</f>
        <v>262000.88</v>
      </c>
      <c r="D2416">
        <f>'0374 table 5'!F835</f>
        <v>410.92777777777775</v>
      </c>
      <c r="E2416">
        <f>'0374 table 5'!G835</f>
        <v>1.3151439456611982</v>
      </c>
    </row>
    <row r="2417" spans="1:5" x14ac:dyDescent="0.35">
      <c r="A2417">
        <v>374</v>
      </c>
      <c r="B2417">
        <v>5</v>
      </c>
      <c r="C2417">
        <f>'0374 table 5'!E836</f>
        <v>268895.64</v>
      </c>
      <c r="D2417">
        <f>'0374 table 5'!F836</f>
        <v>266.48333333333329</v>
      </c>
      <c r="E2417">
        <f>'0374 table 5'!G836</f>
        <v>2.1652410459791018</v>
      </c>
    </row>
    <row r="2418" spans="1:5" x14ac:dyDescent="0.35">
      <c r="A2418">
        <v>374</v>
      </c>
      <c r="B2418">
        <v>5</v>
      </c>
      <c r="C2418">
        <f>'0374 table 5'!E837</f>
        <v>268895.64</v>
      </c>
      <c r="D2418">
        <f>'0374 table 5'!F837</f>
        <v>272.03888888888889</v>
      </c>
      <c r="E2418">
        <f>'0374 table 5'!G837</f>
        <v>2.1115809726012906</v>
      </c>
    </row>
    <row r="2419" spans="1:5" x14ac:dyDescent="0.35">
      <c r="A2419">
        <v>374</v>
      </c>
      <c r="B2419">
        <v>5</v>
      </c>
      <c r="C2419">
        <f>'0374 table 5'!E838</f>
        <v>268895.64</v>
      </c>
      <c r="D2419">
        <f>'0374 table 5'!F838</f>
        <v>277.59444444444443</v>
      </c>
      <c r="E2419">
        <f>'0374 table 5'!G838</f>
        <v>2.0615769959013379</v>
      </c>
    </row>
    <row r="2420" spans="1:5" x14ac:dyDescent="0.35">
      <c r="A2420">
        <v>374</v>
      </c>
      <c r="B2420">
        <v>5</v>
      </c>
      <c r="C2420">
        <f>'0374 table 5'!E839</f>
        <v>268895.64</v>
      </c>
      <c r="D2420">
        <f>'0374 table 5'!F839</f>
        <v>283.14999999999998</v>
      </c>
      <c r="E2420">
        <f>'0374 table 5'!G839</f>
        <v>2.0143930153613421</v>
      </c>
    </row>
    <row r="2421" spans="1:5" x14ac:dyDescent="0.35">
      <c r="A2421">
        <v>374</v>
      </c>
      <c r="B2421">
        <v>5</v>
      </c>
      <c r="C2421">
        <f>'0374 table 5'!E840</f>
        <v>268895.64</v>
      </c>
      <c r="D2421">
        <f>'0374 table 5'!F840</f>
        <v>288.70555555555552</v>
      </c>
      <c r="E2421">
        <f>'0374 table 5'!G840</f>
        <v>1.9698048768019423</v>
      </c>
    </row>
    <row r="2422" spans="1:5" x14ac:dyDescent="0.35">
      <c r="A2422">
        <v>374</v>
      </c>
      <c r="B2422">
        <v>5</v>
      </c>
      <c r="C2422">
        <f>'0374 table 5'!E841</f>
        <v>268895.64</v>
      </c>
      <c r="D2422">
        <f>'0374 table 5'!F841</f>
        <v>294.26111111111106</v>
      </c>
      <c r="E2422">
        <f>'0374 table 5'!G841</f>
        <v>1.927611703748904</v>
      </c>
    </row>
    <row r="2423" spans="1:5" x14ac:dyDescent="0.35">
      <c r="A2423">
        <v>374</v>
      </c>
      <c r="B2423">
        <v>5</v>
      </c>
      <c r="C2423">
        <f>'0374 table 5'!E842</f>
        <v>268895.64</v>
      </c>
      <c r="D2423">
        <f>'0374 table 5'!F842</f>
        <v>299.81666666666666</v>
      </c>
      <c r="E2423">
        <f>'0374 table 5'!G842</f>
        <v>1.887632955238439</v>
      </c>
    </row>
    <row r="2424" spans="1:5" x14ac:dyDescent="0.35">
      <c r="A2424">
        <v>374</v>
      </c>
      <c r="B2424">
        <v>5</v>
      </c>
      <c r="C2424">
        <f>'0374 table 5'!E843</f>
        <v>268895.64</v>
      </c>
      <c r="D2424">
        <f>'0374 table 5'!F843</f>
        <v>305.37222222222221</v>
      </c>
      <c r="E2424">
        <f>'0374 table 5'!G843</f>
        <v>1.8494923517092017</v>
      </c>
    </row>
    <row r="2425" spans="1:5" x14ac:dyDescent="0.35">
      <c r="A2425">
        <v>374</v>
      </c>
      <c r="B2425">
        <v>5</v>
      </c>
      <c r="C2425">
        <f>'0374 table 5'!E844</f>
        <v>268895.64</v>
      </c>
      <c r="D2425">
        <f>'0374 table 5'!F844</f>
        <v>310.92777777777775</v>
      </c>
      <c r="E2425">
        <f>'0374 table 5'!G844</f>
        <v>1.8130677145617875</v>
      </c>
    </row>
    <row r="2426" spans="1:5" x14ac:dyDescent="0.35">
      <c r="A2426">
        <v>374</v>
      </c>
      <c r="B2426">
        <v>5</v>
      </c>
      <c r="C2426">
        <f>'0374 table 5'!E845</f>
        <v>268895.64</v>
      </c>
      <c r="D2426">
        <f>'0374 table 5'!F845</f>
        <v>316.48333333333329</v>
      </c>
      <c r="E2426">
        <f>'0374 table 5'!G845</f>
        <v>1.7782474753722686</v>
      </c>
    </row>
    <row r="2427" spans="1:5" x14ac:dyDescent="0.35">
      <c r="A2427">
        <v>374</v>
      </c>
      <c r="B2427">
        <v>5</v>
      </c>
      <c r="C2427">
        <f>'0374 table 5'!E846</f>
        <v>268895.64</v>
      </c>
      <c r="D2427">
        <f>'0374 table 5'!F846</f>
        <v>322.03888888888889</v>
      </c>
      <c r="E2427">
        <f>'0374 table 5'!G846</f>
        <v>1.7451196489980816</v>
      </c>
    </row>
    <row r="2428" spans="1:5" x14ac:dyDescent="0.35">
      <c r="A2428">
        <v>374</v>
      </c>
      <c r="B2428">
        <v>5</v>
      </c>
      <c r="C2428">
        <f>'0374 table 5'!E847</f>
        <v>268895.64</v>
      </c>
      <c r="D2428">
        <f>'0374 table 5'!F847</f>
        <v>327.59444444444443</v>
      </c>
      <c r="E2428">
        <f>'0374 table 5'!G847</f>
        <v>1.7130203462895297</v>
      </c>
    </row>
    <row r="2429" spans="1:5" x14ac:dyDescent="0.35">
      <c r="A2429">
        <v>374</v>
      </c>
      <c r="B2429">
        <v>5</v>
      </c>
      <c r="C2429">
        <f>'0374 table 5'!E848</f>
        <v>268895.64</v>
      </c>
      <c r="D2429">
        <f>'0374 table 5'!F848</f>
        <v>333.15</v>
      </c>
      <c r="E2429">
        <f>'0374 table 5'!G848</f>
        <v>1.6824339101095884</v>
      </c>
    </row>
    <row r="2430" spans="1:5" x14ac:dyDescent="0.35">
      <c r="A2430">
        <v>374</v>
      </c>
      <c r="B2430">
        <v>5</v>
      </c>
      <c r="C2430">
        <f>'0374 table 5'!E849</f>
        <v>268895.64</v>
      </c>
      <c r="D2430">
        <f>'0374 table 5'!F849</f>
        <v>338.70555555555552</v>
      </c>
      <c r="E2430">
        <f>'0374 table 5'!G849</f>
        <v>1.6529205714738822</v>
      </c>
    </row>
    <row r="2431" spans="1:5" x14ac:dyDescent="0.35">
      <c r="A2431">
        <v>374</v>
      </c>
      <c r="B2431">
        <v>5</v>
      </c>
      <c r="C2431">
        <f>'0374 table 5'!E850</f>
        <v>268895.64</v>
      </c>
      <c r="D2431">
        <f>'0374 table 5'!F850</f>
        <v>344.26111111111106</v>
      </c>
      <c r="E2431">
        <f>'0374 table 5'!G850</f>
        <v>1.6245895799344214</v>
      </c>
    </row>
    <row r="2432" spans="1:5" x14ac:dyDescent="0.35">
      <c r="A2432">
        <v>374</v>
      </c>
      <c r="B2432">
        <v>5</v>
      </c>
      <c r="C2432">
        <f>'0374 table 5'!E851</f>
        <v>268895.64</v>
      </c>
      <c r="D2432">
        <f>'0374 table 5'!F851</f>
        <v>349.81666666666666</v>
      </c>
      <c r="E2432">
        <f>'0374 table 5'!G851</f>
        <v>1.5970541633253634</v>
      </c>
    </row>
    <row r="2433" spans="1:5" x14ac:dyDescent="0.35">
      <c r="A2433">
        <v>374</v>
      </c>
      <c r="B2433">
        <v>5</v>
      </c>
      <c r="C2433">
        <f>'0374 table 5'!E852</f>
        <v>268895.64</v>
      </c>
      <c r="D2433">
        <f>'0374 table 5'!F852</f>
        <v>355.37222222222221</v>
      </c>
      <c r="E2433">
        <f>'0374 table 5'!G852</f>
        <v>1.5704365939366074</v>
      </c>
    </row>
    <row r="2434" spans="1:5" x14ac:dyDescent="0.35">
      <c r="A2434">
        <v>374</v>
      </c>
      <c r="B2434">
        <v>5</v>
      </c>
      <c r="C2434">
        <f>'0374 table 5'!E853</f>
        <v>268895.64</v>
      </c>
      <c r="D2434">
        <f>'0374 table 5'!F853</f>
        <v>360.92777777777775</v>
      </c>
      <c r="E2434">
        <f>'0374 table 5'!G853</f>
        <v>1.5461827469260034</v>
      </c>
    </row>
    <row r="2435" spans="1:5" x14ac:dyDescent="0.35">
      <c r="A2435">
        <v>374</v>
      </c>
      <c r="B2435">
        <v>5</v>
      </c>
      <c r="C2435">
        <f>'0374 table 5'!E854</f>
        <v>268895.64</v>
      </c>
      <c r="D2435">
        <f>'0374 table 5'!F854</f>
        <v>366.48333333333329</v>
      </c>
      <c r="E2435">
        <f>'0374 table 5'!G854</f>
        <v>1.5212206323032664</v>
      </c>
    </row>
    <row r="2436" spans="1:5" x14ac:dyDescent="0.35">
      <c r="A2436">
        <v>374</v>
      </c>
      <c r="B2436">
        <v>5</v>
      </c>
      <c r="C2436">
        <f>'0374 table 5'!E855</f>
        <v>268895.64</v>
      </c>
      <c r="D2436">
        <f>'0374 table 5'!F855</f>
        <v>377.59444444444443</v>
      </c>
      <c r="E2436">
        <f>'0374 table 5'!G855</f>
        <v>1.4736387541999443</v>
      </c>
    </row>
    <row r="2437" spans="1:5" x14ac:dyDescent="0.35">
      <c r="A2437">
        <v>374</v>
      </c>
      <c r="B2437">
        <v>5</v>
      </c>
      <c r="C2437">
        <f>'0374 table 5'!E856</f>
        <v>268895.64</v>
      </c>
      <c r="D2437">
        <f>'0374 table 5'!F856</f>
        <v>388.70555555555552</v>
      </c>
      <c r="E2437">
        <f>'0374 table 5'!G856</f>
        <v>1.4302190409065529</v>
      </c>
    </row>
    <row r="2438" spans="1:5" x14ac:dyDescent="0.35">
      <c r="A2438">
        <v>374</v>
      </c>
      <c r="B2438">
        <v>5</v>
      </c>
      <c r="C2438">
        <f>'0374 table 5'!E857</f>
        <v>268895.64</v>
      </c>
      <c r="D2438">
        <f>'0374 table 5'!F857</f>
        <v>399.81666666666666</v>
      </c>
      <c r="E2438">
        <f>'0374 table 5'!G857</f>
        <v>1.3892847578623932</v>
      </c>
    </row>
    <row r="2439" spans="1:5" x14ac:dyDescent="0.35">
      <c r="A2439">
        <v>374</v>
      </c>
      <c r="B2439">
        <v>5</v>
      </c>
      <c r="C2439">
        <f>'0374 table 5'!E858</f>
        <v>268895.64</v>
      </c>
      <c r="D2439">
        <f>'0374 table 5'!F858</f>
        <v>410.92777777777775</v>
      </c>
      <c r="E2439">
        <f>'0374 table 5'!G858</f>
        <v>1.3506284366065258</v>
      </c>
    </row>
    <row r="2440" spans="1:5" x14ac:dyDescent="0.35">
      <c r="A2440">
        <v>374</v>
      </c>
      <c r="B2440">
        <v>5</v>
      </c>
      <c r="C2440">
        <f>'0374 table 5'!E859</f>
        <v>275790.40000000002</v>
      </c>
      <c r="D2440">
        <f>'0374 table 5'!F859</f>
        <v>266.48333333333329</v>
      </c>
      <c r="E2440">
        <f>'0374 table 5'!G859</f>
        <v>2.2238585670072739</v>
      </c>
    </row>
    <row r="2441" spans="1:5" x14ac:dyDescent="0.35">
      <c r="A2441">
        <v>374</v>
      </c>
      <c r="B2441">
        <v>5</v>
      </c>
      <c r="C2441">
        <f>'0374 table 5'!E860</f>
        <v>275790.40000000002</v>
      </c>
      <c r="D2441">
        <f>'0374 table 5'!F860</f>
        <v>272.03888888888889</v>
      </c>
      <c r="E2441">
        <f>'0374 table 5'!G860</f>
        <v>2.1684653117846748</v>
      </c>
    </row>
    <row r="2442" spans="1:5" x14ac:dyDescent="0.35">
      <c r="A2442">
        <v>374</v>
      </c>
      <c r="B2442">
        <v>5</v>
      </c>
      <c r="C2442">
        <f>'0374 table 5'!E861</f>
        <v>275790.40000000002</v>
      </c>
      <c r="D2442">
        <f>'0374 table 5'!F861</f>
        <v>277.59444444444443</v>
      </c>
      <c r="E2442">
        <f>'0374 table 5'!G861</f>
        <v>2.1166032317855965</v>
      </c>
    </row>
    <row r="2443" spans="1:5" x14ac:dyDescent="0.35">
      <c r="A2443">
        <v>374</v>
      </c>
      <c r="B2443">
        <v>5</v>
      </c>
      <c r="C2443">
        <f>'0374 table 5'!E862</f>
        <v>275790.40000000002</v>
      </c>
      <c r="D2443">
        <f>'0374 table 5'!F862</f>
        <v>283.14999999999998</v>
      </c>
      <c r="E2443">
        <f>'0374 table 5'!G862</f>
        <v>2.0679645311326351</v>
      </c>
    </row>
    <row r="2444" spans="1:5" x14ac:dyDescent="0.35">
      <c r="A2444">
        <v>374</v>
      </c>
      <c r="B2444">
        <v>5</v>
      </c>
      <c r="C2444">
        <f>'0374 table 5'!E863</f>
        <v>275790.40000000002</v>
      </c>
      <c r="D2444">
        <f>'0374 table 5'!F863</f>
        <v>288.70555555555552</v>
      </c>
      <c r="E2444">
        <f>'0374 table 5'!G863</f>
        <v>2.0220213655836146</v>
      </c>
    </row>
    <row r="2445" spans="1:5" x14ac:dyDescent="0.35">
      <c r="A2445">
        <v>374</v>
      </c>
      <c r="B2445">
        <v>5</v>
      </c>
      <c r="C2445">
        <f>'0374 table 5'!E864</f>
        <v>275790.40000000002</v>
      </c>
      <c r="D2445">
        <f>'0374 table 5'!F864</f>
        <v>294.26111111111106</v>
      </c>
      <c r="E2445">
        <f>'0374 table 5'!G864</f>
        <v>1.9785638905821881</v>
      </c>
    </row>
    <row r="2446" spans="1:5" x14ac:dyDescent="0.35">
      <c r="A2446">
        <v>374</v>
      </c>
      <c r="B2446">
        <v>5</v>
      </c>
      <c r="C2446">
        <f>'0374 table 5'!E865</f>
        <v>275790.40000000002</v>
      </c>
      <c r="D2446">
        <f>'0374 table 5'!F865</f>
        <v>299.81666666666666</v>
      </c>
      <c r="E2446">
        <f>'0374 table 5'!G865</f>
        <v>1.9374036354805746</v>
      </c>
    </row>
    <row r="2447" spans="1:5" x14ac:dyDescent="0.35">
      <c r="A2447">
        <v>374</v>
      </c>
      <c r="B2447">
        <v>5</v>
      </c>
      <c r="C2447">
        <f>'0374 table 5'!E866</f>
        <v>275790.40000000002</v>
      </c>
      <c r="D2447">
        <f>'0374 table 5'!F866</f>
        <v>305.37222222222221</v>
      </c>
      <c r="E2447">
        <f>'0374 table 5'!G866</f>
        <v>1.8981459009543067</v>
      </c>
    </row>
    <row r="2448" spans="1:5" x14ac:dyDescent="0.35">
      <c r="A2448">
        <v>374</v>
      </c>
      <c r="B2448">
        <v>5</v>
      </c>
      <c r="C2448">
        <f>'0374 table 5'!E867</f>
        <v>275790.40000000002</v>
      </c>
      <c r="D2448">
        <f>'0374 table 5'!F867</f>
        <v>310.92777777777775</v>
      </c>
      <c r="E2448">
        <f>'0374 table 5'!G867</f>
        <v>1.8606636378387029</v>
      </c>
    </row>
    <row r="2449" spans="1:5" x14ac:dyDescent="0.35">
      <c r="A2449">
        <v>374</v>
      </c>
      <c r="B2449">
        <v>5</v>
      </c>
      <c r="C2449">
        <f>'0374 table 5'!E868</f>
        <v>275790.40000000002</v>
      </c>
      <c r="D2449">
        <f>'0374 table 5'!F868</f>
        <v>316.48333333333329</v>
      </c>
      <c r="E2449">
        <f>'0374 table 5'!G868</f>
        <v>1.8250487932270016</v>
      </c>
    </row>
    <row r="2450" spans="1:5" x14ac:dyDescent="0.35">
      <c r="A2450">
        <v>374</v>
      </c>
      <c r="B2450">
        <v>5</v>
      </c>
      <c r="C2450">
        <f>'0374 table 5'!E869</f>
        <v>275790.40000000002</v>
      </c>
      <c r="D2450">
        <f>'0374 table 5'!F869</f>
        <v>322.03888888888889</v>
      </c>
      <c r="E2450">
        <f>'0374 table 5'!G869</f>
        <v>1.7907717449025595</v>
      </c>
    </row>
    <row r="2451" spans="1:5" x14ac:dyDescent="0.35">
      <c r="A2451">
        <v>374</v>
      </c>
      <c r="B2451">
        <v>5</v>
      </c>
      <c r="C2451">
        <f>'0374 table 5'!E870</f>
        <v>275790.40000000002</v>
      </c>
      <c r="D2451">
        <f>'0374 table 5'!F870</f>
        <v>327.59444444444443</v>
      </c>
      <c r="E2451">
        <f>'0374 table 5'!G870</f>
        <v>1.7579514111230679</v>
      </c>
    </row>
    <row r="2452" spans="1:5" x14ac:dyDescent="0.35">
      <c r="A2452">
        <v>374</v>
      </c>
      <c r="B2452">
        <v>5</v>
      </c>
      <c r="C2452">
        <f>'0374 table 5'!E871</f>
        <v>275790.40000000002</v>
      </c>
      <c r="D2452">
        <f>'0374 table 5'!F871</f>
        <v>333.15</v>
      </c>
      <c r="E2452">
        <f>'0374 table 5'!G871</f>
        <v>1.7264985188783566</v>
      </c>
    </row>
    <row r="2453" spans="1:5" x14ac:dyDescent="0.35">
      <c r="A2453">
        <v>374</v>
      </c>
      <c r="B2453">
        <v>5</v>
      </c>
      <c r="C2453">
        <f>'0374 table 5'!E872</f>
        <v>275790.40000000002</v>
      </c>
      <c r="D2453">
        <f>'0374 table 5'!F872</f>
        <v>338.70555555555552</v>
      </c>
      <c r="E2453">
        <f>'0374 table 5'!G872</f>
        <v>1.6961513403381399</v>
      </c>
    </row>
    <row r="2454" spans="1:5" x14ac:dyDescent="0.35">
      <c r="A2454">
        <v>374</v>
      </c>
      <c r="B2454">
        <v>5</v>
      </c>
      <c r="C2454">
        <f>'0374 table 5'!E873</f>
        <v>275790.40000000002</v>
      </c>
      <c r="D2454">
        <f>'0374 table 5'!F873</f>
        <v>344.26111111111106</v>
      </c>
      <c r="E2454">
        <f>'0374 table 5'!G873</f>
        <v>1.6670260441412625</v>
      </c>
    </row>
    <row r="2455" spans="1:5" x14ac:dyDescent="0.35">
      <c r="A2455">
        <v>374</v>
      </c>
      <c r="B2455">
        <v>5</v>
      </c>
      <c r="C2455">
        <f>'0374 table 5'!E874</f>
        <v>275790.40000000002</v>
      </c>
      <c r="D2455">
        <f>'0374 table 5'!F874</f>
        <v>349.81666666666666</v>
      </c>
      <c r="E2455">
        <f>'0374 table 5'!G874</f>
        <v>1.6388841066250661</v>
      </c>
    </row>
    <row r="2456" spans="1:5" x14ac:dyDescent="0.35">
      <c r="A2456">
        <v>374</v>
      </c>
      <c r="B2456">
        <v>5</v>
      </c>
      <c r="C2456">
        <f>'0374 table 5'!E875</f>
        <v>275790.40000000002</v>
      </c>
      <c r="D2456">
        <f>'0374 table 5'!F875</f>
        <v>355.37222222222221</v>
      </c>
      <c r="E2456">
        <f>'0374 table 5'!G875</f>
        <v>1.6118387259160187</v>
      </c>
    </row>
    <row r="2457" spans="1:5" x14ac:dyDescent="0.35">
      <c r="A2457">
        <v>374</v>
      </c>
      <c r="B2457">
        <v>5</v>
      </c>
      <c r="C2457">
        <f>'0374 table 5'!E876</f>
        <v>275790.40000000002</v>
      </c>
      <c r="D2457">
        <f>'0374 table 5'!F876</f>
        <v>360.92777777777775</v>
      </c>
      <c r="E2457">
        <f>'0374 table 5'!G876</f>
        <v>1.5859854711042964</v>
      </c>
    </row>
    <row r="2458" spans="1:5" x14ac:dyDescent="0.35">
      <c r="A2458">
        <v>374</v>
      </c>
      <c r="B2458">
        <v>5</v>
      </c>
      <c r="C2458">
        <f>'0374 table 5'!E877</f>
        <v>275790.40000000002</v>
      </c>
      <c r="D2458">
        <f>'0374 table 5'!F877</f>
        <v>366.48333333333329</v>
      </c>
      <c r="E2458">
        <f>'0374 table 5'!G877</f>
        <v>1.5597325470451211</v>
      </c>
    </row>
    <row r="2459" spans="1:5" x14ac:dyDescent="0.35">
      <c r="A2459">
        <v>374</v>
      </c>
      <c r="B2459">
        <v>5</v>
      </c>
      <c r="C2459">
        <f>'0374 table 5'!E878</f>
        <v>275790.40000000002</v>
      </c>
      <c r="D2459">
        <f>'0374 table 5'!F878</f>
        <v>377.59444444444443</v>
      </c>
      <c r="E2459">
        <f>'0374 table 5'!G878</f>
        <v>1.5126018185225112</v>
      </c>
    </row>
    <row r="2460" spans="1:5" x14ac:dyDescent="0.35">
      <c r="A2460">
        <v>374</v>
      </c>
      <c r="B2460">
        <v>5</v>
      </c>
      <c r="C2460">
        <f>'0374 table 5'!E879</f>
        <v>275790.40000000002</v>
      </c>
      <c r="D2460">
        <f>'0374 table 5'!F879</f>
        <v>388.70555555555552</v>
      </c>
      <c r="E2460">
        <f>'0374 table 5'!G879</f>
        <v>1.466891324006721</v>
      </c>
    </row>
    <row r="2461" spans="1:5" x14ac:dyDescent="0.35">
      <c r="A2461">
        <v>374</v>
      </c>
      <c r="B2461">
        <v>5</v>
      </c>
      <c r="C2461">
        <f>'0374 table 5'!E880</f>
        <v>275790.40000000002</v>
      </c>
      <c r="D2461">
        <f>'0374 table 5'!F880</f>
        <v>399.81666666666666</v>
      </c>
      <c r="E2461">
        <f>'0374 table 5'!G880</f>
        <v>1.4251292934300173</v>
      </c>
    </row>
    <row r="2462" spans="1:5" x14ac:dyDescent="0.35">
      <c r="A2462">
        <v>374</v>
      </c>
      <c r="B2462">
        <v>5</v>
      </c>
      <c r="C2462">
        <f>'0374 table 5'!E881</f>
        <v>275790.40000000002</v>
      </c>
      <c r="D2462">
        <f>'0374 table 5'!F881</f>
        <v>410.92777777777775</v>
      </c>
      <c r="E2462">
        <f>'0374 table 5'!G881</f>
        <v>1.3856793475911238</v>
      </c>
    </row>
    <row r="2463" spans="1:5" x14ac:dyDescent="0.35">
      <c r="A2463">
        <v>374</v>
      </c>
      <c r="B2463">
        <v>5</v>
      </c>
      <c r="C2463">
        <f>'0374 table 5'!E882</f>
        <v>275790.40000000002</v>
      </c>
      <c r="D2463">
        <f>'0374 table 5'!F882</f>
        <v>422.03888888888889</v>
      </c>
      <c r="E2463">
        <f>'0374 table 5'!G882</f>
        <v>1.3483546513597133</v>
      </c>
    </row>
    <row r="2464" spans="1:5" x14ac:dyDescent="0.35">
      <c r="A2464">
        <v>374</v>
      </c>
      <c r="B2464">
        <v>5</v>
      </c>
      <c r="C2464">
        <f>'0374 table 5'!E883</f>
        <v>289579.92</v>
      </c>
      <c r="D2464">
        <f>'0374 table 5'!F883</f>
        <v>266.48333333333329</v>
      </c>
      <c r="E2464">
        <f>'0374 table 5'!G883</f>
        <v>2.3411945714927498</v>
      </c>
    </row>
    <row r="2465" spans="1:5" x14ac:dyDescent="0.35">
      <c r="A2465">
        <v>374</v>
      </c>
      <c r="B2465">
        <v>5</v>
      </c>
      <c r="C2465">
        <f>'0374 table 5'!E884</f>
        <v>289579.92</v>
      </c>
      <c r="D2465">
        <f>'0374 table 5'!F884</f>
        <v>272.03888888888889</v>
      </c>
      <c r="E2465">
        <f>'0374 table 5'!G884</f>
        <v>2.2821560419081623</v>
      </c>
    </row>
    <row r="2466" spans="1:5" x14ac:dyDescent="0.35">
      <c r="A2466">
        <v>374</v>
      </c>
      <c r="B2466">
        <v>5</v>
      </c>
      <c r="C2466">
        <f>'0374 table 5'!E885</f>
        <v>289579.92</v>
      </c>
      <c r="D2466">
        <f>'0374 table 5'!F885</f>
        <v>277.59444444444443</v>
      </c>
      <c r="E2466">
        <f>'0374 table 5'!G885</f>
        <v>2.2272599079746098</v>
      </c>
    </row>
    <row r="2467" spans="1:5" x14ac:dyDescent="0.35">
      <c r="A2467">
        <v>374</v>
      </c>
      <c r="B2467">
        <v>5</v>
      </c>
      <c r="C2467">
        <f>'0374 table 5'!E886</f>
        <v>289579.92</v>
      </c>
      <c r="D2467">
        <f>'0374 table 5'!F886</f>
        <v>283.14999999999998</v>
      </c>
      <c r="E2467">
        <f>'0374 table 5'!G886</f>
        <v>2.1755335132627178</v>
      </c>
    </row>
    <row r="2468" spans="1:5" x14ac:dyDescent="0.35">
      <c r="A2468">
        <v>374</v>
      </c>
      <c r="B2468">
        <v>5</v>
      </c>
      <c r="C2468">
        <f>'0374 table 5'!E887</f>
        <v>289579.92</v>
      </c>
      <c r="D2468">
        <f>'0374 table 5'!F887</f>
        <v>288.70555555555552</v>
      </c>
      <c r="E2468">
        <f>'0374 table 5'!G887</f>
        <v>2.1270021588306194</v>
      </c>
    </row>
    <row r="2469" spans="1:5" x14ac:dyDescent="0.35">
      <c r="A2469">
        <v>374</v>
      </c>
      <c r="B2469">
        <v>5</v>
      </c>
      <c r="C2469">
        <f>'0374 table 5'!E888</f>
        <v>289579.92</v>
      </c>
      <c r="D2469">
        <f>'0374 table 5'!F888</f>
        <v>294.26111111111106</v>
      </c>
      <c r="E2469">
        <f>'0374 table 5'!G888</f>
        <v>2.0811294346048324</v>
      </c>
    </row>
    <row r="2470" spans="1:5" x14ac:dyDescent="0.35">
      <c r="A2470">
        <v>374</v>
      </c>
      <c r="B2470">
        <v>5</v>
      </c>
      <c r="C2470">
        <f>'0374 table 5'!E889</f>
        <v>289579.92</v>
      </c>
      <c r="D2470">
        <f>'0374 table 5'!F889</f>
        <v>299.81666666666666</v>
      </c>
      <c r="E2470">
        <f>'0374 table 5'!G889</f>
        <v>2.0374527166310599</v>
      </c>
    </row>
    <row r="2471" spans="1:5" x14ac:dyDescent="0.35">
      <c r="A2471">
        <v>374</v>
      </c>
      <c r="B2471">
        <v>5</v>
      </c>
      <c r="C2471">
        <f>'0374 table 5'!E890</f>
        <v>289579.92</v>
      </c>
      <c r="D2471">
        <f>'0374 table 5'!F890</f>
        <v>305.37222222222221</v>
      </c>
      <c r="E2471">
        <f>'0374 table 5'!G890</f>
        <v>1.9958202414843502</v>
      </c>
    </row>
    <row r="2472" spans="1:5" x14ac:dyDescent="0.35">
      <c r="A2472">
        <v>374</v>
      </c>
      <c r="B2472">
        <v>5</v>
      </c>
      <c r="C2472">
        <f>'0374 table 5'!E891</f>
        <v>289579.92</v>
      </c>
      <c r="D2472">
        <f>'0374 table 5'!F891</f>
        <v>310.92777777777775</v>
      </c>
      <c r="E2472">
        <f>'0374 table 5'!G891</f>
        <v>1.9563328356318261</v>
      </c>
    </row>
    <row r="2473" spans="1:5" x14ac:dyDescent="0.35">
      <c r="A2473">
        <v>374</v>
      </c>
      <c r="B2473">
        <v>5</v>
      </c>
      <c r="C2473">
        <f>'0374 table 5'!E892</f>
        <v>289579.92</v>
      </c>
      <c r="D2473">
        <f>'0374 table 5'!F892</f>
        <v>316.48333333333329</v>
      </c>
      <c r="E2473">
        <f>'0374 table 5'!G892</f>
        <v>1.9186074090493943</v>
      </c>
    </row>
    <row r="2474" spans="1:5" x14ac:dyDescent="0.35">
      <c r="A2474">
        <v>374</v>
      </c>
      <c r="B2474">
        <v>5</v>
      </c>
      <c r="C2474">
        <f>'0374 table 5'!E893</f>
        <v>289579.92</v>
      </c>
      <c r="D2474">
        <f>'0374 table 5'!F893</f>
        <v>322.03888888888889</v>
      </c>
      <c r="E2474">
        <f>'0374 table 5'!G893</f>
        <v>1.8823094310403519</v>
      </c>
    </row>
    <row r="2475" spans="1:5" x14ac:dyDescent="0.35">
      <c r="A2475">
        <v>374</v>
      </c>
      <c r="B2475">
        <v>5</v>
      </c>
      <c r="C2475">
        <f>'0374 table 5'!E894</f>
        <v>289579.92</v>
      </c>
      <c r="D2475">
        <f>'0374 table 5'!F894</f>
        <v>327.59444444444443</v>
      </c>
      <c r="E2475">
        <f>'0374 table 5'!G894</f>
        <v>1.8477855875133684</v>
      </c>
    </row>
    <row r="2476" spans="1:5" x14ac:dyDescent="0.35">
      <c r="A2476">
        <v>374</v>
      </c>
      <c r="B2476">
        <v>5</v>
      </c>
      <c r="C2476">
        <f>'0374 table 5'!E895</f>
        <v>289579.92</v>
      </c>
      <c r="D2476">
        <f>'0374 table 5'!F895</f>
        <v>333.15</v>
      </c>
      <c r="E2476">
        <f>'0374 table 5'!G895</f>
        <v>1.8145053532117574</v>
      </c>
    </row>
    <row r="2477" spans="1:5" x14ac:dyDescent="0.35">
      <c r="A2477">
        <v>374</v>
      </c>
      <c r="B2477">
        <v>5</v>
      </c>
      <c r="C2477">
        <f>'0374 table 5'!E896</f>
        <v>289579.92</v>
      </c>
      <c r="D2477">
        <f>'0374 table 5'!F896</f>
        <v>338.70555555555552</v>
      </c>
      <c r="E2477">
        <f>'0374 table 5'!G896</f>
        <v>1.782601074800066</v>
      </c>
    </row>
    <row r="2478" spans="1:5" x14ac:dyDescent="0.35">
      <c r="A2478">
        <v>374</v>
      </c>
      <c r="B2478">
        <v>5</v>
      </c>
      <c r="C2478">
        <f>'0374 table 5'!E897</f>
        <v>289579.92</v>
      </c>
      <c r="D2478">
        <f>'0374 table 5'!F897</f>
        <v>344.26111111111106</v>
      </c>
      <c r="E2478">
        <f>'0374 table 5'!G897</f>
        <v>1.7517993501917535</v>
      </c>
    </row>
    <row r="2479" spans="1:5" x14ac:dyDescent="0.35">
      <c r="A2479">
        <v>374</v>
      </c>
      <c r="B2479">
        <v>5</v>
      </c>
      <c r="C2479">
        <f>'0374 table 5'!E898</f>
        <v>289579.92</v>
      </c>
      <c r="D2479">
        <f>'0374 table 5'!F898</f>
        <v>349.81666666666666</v>
      </c>
      <c r="E2479">
        <f>'0374 table 5'!G898</f>
        <v>1.7222291429043537</v>
      </c>
    </row>
    <row r="2480" spans="1:5" x14ac:dyDescent="0.35">
      <c r="A2480">
        <v>374</v>
      </c>
      <c r="B2480">
        <v>5</v>
      </c>
      <c r="C2480">
        <f>'0374 table 5'!E899</f>
        <v>289579.92</v>
      </c>
      <c r="D2480">
        <f>'0374 table 5'!F899</f>
        <v>355.37222222222221</v>
      </c>
      <c r="E2480">
        <f>'0374 table 5'!G899</f>
        <v>1.6936406489906317</v>
      </c>
    </row>
    <row r="2481" spans="1:5" x14ac:dyDescent="0.35">
      <c r="A2481">
        <v>374</v>
      </c>
      <c r="B2481">
        <v>5</v>
      </c>
      <c r="C2481">
        <f>'0374 table 5'!E900</f>
        <v>289579.92</v>
      </c>
      <c r="D2481">
        <f>'0374 table 5'!F900</f>
        <v>360.92777777777775</v>
      </c>
      <c r="E2481">
        <f>'0374 table 5'!G900</f>
        <v>1.6661590657534213</v>
      </c>
    </row>
    <row r="2482" spans="1:5" x14ac:dyDescent="0.35">
      <c r="A2482">
        <v>374</v>
      </c>
      <c r="B2482">
        <v>5</v>
      </c>
      <c r="C2482">
        <f>'0374 table 5'!E901</f>
        <v>289579.92</v>
      </c>
      <c r="D2482">
        <f>'0374 table 5'!F901</f>
        <v>366.48333333333329</v>
      </c>
      <c r="E2482">
        <f>'0374 table 5'!G901</f>
        <v>1.6395550929532645</v>
      </c>
    </row>
    <row r="2483" spans="1:5" x14ac:dyDescent="0.35">
      <c r="A2483">
        <v>374</v>
      </c>
      <c r="B2483">
        <v>5</v>
      </c>
      <c r="C2483">
        <f>'0374 table 5'!E902</f>
        <v>289579.92</v>
      </c>
      <c r="D2483">
        <f>'0374 table 5'!F902</f>
        <v>377.59444444444443</v>
      </c>
      <c r="E2483">
        <f>'0374 table 5'!G902</f>
        <v>1.5891322676739477</v>
      </c>
    </row>
    <row r="2484" spans="1:5" x14ac:dyDescent="0.35">
      <c r="A2484">
        <v>374</v>
      </c>
      <c r="B2484">
        <v>5</v>
      </c>
      <c r="C2484">
        <f>'0374 table 5'!E903</f>
        <v>289579.92</v>
      </c>
      <c r="D2484">
        <f>'0374 table 5'!F903</f>
        <v>388.70555555555552</v>
      </c>
      <c r="E2484">
        <f>'0374 table 5'!G903</f>
        <v>1.5417183116605768</v>
      </c>
    </row>
    <row r="2485" spans="1:5" x14ac:dyDescent="0.35">
      <c r="A2485">
        <v>374</v>
      </c>
      <c r="B2485">
        <v>5</v>
      </c>
      <c r="C2485">
        <f>'0374 table 5'!E904</f>
        <v>289579.92</v>
      </c>
      <c r="D2485">
        <f>'0374 table 5'!F904</f>
        <v>399.81666666666666</v>
      </c>
      <c r="E2485">
        <f>'0374 table 5'!G904</f>
        <v>1.4970517063694762</v>
      </c>
    </row>
    <row r="2486" spans="1:5" x14ac:dyDescent="0.35">
      <c r="A2486">
        <v>374</v>
      </c>
      <c r="B2486">
        <v>5</v>
      </c>
      <c r="C2486">
        <f>'0374 table 5'!E905</f>
        <v>289579.92</v>
      </c>
      <c r="D2486">
        <f>'0374 table 5'!F905</f>
        <v>410.92777777777775</v>
      </c>
      <c r="E2486">
        <f>'0374 table 5'!G905</f>
        <v>1.4549003867532602</v>
      </c>
    </row>
    <row r="2487" spans="1:5" x14ac:dyDescent="0.35">
      <c r="A2487">
        <v>374</v>
      </c>
      <c r="B2487">
        <v>5</v>
      </c>
      <c r="C2487">
        <f>'0374 table 5'!E906</f>
        <v>289579.92</v>
      </c>
      <c r="D2487">
        <f>'0374 table 5'!F906</f>
        <v>422.03888888888889</v>
      </c>
      <c r="E2487">
        <f>'0374 table 5'!G906</f>
        <v>1.4163088645582134</v>
      </c>
    </row>
    <row r="2488" spans="1:5" x14ac:dyDescent="0.35">
      <c r="A2488">
        <v>374</v>
      </c>
      <c r="B2488">
        <v>5</v>
      </c>
      <c r="C2488">
        <f>'0374 table 5'!E907</f>
        <v>303369.44</v>
      </c>
      <c r="D2488">
        <f>'0374 table 5'!F907</f>
        <v>266.48333333333329</v>
      </c>
      <c r="E2488">
        <f>'0374 table 5'!G907</f>
        <v>2.4594585073166582</v>
      </c>
    </row>
    <row r="2489" spans="1:5" x14ac:dyDescent="0.35">
      <c r="A2489">
        <v>374</v>
      </c>
      <c r="B2489">
        <v>5</v>
      </c>
      <c r="C2489">
        <f>'0374 table 5'!E908</f>
        <v>303369.44</v>
      </c>
      <c r="D2489">
        <f>'0374 table 5'!F908</f>
        <v>272.03888888888889</v>
      </c>
      <c r="E2489">
        <f>'0374 table 5'!G908</f>
        <v>2.3968955945164439</v>
      </c>
    </row>
    <row r="2490" spans="1:5" x14ac:dyDescent="0.35">
      <c r="A2490">
        <v>374</v>
      </c>
      <c r="B2490">
        <v>5</v>
      </c>
      <c r="C2490">
        <f>'0374 table 5'!E909</f>
        <v>303369.44</v>
      </c>
      <c r="D2490">
        <f>'0374 table 5'!F909</f>
        <v>277.59444444444443</v>
      </c>
      <c r="E2490">
        <f>'0374 table 5'!G909</f>
        <v>2.3384603296574298</v>
      </c>
    </row>
    <row r="2491" spans="1:5" x14ac:dyDescent="0.35">
      <c r="A2491">
        <v>374</v>
      </c>
      <c r="B2491">
        <v>5</v>
      </c>
      <c r="C2491">
        <f>'0374 table 5'!E910</f>
        <v>303369.44</v>
      </c>
      <c r="D2491">
        <f>'0374 table 5'!F910</f>
        <v>283.14999999999998</v>
      </c>
      <c r="E2491">
        <f>'0374 table 5'!G910</f>
        <v>2.2837828996511824</v>
      </c>
    </row>
    <row r="2492" spans="1:5" x14ac:dyDescent="0.35">
      <c r="A2492">
        <v>374</v>
      </c>
      <c r="B2492">
        <v>5</v>
      </c>
      <c r="C2492">
        <f>'0374 table 5'!E911</f>
        <v>303369.44</v>
      </c>
      <c r="D2492">
        <f>'0374 table 5'!F911</f>
        <v>288.70555555555552</v>
      </c>
      <c r="E2492">
        <f>'0374 table 5'!G911</f>
        <v>2.2322259278363146</v>
      </c>
    </row>
    <row r="2493" spans="1:5" x14ac:dyDescent="0.35">
      <c r="A2493">
        <v>374</v>
      </c>
      <c r="B2493">
        <v>5</v>
      </c>
      <c r="C2493">
        <f>'0374 table 5'!E912</f>
        <v>303369.44</v>
      </c>
      <c r="D2493">
        <f>'0374 table 5'!F912</f>
        <v>294.26111111111106</v>
      </c>
      <c r="E2493">
        <f>'0374 table 5'!G912</f>
        <v>2.1835405204680196</v>
      </c>
    </row>
    <row r="2494" spans="1:5" x14ac:dyDescent="0.35">
      <c r="A2494">
        <v>374</v>
      </c>
      <c r="B2494">
        <v>5</v>
      </c>
      <c r="C2494">
        <f>'0374 table 5'!E913</f>
        <v>303369.44</v>
      </c>
      <c r="D2494">
        <f>'0374 table 5'!F913</f>
        <v>299.81666666666666</v>
      </c>
      <c r="E2494">
        <f>'0374 table 5'!G913</f>
        <v>2.1375037707704023</v>
      </c>
    </row>
    <row r="2495" spans="1:5" x14ac:dyDescent="0.35">
      <c r="A2495">
        <v>374</v>
      </c>
      <c r="B2495">
        <v>5</v>
      </c>
      <c r="C2495">
        <f>'0374 table 5'!E914</f>
        <v>303369.44</v>
      </c>
      <c r="D2495">
        <f>'0374 table 5'!F914</f>
        <v>305.37222222222221</v>
      </c>
      <c r="E2495">
        <f>'0374 table 5'!G914</f>
        <v>2.0939154585821429</v>
      </c>
    </row>
    <row r="2496" spans="1:5" x14ac:dyDescent="0.35">
      <c r="A2496">
        <v>374</v>
      </c>
      <c r="B2496">
        <v>5</v>
      </c>
      <c r="C2496">
        <f>'0374 table 5'!E915</f>
        <v>303369.44</v>
      </c>
      <c r="D2496">
        <f>'0374 table 5'!F915</f>
        <v>310.92777777777775</v>
      </c>
      <c r="E2496">
        <f>'0374 table 5'!G915</f>
        <v>2.0520693387334608</v>
      </c>
    </row>
    <row r="2497" spans="1:5" x14ac:dyDescent="0.35">
      <c r="A2497">
        <v>374</v>
      </c>
      <c r="B2497">
        <v>5</v>
      </c>
      <c r="C2497">
        <f>'0374 table 5'!E916</f>
        <v>303369.44</v>
      </c>
      <c r="D2497">
        <f>'0374 table 5'!F916</f>
        <v>316.48333333333329</v>
      </c>
      <c r="E2497">
        <f>'0374 table 5'!G916</f>
        <v>2.0123684997680145</v>
      </c>
    </row>
    <row r="2498" spans="1:5" x14ac:dyDescent="0.35">
      <c r="A2498">
        <v>374</v>
      </c>
      <c r="B2498">
        <v>5</v>
      </c>
      <c r="C2498">
        <f>'0374 table 5'!E917</f>
        <v>303369.44</v>
      </c>
      <c r="D2498">
        <f>'0374 table 5'!F917</f>
        <v>322.03888888888889</v>
      </c>
      <c r="E2498">
        <f>'0374 table 5'!G917</f>
        <v>1.9741746682466592</v>
      </c>
    </row>
    <row r="2499" spans="1:5" x14ac:dyDescent="0.35">
      <c r="A2499">
        <v>374</v>
      </c>
      <c r="B2499">
        <v>5</v>
      </c>
      <c r="C2499">
        <f>'0374 table 5'!E918</f>
        <v>303369.44</v>
      </c>
      <c r="D2499">
        <f>'0374 table 5'!F918</f>
        <v>327.59444444444443</v>
      </c>
      <c r="E2499">
        <f>'0374 table 5'!G918</f>
        <v>1.9376379893738229</v>
      </c>
    </row>
    <row r="2500" spans="1:5" x14ac:dyDescent="0.35">
      <c r="A2500">
        <v>374</v>
      </c>
      <c r="B2500">
        <v>5</v>
      </c>
      <c r="C2500">
        <f>'0374 table 5'!E919</f>
        <v>303369.44</v>
      </c>
      <c r="D2500">
        <f>'0374 table 5'!F919</f>
        <v>333.15</v>
      </c>
      <c r="E2500">
        <f>'0374 table 5'!G919</f>
        <v>1.902655096585508</v>
      </c>
    </row>
    <row r="2501" spans="1:5" x14ac:dyDescent="0.35">
      <c r="A2501">
        <v>374</v>
      </c>
      <c r="B2501">
        <v>5</v>
      </c>
      <c r="C2501">
        <f>'0374 table 5'!E920</f>
        <v>303369.44</v>
      </c>
      <c r="D2501">
        <f>'0374 table 5'!F920</f>
        <v>338.70555555555552</v>
      </c>
      <c r="E2501">
        <f>'0374 table 5'!G920</f>
        <v>1.8691310686293343</v>
      </c>
    </row>
    <row r="2502" spans="1:5" x14ac:dyDescent="0.35">
      <c r="A2502">
        <v>374</v>
      </c>
      <c r="B2502">
        <v>5</v>
      </c>
      <c r="C2502">
        <f>'0374 table 5'!E921</f>
        <v>303369.44</v>
      </c>
      <c r="D2502">
        <f>'0374 table 5'!F921</f>
        <v>344.26111111111106</v>
      </c>
      <c r="E2502">
        <f>'0374 table 5'!G921</f>
        <v>1.8367679461246866</v>
      </c>
    </row>
    <row r="2503" spans="1:5" x14ac:dyDescent="0.35">
      <c r="A2503">
        <v>374</v>
      </c>
      <c r="B2503">
        <v>5</v>
      </c>
      <c r="C2503">
        <f>'0374 table 5'!E922</f>
        <v>303369.44</v>
      </c>
      <c r="D2503">
        <f>'0374 table 5'!F922</f>
        <v>349.81666666666666</v>
      </c>
      <c r="E2503">
        <f>'0374 table 5'!G922</f>
        <v>1.8057099828828083</v>
      </c>
    </row>
    <row r="2504" spans="1:5" x14ac:dyDescent="0.35">
      <c r="A2504">
        <v>374</v>
      </c>
      <c r="B2504">
        <v>5</v>
      </c>
      <c r="C2504">
        <f>'0374 table 5'!E923</f>
        <v>303369.44</v>
      </c>
      <c r="D2504">
        <f>'0374 table 5'!F923</f>
        <v>355.37222222222221</v>
      </c>
      <c r="E2504">
        <f>'0374 table 5'!G923</f>
        <v>1.7756848750862868</v>
      </c>
    </row>
    <row r="2505" spans="1:5" x14ac:dyDescent="0.35">
      <c r="A2505">
        <v>374</v>
      </c>
      <c r="B2505">
        <v>5</v>
      </c>
      <c r="C2505">
        <f>'0374 table 5'!E924</f>
        <v>303369.44</v>
      </c>
      <c r="D2505">
        <f>'0374 table 5'!F924</f>
        <v>360.92777777777775</v>
      </c>
      <c r="E2505">
        <f>'0374 table 5'!G924</f>
        <v>1.7466419428800999</v>
      </c>
    </row>
    <row r="2506" spans="1:5" x14ac:dyDescent="0.35">
      <c r="A2506">
        <v>374</v>
      </c>
      <c r="B2506">
        <v>5</v>
      </c>
      <c r="C2506">
        <f>'0374 table 5'!E925</f>
        <v>303369.44</v>
      </c>
      <c r="D2506">
        <f>'0374 table 5'!F925</f>
        <v>366.48333333333329</v>
      </c>
      <c r="E2506">
        <f>'0374 table 5'!G925</f>
        <v>1.7187181607460724</v>
      </c>
    </row>
    <row r="2507" spans="1:5" x14ac:dyDescent="0.35">
      <c r="A2507">
        <v>374</v>
      </c>
      <c r="B2507">
        <v>5</v>
      </c>
      <c r="C2507">
        <f>'0374 table 5'!E926</f>
        <v>303369.44</v>
      </c>
      <c r="D2507">
        <f>'0374 table 5'!F926</f>
        <v>377.59444444444443</v>
      </c>
      <c r="E2507">
        <f>'0374 table 5'!G926</f>
        <v>1.6656393114436303</v>
      </c>
    </row>
    <row r="2508" spans="1:5" x14ac:dyDescent="0.35">
      <c r="A2508">
        <v>374</v>
      </c>
      <c r="B2508">
        <v>5</v>
      </c>
      <c r="C2508">
        <f>'0374 table 5'!E927</f>
        <v>303369.44</v>
      </c>
      <c r="D2508">
        <f>'0374 table 5'!F927</f>
        <v>388.70555555555552</v>
      </c>
      <c r="E2508">
        <f>'0374 table 5'!G927</f>
        <v>1.6159036879000699</v>
      </c>
    </row>
    <row r="2509" spans="1:5" x14ac:dyDescent="0.35">
      <c r="A2509">
        <v>374</v>
      </c>
      <c r="B2509">
        <v>5</v>
      </c>
      <c r="C2509">
        <f>'0374 table 5'!E928</f>
        <v>303369.44</v>
      </c>
      <c r="D2509">
        <f>'0374 table 5'!F928</f>
        <v>399.81666666666666</v>
      </c>
      <c r="E2509">
        <f>'0374 table 5'!G928</f>
        <v>1.5688984581932801</v>
      </c>
    </row>
    <row r="2510" spans="1:5" x14ac:dyDescent="0.35">
      <c r="A2510">
        <v>374</v>
      </c>
      <c r="B2510">
        <v>5</v>
      </c>
      <c r="C2510">
        <f>'0374 table 5'!E929</f>
        <v>303369.44</v>
      </c>
      <c r="D2510">
        <f>'0374 table 5'!F929</f>
        <v>410.92777777777775</v>
      </c>
      <c r="E2510">
        <f>'0374 table 5'!G929</f>
        <v>1.5255669769669897</v>
      </c>
    </row>
    <row r="2511" spans="1:5" x14ac:dyDescent="0.35">
      <c r="A2511">
        <v>374</v>
      </c>
      <c r="B2511">
        <v>5</v>
      </c>
      <c r="C2511">
        <f>'0374 table 5'!E930</f>
        <v>303369.44</v>
      </c>
      <c r="D2511">
        <f>'0374 table 5'!F930</f>
        <v>422.03888888888889</v>
      </c>
      <c r="E2511">
        <f>'0374 table 5'!G930</f>
        <v>1.4831901164956844</v>
      </c>
    </row>
    <row r="2512" spans="1:5" x14ac:dyDescent="0.35">
      <c r="A2512">
        <v>374</v>
      </c>
      <c r="B2512">
        <v>5</v>
      </c>
      <c r="C2512">
        <f>'0374 table 5'!E931</f>
        <v>317158.96000000002</v>
      </c>
      <c r="D2512">
        <f>'0374 table 5'!F931</f>
        <v>266.48333333333329</v>
      </c>
      <c r="E2512">
        <f>'0374 table 5'!G931</f>
        <v>2.578215557404377</v>
      </c>
    </row>
    <row r="2513" spans="1:5" x14ac:dyDescent="0.35">
      <c r="A2513">
        <v>374</v>
      </c>
      <c r="B2513">
        <v>5</v>
      </c>
      <c r="C2513">
        <f>'0374 table 5'!E932</f>
        <v>317158.96000000002</v>
      </c>
      <c r="D2513">
        <f>'0374 table 5'!F932</f>
        <v>272.03888888888889</v>
      </c>
      <c r="E2513">
        <f>'0374 table 5'!G932</f>
        <v>2.5119104999456474</v>
      </c>
    </row>
    <row r="2514" spans="1:5" x14ac:dyDescent="0.35">
      <c r="A2514">
        <v>374</v>
      </c>
      <c r="B2514">
        <v>5</v>
      </c>
      <c r="C2514">
        <f>'0374 table 5'!E933</f>
        <v>317158.96000000002</v>
      </c>
      <c r="D2514">
        <f>'0374 table 5'!F933</f>
        <v>277.59444444444443</v>
      </c>
      <c r="E2514">
        <f>'0374 table 5'!G933</f>
        <v>2.4500540315315682</v>
      </c>
    </row>
    <row r="2515" spans="1:5" x14ac:dyDescent="0.35">
      <c r="A2515">
        <v>374</v>
      </c>
      <c r="B2515">
        <v>5</v>
      </c>
      <c r="C2515">
        <f>'0374 table 5'!E934</f>
        <v>317158.96000000002</v>
      </c>
      <c r="D2515">
        <f>'0374 table 5'!F934</f>
        <v>283.14999999999998</v>
      </c>
      <c r="E2515">
        <f>'0374 table 5'!G934</f>
        <v>2.3922421233801368</v>
      </c>
    </row>
    <row r="2516" spans="1:5" x14ac:dyDescent="0.35">
      <c r="A2516">
        <v>374</v>
      </c>
      <c r="B2516">
        <v>5</v>
      </c>
      <c r="C2516">
        <f>'0374 table 5'!E935</f>
        <v>317158.96000000002</v>
      </c>
      <c r="D2516">
        <f>'0374 table 5'!F935</f>
        <v>288.70555555555552</v>
      </c>
      <c r="E2516">
        <f>'0374 table 5'!G935</f>
        <v>2.3381189984167849</v>
      </c>
    </row>
    <row r="2517" spans="1:5" x14ac:dyDescent="0.35">
      <c r="A2517">
        <v>374</v>
      </c>
      <c r="B2517">
        <v>5</v>
      </c>
      <c r="C2517">
        <f>'0374 table 5'!E936</f>
        <v>317158.96000000002</v>
      </c>
      <c r="D2517">
        <f>'0374 table 5'!F936</f>
        <v>294.26111111111106</v>
      </c>
      <c r="E2517">
        <f>'0374 table 5'!G936</f>
        <v>2.2867170960961305</v>
      </c>
    </row>
    <row r="2518" spans="1:5" x14ac:dyDescent="0.35">
      <c r="A2518">
        <v>374</v>
      </c>
      <c r="B2518">
        <v>5</v>
      </c>
      <c r="C2518">
        <f>'0374 table 5'!E937</f>
        <v>317158.96000000002</v>
      </c>
      <c r="D2518">
        <f>'0374 table 5'!F937</f>
        <v>299.81666666666666</v>
      </c>
      <c r="E2518">
        <f>'0374 table 5'!G937</f>
        <v>2.2381519153490839</v>
      </c>
    </row>
    <row r="2519" spans="1:5" x14ac:dyDescent="0.35">
      <c r="A2519">
        <v>374</v>
      </c>
      <c r="B2519">
        <v>5</v>
      </c>
      <c r="C2519">
        <f>'0374 table 5'!E938</f>
        <v>317158.96000000002</v>
      </c>
      <c r="D2519">
        <f>'0374 table 5'!F938</f>
        <v>305.37222222222221</v>
      </c>
      <c r="E2519">
        <f>'0374 table 5'!G938</f>
        <v>2.1919065761019971</v>
      </c>
    </row>
    <row r="2520" spans="1:5" x14ac:dyDescent="0.35">
      <c r="A2520">
        <v>374</v>
      </c>
      <c r="B2520">
        <v>5</v>
      </c>
      <c r="C2520">
        <f>'0374 table 5'!E939</f>
        <v>317158.96000000002</v>
      </c>
      <c r="D2520">
        <f>'0374 table 5'!F939</f>
        <v>310.92777777777775</v>
      </c>
      <c r="E2520">
        <f>'0374 table 5'!G939</f>
        <v>2.1481095961047867</v>
      </c>
    </row>
    <row r="2521" spans="1:5" x14ac:dyDescent="0.35">
      <c r="A2521">
        <v>374</v>
      </c>
      <c r="B2521">
        <v>5</v>
      </c>
      <c r="C2521">
        <f>'0374 table 5'!E940</f>
        <v>317158.96000000002</v>
      </c>
      <c r="D2521">
        <f>'0374 table 5'!F940</f>
        <v>316.48333333333329</v>
      </c>
      <c r="E2521">
        <f>'0374 table 5'!G940</f>
        <v>2.1063054908814451</v>
      </c>
    </row>
    <row r="2522" spans="1:5" x14ac:dyDescent="0.35">
      <c r="A2522">
        <v>374</v>
      </c>
      <c r="B2522">
        <v>5</v>
      </c>
      <c r="C2522">
        <f>'0374 table 5'!E941</f>
        <v>317158.96000000002</v>
      </c>
      <c r="D2522">
        <f>'0374 table 5'!F941</f>
        <v>322.03888888888889</v>
      </c>
      <c r="E2522">
        <f>'0374 table 5'!G941</f>
        <v>2.0660974149559386</v>
      </c>
    </row>
    <row r="2523" spans="1:5" x14ac:dyDescent="0.35">
      <c r="A2523">
        <v>374</v>
      </c>
      <c r="B2523">
        <v>5</v>
      </c>
      <c r="C2523">
        <f>'0374 table 5'!E942</f>
        <v>317158.96000000002</v>
      </c>
      <c r="D2523">
        <f>'0374 table 5'!F942</f>
        <v>327.59444444444443</v>
      </c>
      <c r="E2523">
        <f>'0374 table 5'!G942</f>
        <v>2.0279090085015055</v>
      </c>
    </row>
    <row r="2524" spans="1:5" x14ac:dyDescent="0.35">
      <c r="A2524">
        <v>374</v>
      </c>
      <c r="B2524">
        <v>5</v>
      </c>
      <c r="C2524">
        <f>'0374 table 5'!E943</f>
        <v>317158.96000000002</v>
      </c>
      <c r="D2524">
        <f>'0374 table 5'!F943</f>
        <v>333.15</v>
      </c>
      <c r="E2524">
        <f>'0374 table 5'!G943</f>
        <v>1.9911066821819008</v>
      </c>
    </row>
    <row r="2525" spans="1:5" x14ac:dyDescent="0.35">
      <c r="A2525">
        <v>374</v>
      </c>
      <c r="B2525">
        <v>5</v>
      </c>
      <c r="C2525">
        <f>'0374 table 5'!E944</f>
        <v>317158.96000000002</v>
      </c>
      <c r="D2525">
        <f>'0374 table 5'!F944</f>
        <v>338.70555555555552</v>
      </c>
      <c r="E2525">
        <f>'0374 table 5'!G944</f>
        <v>1.9558550986756282</v>
      </c>
    </row>
    <row r="2526" spans="1:5" x14ac:dyDescent="0.35">
      <c r="A2526">
        <v>374</v>
      </c>
      <c r="B2526">
        <v>5</v>
      </c>
      <c r="C2526">
        <f>'0374 table 5'!E945</f>
        <v>317158.96000000002</v>
      </c>
      <c r="D2526">
        <f>'0374 table 5'!F945</f>
        <v>344.26111111111106</v>
      </c>
      <c r="E2526">
        <f>'0374 table 5'!G945</f>
        <v>1.9229835844121721</v>
      </c>
    </row>
    <row r="2527" spans="1:5" x14ac:dyDescent="0.35">
      <c r="A2527">
        <v>374</v>
      </c>
      <c r="B2527">
        <v>5</v>
      </c>
      <c r="C2527">
        <f>'0374 table 5'!E946</f>
        <v>317158.96000000002</v>
      </c>
      <c r="D2527">
        <f>'0374 table 5'!F946</f>
        <v>349.81666666666666</v>
      </c>
      <c r="E2527">
        <f>'0374 table 5'!G946</f>
        <v>1.889191326589621</v>
      </c>
    </row>
    <row r="2528" spans="1:5" x14ac:dyDescent="0.35">
      <c r="A2528">
        <v>374</v>
      </c>
      <c r="B2528">
        <v>5</v>
      </c>
      <c r="C2528">
        <f>'0374 table 5'!E947</f>
        <v>317158.96000000002</v>
      </c>
      <c r="D2528">
        <f>'0374 table 5'!F947</f>
        <v>355.37222222222221</v>
      </c>
      <c r="E2528">
        <f>'0374 table 5'!G947</f>
        <v>1.8576427296942359</v>
      </c>
    </row>
    <row r="2529" spans="1:5" x14ac:dyDescent="0.35">
      <c r="A2529">
        <v>374</v>
      </c>
      <c r="B2529">
        <v>5</v>
      </c>
      <c r="C2529">
        <f>'0374 table 5'!E948</f>
        <v>317158.96000000002</v>
      </c>
      <c r="D2529">
        <f>'0374 table 5'!F948</f>
        <v>360.92777777777775</v>
      </c>
      <c r="E2529">
        <f>'0374 table 5'!G948</f>
        <v>1.8273389525614181</v>
      </c>
    </row>
    <row r="2530" spans="1:5" x14ac:dyDescent="0.35">
      <c r="A2530">
        <v>374</v>
      </c>
      <c r="B2530">
        <v>5</v>
      </c>
      <c r="C2530">
        <f>'0374 table 5'!E949</f>
        <v>317158.96000000002</v>
      </c>
      <c r="D2530">
        <f>'0374 table 5'!F949</f>
        <v>366.48333333333329</v>
      </c>
      <c r="E2530">
        <f>'0374 table 5'!G949</f>
        <v>1.7980079984457729</v>
      </c>
    </row>
    <row r="2531" spans="1:5" x14ac:dyDescent="0.35">
      <c r="A2531">
        <v>374</v>
      </c>
      <c r="B2531">
        <v>5</v>
      </c>
      <c r="C2531">
        <f>'0374 table 5'!E950</f>
        <v>317158.96000000002</v>
      </c>
      <c r="D2531">
        <f>'0374 table 5'!F950</f>
        <v>377.59444444444443</v>
      </c>
      <c r="E2531">
        <f>'0374 table 5'!G950</f>
        <v>1.7422724883786593</v>
      </c>
    </row>
    <row r="2532" spans="1:5" x14ac:dyDescent="0.35">
      <c r="A2532">
        <v>374</v>
      </c>
      <c r="B2532">
        <v>5</v>
      </c>
      <c r="C2532">
        <f>'0374 table 5'!E951</f>
        <v>317158.96000000002</v>
      </c>
      <c r="D2532">
        <f>'0374 table 5'!F951</f>
        <v>388.70555555555552</v>
      </c>
      <c r="E2532">
        <f>'0374 table 5'!G951</f>
        <v>1.690245147003629</v>
      </c>
    </row>
    <row r="2533" spans="1:5" x14ac:dyDescent="0.35">
      <c r="A2533">
        <v>374</v>
      </c>
      <c r="B2533">
        <v>5</v>
      </c>
      <c r="C2533">
        <f>'0374 table 5'!E952</f>
        <v>317158.96000000002</v>
      </c>
      <c r="D2533">
        <f>'0374 table 5'!F952</f>
        <v>399.81666666666666</v>
      </c>
      <c r="E2533">
        <f>'0374 table 5'!G952</f>
        <v>1.6412349649747331</v>
      </c>
    </row>
    <row r="2534" spans="1:5" x14ac:dyDescent="0.35">
      <c r="A2534">
        <v>374</v>
      </c>
      <c r="B2534">
        <v>5</v>
      </c>
      <c r="C2534">
        <f>'0374 table 5'!E953</f>
        <v>317158.96000000002</v>
      </c>
      <c r="D2534">
        <f>'0374 table 5'!F953</f>
        <v>410.92777777777775</v>
      </c>
      <c r="E2534">
        <f>'0374 table 5'!G953</f>
        <v>1.5954634719276288</v>
      </c>
    </row>
    <row r="2535" spans="1:5" x14ac:dyDescent="0.35">
      <c r="A2535">
        <v>374</v>
      </c>
      <c r="B2535">
        <v>5</v>
      </c>
      <c r="C2535">
        <f>'0374 table 5'!E954</f>
        <v>317158.96000000002</v>
      </c>
      <c r="D2535">
        <f>'0374 table 5'!F954</f>
        <v>422.03888888888889</v>
      </c>
      <c r="E2535">
        <f>'0374 table 5'!G954</f>
        <v>1.5521757033094372</v>
      </c>
    </row>
    <row r="2536" spans="1:5" x14ac:dyDescent="0.35">
      <c r="A2536">
        <v>374</v>
      </c>
      <c r="B2536">
        <v>5</v>
      </c>
      <c r="C2536">
        <f>'0374 table 5'!E955</f>
        <v>330948.47999999998</v>
      </c>
      <c r="D2536">
        <f>'0374 table 5'!F955</f>
        <v>266.48333333333329</v>
      </c>
      <c r="E2536">
        <f>'0374 table 5'!G955</f>
        <v>2.6980719653281779</v>
      </c>
    </row>
    <row r="2537" spans="1:5" x14ac:dyDescent="0.35">
      <c r="A2537">
        <v>374</v>
      </c>
      <c r="B2537">
        <v>5</v>
      </c>
      <c r="C2537">
        <f>'0374 table 5'!E956</f>
        <v>330948.47999999998</v>
      </c>
      <c r="D2537">
        <f>'0374 table 5'!F956</f>
        <v>272.03888888888889</v>
      </c>
      <c r="E2537">
        <f>'0374 table 5'!G956</f>
        <v>2.62769902528763</v>
      </c>
    </row>
    <row r="2538" spans="1:5" x14ac:dyDescent="0.35">
      <c r="A2538">
        <v>374</v>
      </c>
      <c r="B2538">
        <v>5</v>
      </c>
      <c r="C2538">
        <f>'0374 table 5'!E957</f>
        <v>330948.47999999998</v>
      </c>
      <c r="D2538">
        <f>'0374 table 5'!F957</f>
        <v>277.59444444444443</v>
      </c>
      <c r="E2538">
        <f>'0374 table 5'!G957</f>
        <v>2.5625425145022227</v>
      </c>
    </row>
    <row r="2539" spans="1:5" x14ac:dyDescent="0.35">
      <c r="A2539">
        <v>374</v>
      </c>
      <c r="B2539">
        <v>5</v>
      </c>
      <c r="C2539">
        <f>'0374 table 5'!E958</f>
        <v>330948.47999999998</v>
      </c>
      <c r="D2539">
        <f>'0374 table 5'!F958</f>
        <v>283.14999999999998</v>
      </c>
      <c r="E2539">
        <f>'0374 table 5'!G958</f>
        <v>2.5013199965885997</v>
      </c>
    </row>
    <row r="2540" spans="1:5" x14ac:dyDescent="0.35">
      <c r="A2540">
        <v>374</v>
      </c>
      <c r="B2540">
        <v>5</v>
      </c>
      <c r="C2540">
        <f>'0374 table 5'!E959</f>
        <v>330948.47999999998</v>
      </c>
      <c r="D2540">
        <f>'0374 table 5'!F959</f>
        <v>288.70555555555552</v>
      </c>
      <c r="E2540">
        <f>'0374 table 5'!G959</f>
        <v>2.4440728193703682</v>
      </c>
    </row>
    <row r="2541" spans="1:5" x14ac:dyDescent="0.35">
      <c r="A2541">
        <v>374</v>
      </c>
      <c r="B2541">
        <v>5</v>
      </c>
      <c r="C2541">
        <f>'0374 table 5'!E960</f>
        <v>330948.47999999998</v>
      </c>
      <c r="D2541">
        <f>'0374 table 5'!F960</f>
        <v>294.26111111111106</v>
      </c>
      <c r="E2541">
        <f>'0374 table 5'!G960</f>
        <v>2.3901004563045949</v>
      </c>
    </row>
    <row r="2542" spans="1:5" x14ac:dyDescent="0.35">
      <c r="A2542">
        <v>374</v>
      </c>
      <c r="B2542">
        <v>5</v>
      </c>
      <c r="C2542">
        <f>'0374 table 5'!E961</f>
        <v>330948.47999999998</v>
      </c>
      <c r="D2542">
        <f>'0374 table 5'!F961</f>
        <v>299.81666666666666</v>
      </c>
      <c r="E2542">
        <f>'0374 table 5'!G961</f>
        <v>2.3391432912023062</v>
      </c>
    </row>
    <row r="2543" spans="1:5" x14ac:dyDescent="0.35">
      <c r="A2543">
        <v>374</v>
      </c>
      <c r="B2543">
        <v>5</v>
      </c>
      <c r="C2543">
        <f>'0374 table 5'!E962</f>
        <v>330948.47999999998</v>
      </c>
      <c r="D2543">
        <f>'0374 table 5'!F962</f>
        <v>305.37222222222221</v>
      </c>
      <c r="E2543">
        <f>'0374 table 5'!G962</f>
        <v>2.2906411065570418</v>
      </c>
    </row>
    <row r="2544" spans="1:5" x14ac:dyDescent="0.35">
      <c r="A2544">
        <v>374</v>
      </c>
      <c r="B2544">
        <v>5</v>
      </c>
      <c r="C2544">
        <f>'0374 table 5'!E963</f>
        <v>330948.47999999998</v>
      </c>
      <c r="D2544">
        <f>'0374 table 5'!F963</f>
        <v>310.92777777777775</v>
      </c>
      <c r="E2544">
        <f>'0374 table 5'!G963</f>
        <v>2.2444238837261308</v>
      </c>
    </row>
    <row r="2545" spans="1:5" x14ac:dyDescent="0.35">
      <c r="A2545">
        <v>374</v>
      </c>
      <c r="B2545">
        <v>5</v>
      </c>
      <c r="C2545">
        <f>'0374 table 5'!E964</f>
        <v>330948.47999999998</v>
      </c>
      <c r="D2545">
        <f>'0374 table 5'!F964</f>
        <v>316.48333333333329</v>
      </c>
      <c r="E2545">
        <f>'0374 table 5'!G964</f>
        <v>2.2003369860100812</v>
      </c>
    </row>
    <row r="2546" spans="1:5" x14ac:dyDescent="0.35">
      <c r="A2546">
        <v>374</v>
      </c>
      <c r="B2546">
        <v>5</v>
      </c>
      <c r="C2546">
        <f>'0374 table 5'!E965</f>
        <v>330948.47999999998</v>
      </c>
      <c r="D2546">
        <f>'0374 table 5'!F965</f>
        <v>322.03888888888889</v>
      </c>
      <c r="E2546">
        <f>'0374 table 5'!G965</f>
        <v>2.1585302867744769</v>
      </c>
    </row>
    <row r="2547" spans="1:5" x14ac:dyDescent="0.35">
      <c r="A2547">
        <v>374</v>
      </c>
      <c r="B2547">
        <v>5</v>
      </c>
      <c r="C2547">
        <f>'0374 table 5'!E966</f>
        <v>330948.47999999998</v>
      </c>
      <c r="D2547">
        <f>'0374 table 5'!F966</f>
        <v>327.59444444444443</v>
      </c>
      <c r="E2547">
        <f>'0374 table 5'!G966</f>
        <v>2.1182826313347518</v>
      </c>
    </row>
    <row r="2548" spans="1:5" x14ac:dyDescent="0.35">
      <c r="A2548">
        <v>374</v>
      </c>
      <c r="B2548">
        <v>5</v>
      </c>
      <c r="C2548">
        <f>'0374 table 5'!E967</f>
        <v>330948.47999999998</v>
      </c>
      <c r="D2548">
        <f>'0374 table 5'!F967</f>
        <v>333.15</v>
      </c>
      <c r="E2548">
        <f>'0374 table 5'!G967</f>
        <v>2.079778402772448</v>
      </c>
    </row>
    <row r="2549" spans="1:5" x14ac:dyDescent="0.35">
      <c r="A2549">
        <v>374</v>
      </c>
      <c r="B2549">
        <v>5</v>
      </c>
      <c r="C2549">
        <f>'0374 table 5'!E968</f>
        <v>330948.47999999998</v>
      </c>
      <c r="D2549">
        <f>'0374 table 5'!F968</f>
        <v>338.70555555555552</v>
      </c>
      <c r="E2549">
        <f>'0374 table 5'!G968</f>
        <v>2.0426489745158625</v>
      </c>
    </row>
    <row r="2550" spans="1:5" x14ac:dyDescent="0.35">
      <c r="A2550">
        <v>374</v>
      </c>
      <c r="B2550">
        <v>5</v>
      </c>
      <c r="C2550">
        <f>'0374 table 5'!E969</f>
        <v>330948.47999999998</v>
      </c>
      <c r="D2550">
        <f>'0374 table 5'!F969</f>
        <v>344.26111111111106</v>
      </c>
      <c r="E2550">
        <f>'0374 table 5'!G969</f>
        <v>2.0070734567289055</v>
      </c>
    </row>
    <row r="2551" spans="1:5" x14ac:dyDescent="0.35">
      <c r="A2551">
        <v>374</v>
      </c>
      <c r="B2551">
        <v>5</v>
      </c>
      <c r="C2551">
        <f>'0374 table 5'!E970</f>
        <v>330948.47999999998</v>
      </c>
      <c r="D2551">
        <f>'0374 table 5'!F970</f>
        <v>349.81666666666666</v>
      </c>
      <c r="E2551">
        <f>'0374 table 5'!G970</f>
        <v>1.9729588937250149</v>
      </c>
    </row>
    <row r="2552" spans="1:5" x14ac:dyDescent="0.35">
      <c r="A2552">
        <v>374</v>
      </c>
      <c r="B2552">
        <v>5</v>
      </c>
      <c r="C2552">
        <f>'0374 table 5'!E971</f>
        <v>330948.47999999998</v>
      </c>
      <c r="D2552">
        <f>'0374 table 5'!F971</f>
        <v>355.37222222222221</v>
      </c>
      <c r="E2552">
        <f>'0374 table 5'!G971</f>
        <v>1.9399846503758502</v>
      </c>
    </row>
    <row r="2553" spans="1:5" x14ac:dyDescent="0.35">
      <c r="A2553">
        <v>374</v>
      </c>
      <c r="B2553">
        <v>5</v>
      </c>
      <c r="C2553">
        <f>'0374 table 5'!E972</f>
        <v>330948.47999999998</v>
      </c>
      <c r="D2553">
        <f>'0374 table 5'!F972</f>
        <v>360.92777777777775</v>
      </c>
      <c r="E2553">
        <f>'0374 table 5'!G972</f>
        <v>1.9080944917395348</v>
      </c>
    </row>
    <row r="2554" spans="1:5" x14ac:dyDescent="0.35">
      <c r="A2554">
        <v>374</v>
      </c>
      <c r="B2554">
        <v>5</v>
      </c>
      <c r="C2554">
        <f>'0374 table 5'!E973</f>
        <v>330948.47999999998</v>
      </c>
      <c r="D2554">
        <f>'0374 table 5'!F973</f>
        <v>366.48333333333329</v>
      </c>
      <c r="E2554">
        <f>'0374 table 5'!G973</f>
        <v>1.8774558436654236</v>
      </c>
    </row>
    <row r="2555" spans="1:5" x14ac:dyDescent="0.35">
      <c r="A2555">
        <v>374</v>
      </c>
      <c r="B2555">
        <v>5</v>
      </c>
      <c r="C2555">
        <f>'0374 table 5'!E974</f>
        <v>330948.47999999998</v>
      </c>
      <c r="D2555">
        <f>'0374 table 5'!F974</f>
        <v>377.59444444444443</v>
      </c>
      <c r="E2555">
        <f>'0374 table 5'!G974</f>
        <v>1.8201753602810515</v>
      </c>
    </row>
    <row r="2556" spans="1:5" x14ac:dyDescent="0.35">
      <c r="A2556">
        <v>374</v>
      </c>
      <c r="B2556">
        <v>5</v>
      </c>
      <c r="C2556">
        <f>'0374 table 5'!E975</f>
        <v>330948.47999999998</v>
      </c>
      <c r="D2556">
        <f>'0374 table 5'!F975</f>
        <v>388.70555555555552</v>
      </c>
      <c r="E2556">
        <f>'0374 table 5'!G975</f>
        <v>1.7647298951364321</v>
      </c>
    </row>
    <row r="2557" spans="1:5" x14ac:dyDescent="0.35">
      <c r="A2557">
        <v>374</v>
      </c>
      <c r="B2557">
        <v>5</v>
      </c>
      <c r="C2557">
        <f>'0374 table 5'!E976</f>
        <v>330948.47999999998</v>
      </c>
      <c r="D2557">
        <f>'0374 table 5'!F976</f>
        <v>399.81666666666666</v>
      </c>
      <c r="E2557">
        <f>'0374 table 5'!G976</f>
        <v>1.713570096079738</v>
      </c>
    </row>
    <row r="2558" spans="1:5" x14ac:dyDescent="0.35">
      <c r="A2558">
        <v>374</v>
      </c>
      <c r="B2558">
        <v>5</v>
      </c>
      <c r="C2558">
        <f>'0374 table 5'!E977</f>
        <v>330948.47999999998</v>
      </c>
      <c r="D2558">
        <f>'0374 table 5'!F977</f>
        <v>410.92777777777775</v>
      </c>
      <c r="E2558">
        <f>'0374 table 5'!G977</f>
        <v>1.6652929886842078</v>
      </c>
    </row>
    <row r="2559" spans="1:5" x14ac:dyDescent="0.35">
      <c r="A2559">
        <v>374</v>
      </c>
      <c r="B2559">
        <v>5</v>
      </c>
      <c r="C2559">
        <f>'0374 table 5'!E978</f>
        <v>330948.47999999998</v>
      </c>
      <c r="D2559">
        <f>'0374 table 5'!F978</f>
        <v>422.03888888888889</v>
      </c>
      <c r="E2559">
        <f>'0374 table 5'!G978</f>
        <v>1.6199892049103353</v>
      </c>
    </row>
    <row r="2560" spans="1:5" x14ac:dyDescent="0.35">
      <c r="A2560">
        <v>374</v>
      </c>
      <c r="B2560">
        <v>5</v>
      </c>
      <c r="C2560">
        <f>'0374 table 5'!E979</f>
        <v>344738</v>
      </c>
      <c r="D2560">
        <f>'0374 table 5'!F979</f>
        <v>272.03888888888889</v>
      </c>
      <c r="E2560">
        <f>'0374 table 5'!G979</f>
        <v>2.7438254981420682</v>
      </c>
    </row>
    <row r="2561" spans="1:5" x14ac:dyDescent="0.35">
      <c r="A2561">
        <v>374</v>
      </c>
      <c r="B2561">
        <v>5</v>
      </c>
      <c r="C2561">
        <f>'0374 table 5'!E980</f>
        <v>344738</v>
      </c>
      <c r="D2561">
        <f>'0374 table 5'!F980</f>
        <v>277.59444444444443</v>
      </c>
      <c r="E2561">
        <f>'0374 table 5'!G980</f>
        <v>2.6750923944811942</v>
      </c>
    </row>
    <row r="2562" spans="1:5" x14ac:dyDescent="0.35">
      <c r="A2562">
        <v>374</v>
      </c>
      <c r="B2562">
        <v>5</v>
      </c>
      <c r="C2562">
        <f>'0374 table 5'!E981</f>
        <v>344738</v>
      </c>
      <c r="D2562">
        <f>'0374 table 5'!F981</f>
        <v>283.14999999999998</v>
      </c>
      <c r="E2562">
        <f>'0374 table 5'!G981</f>
        <v>2.6109948261048728</v>
      </c>
    </row>
    <row r="2563" spans="1:5" x14ac:dyDescent="0.35">
      <c r="A2563">
        <v>374</v>
      </c>
      <c r="B2563">
        <v>5</v>
      </c>
      <c r="C2563">
        <f>'0374 table 5'!E982</f>
        <v>344738</v>
      </c>
      <c r="D2563">
        <f>'0374 table 5'!F982</f>
        <v>288.70555555555552</v>
      </c>
      <c r="E2563">
        <f>'0374 table 5'!G982</f>
        <v>2.5507091175403493</v>
      </c>
    </row>
    <row r="2564" spans="1:5" x14ac:dyDescent="0.35">
      <c r="A2564">
        <v>374</v>
      </c>
      <c r="B2564">
        <v>5</v>
      </c>
      <c r="C2564">
        <f>'0374 table 5'!E983</f>
        <v>344738</v>
      </c>
      <c r="D2564">
        <f>'0374 table 5'!F983</f>
        <v>294.26111111111106</v>
      </c>
      <c r="E2564">
        <f>'0374 table 5'!G983</f>
        <v>2.4939207937339862</v>
      </c>
    </row>
    <row r="2565" spans="1:5" x14ac:dyDescent="0.35">
      <c r="A2565">
        <v>374</v>
      </c>
      <c r="B2565">
        <v>5</v>
      </c>
      <c r="C2565">
        <f>'0374 table 5'!E984</f>
        <v>344738</v>
      </c>
      <c r="D2565">
        <f>'0374 table 5'!F984</f>
        <v>299.81666666666666</v>
      </c>
      <c r="E2565">
        <f>'0374 table 5'!G984</f>
        <v>2.440349369005697</v>
      </c>
    </row>
    <row r="2566" spans="1:5" x14ac:dyDescent="0.35">
      <c r="A2566">
        <v>374</v>
      </c>
      <c r="B2566">
        <v>5</v>
      </c>
      <c r="C2566">
        <f>'0374 table 5'!E985</f>
        <v>344738</v>
      </c>
      <c r="D2566">
        <f>'0374 table 5'!F985</f>
        <v>305.37222222222221</v>
      </c>
      <c r="E2566">
        <f>'0374 table 5'!G985</f>
        <v>2.3893874191756255</v>
      </c>
    </row>
    <row r="2567" spans="1:5" x14ac:dyDescent="0.35">
      <c r="A2567">
        <v>374</v>
      </c>
      <c r="B2567">
        <v>5</v>
      </c>
      <c r="C2567">
        <f>'0374 table 5'!E986</f>
        <v>344738</v>
      </c>
      <c r="D2567">
        <f>'0374 table 5'!F986</f>
        <v>310.92777777777775</v>
      </c>
      <c r="E2567">
        <f>'0374 table 5'!G986</f>
        <v>2.340852441641589</v>
      </c>
    </row>
    <row r="2568" spans="1:5" x14ac:dyDescent="0.35">
      <c r="A2568">
        <v>374</v>
      </c>
      <c r="B2568">
        <v>5</v>
      </c>
      <c r="C2568">
        <f>'0374 table 5'!E987</f>
        <v>344738</v>
      </c>
      <c r="D2568">
        <f>'0374 table 5'!F987</f>
        <v>316.48333333333329</v>
      </c>
      <c r="E2568">
        <f>'0374 table 5'!G987</f>
        <v>2.2949073435749847</v>
      </c>
    </row>
    <row r="2569" spans="1:5" x14ac:dyDescent="0.35">
      <c r="A2569">
        <v>374</v>
      </c>
      <c r="B2569">
        <v>5</v>
      </c>
      <c r="C2569">
        <f>'0374 table 5'!E988</f>
        <v>344738</v>
      </c>
      <c r="D2569">
        <f>'0374 table 5'!F988</f>
        <v>322.03888888888889</v>
      </c>
      <c r="E2569">
        <f>'0374 table 5'!G988</f>
        <v>2.2507311027333698</v>
      </c>
    </row>
    <row r="2570" spans="1:5" x14ac:dyDescent="0.35">
      <c r="A2570">
        <v>374</v>
      </c>
      <c r="B2570">
        <v>5</v>
      </c>
      <c r="C2570">
        <f>'0374 table 5'!E989</f>
        <v>344738</v>
      </c>
      <c r="D2570">
        <f>'0374 table 5'!F989</f>
        <v>327.59444444444443</v>
      </c>
      <c r="E2570">
        <f>'0374 table 5'!G989</f>
        <v>2.2088324956085761</v>
      </c>
    </row>
    <row r="2571" spans="1:5" x14ac:dyDescent="0.35">
      <c r="A2571">
        <v>374</v>
      </c>
      <c r="B2571">
        <v>5</v>
      </c>
      <c r="C2571">
        <f>'0374 table 5'!E990</f>
        <v>344738</v>
      </c>
      <c r="D2571">
        <f>'0374 table 5'!F990</f>
        <v>333.15</v>
      </c>
      <c r="E2571">
        <f>'0374 table 5'!G990</f>
        <v>2.1684653117846748</v>
      </c>
    </row>
    <row r="2572" spans="1:5" x14ac:dyDescent="0.35">
      <c r="A2572">
        <v>374</v>
      </c>
      <c r="B2572">
        <v>5</v>
      </c>
      <c r="C2572">
        <f>'0374 table 5'!E991</f>
        <v>344738</v>
      </c>
      <c r="D2572">
        <f>'0374 table 5'!F991</f>
        <v>338.70555555555552</v>
      </c>
      <c r="E2572">
        <f>'0374 table 5'!G991</f>
        <v>2.1298302430731808</v>
      </c>
    </row>
    <row r="2573" spans="1:5" x14ac:dyDescent="0.35">
      <c r="A2573">
        <v>374</v>
      </c>
      <c r="B2573">
        <v>5</v>
      </c>
      <c r="C2573">
        <f>'0374 table 5'!E992</f>
        <v>344738</v>
      </c>
      <c r="D2573">
        <f>'0374 table 5'!F992</f>
        <v>344.26111111111106</v>
      </c>
      <c r="E2573">
        <f>'0374 table 5'!G992</f>
        <v>2.1016076171809752</v>
      </c>
    </row>
    <row r="2574" spans="1:5" x14ac:dyDescent="0.35">
      <c r="A2574">
        <v>374</v>
      </c>
      <c r="B2574">
        <v>5</v>
      </c>
      <c r="C2574">
        <f>'0374 table 5'!E993</f>
        <v>344738</v>
      </c>
      <c r="D2574">
        <f>'0374 table 5'!F993</f>
        <v>349.81666666666666</v>
      </c>
      <c r="E2574">
        <f>'0374 table 5'!G993</f>
        <v>2.0568121800402404</v>
      </c>
    </row>
    <row r="2575" spans="1:5" x14ac:dyDescent="0.35">
      <c r="A2575">
        <v>374</v>
      </c>
      <c r="B2575">
        <v>5</v>
      </c>
      <c r="C2575">
        <f>'0374 table 5'!E994</f>
        <v>344738</v>
      </c>
      <c r="D2575">
        <f>'0374 table 5'!F994</f>
        <v>355.37222222222221</v>
      </c>
      <c r="E2575">
        <f>'0374 table 5'!G994</f>
        <v>2.0222766390800899</v>
      </c>
    </row>
    <row r="2576" spans="1:5" x14ac:dyDescent="0.35">
      <c r="A2576">
        <v>374</v>
      </c>
      <c r="B2576">
        <v>5</v>
      </c>
      <c r="C2576">
        <f>'0374 table 5'!E995</f>
        <v>344738</v>
      </c>
      <c r="D2576">
        <f>'0374 table 5'!F995</f>
        <v>360.92777777777775</v>
      </c>
      <c r="E2576">
        <f>'0374 table 5'!G995</f>
        <v>1.9891286797657259</v>
      </c>
    </row>
    <row r="2577" spans="1:5" x14ac:dyDescent="0.35">
      <c r="A2577">
        <v>374</v>
      </c>
      <c r="B2577">
        <v>5</v>
      </c>
      <c r="C2577">
        <f>'0374 table 5'!E996</f>
        <v>344738</v>
      </c>
      <c r="D2577">
        <f>'0374 table 5'!F996</f>
        <v>366.48333333333329</v>
      </c>
      <c r="E2577">
        <f>'0374 table 5'!G996</f>
        <v>1.9570498788214286</v>
      </c>
    </row>
    <row r="2578" spans="1:5" x14ac:dyDescent="0.35">
      <c r="A2578">
        <v>374</v>
      </c>
      <c r="B2578">
        <v>5</v>
      </c>
      <c r="C2578">
        <f>'0374 table 5'!E997</f>
        <v>344738</v>
      </c>
      <c r="D2578">
        <f>'0374 table 5'!F997</f>
        <v>377.59444444444443</v>
      </c>
      <c r="E2578">
        <f>'0374 table 5'!G997</f>
        <v>1.8961237284745966</v>
      </c>
    </row>
    <row r="2579" spans="1:5" x14ac:dyDescent="0.35">
      <c r="A2579">
        <v>374</v>
      </c>
      <c r="B2579">
        <v>5</v>
      </c>
      <c r="C2579">
        <f>'0374 table 5'!E998</f>
        <v>344738</v>
      </c>
      <c r="D2579">
        <f>'0374 table 5'!F998</f>
        <v>388.70555555555552</v>
      </c>
      <c r="E2579">
        <f>'0374 table 5'!G998</f>
        <v>1.8390876300979782</v>
      </c>
    </row>
    <row r="2580" spans="1:5" x14ac:dyDescent="0.35">
      <c r="A2580">
        <v>374</v>
      </c>
      <c r="B2580">
        <v>5</v>
      </c>
      <c r="C2580">
        <f>'0374 table 5'!E999</f>
        <v>344738</v>
      </c>
      <c r="D2580">
        <f>'0374 table 5'!F999</f>
        <v>399.81666666666666</v>
      </c>
      <c r="E2580">
        <f>'0374 table 5'!G999</f>
        <v>1.7857807422690515</v>
      </c>
    </row>
    <row r="2581" spans="1:5" x14ac:dyDescent="0.35">
      <c r="A2581">
        <v>374</v>
      </c>
      <c r="B2581">
        <v>5</v>
      </c>
      <c r="C2581">
        <f>'0374 table 5'!E1000</f>
        <v>344738</v>
      </c>
      <c r="D2581">
        <f>'0374 table 5'!F1000</f>
        <v>410.92777777777775</v>
      </c>
      <c r="E2581">
        <f>'0374 table 5'!G1000</f>
        <v>1.7354770593882332</v>
      </c>
    </row>
    <row r="2582" spans="1:5" x14ac:dyDescent="0.35">
      <c r="A2582">
        <v>374</v>
      </c>
      <c r="B2582">
        <v>5</v>
      </c>
      <c r="C2582">
        <f>'0374 table 5'!E1001</f>
        <v>344738</v>
      </c>
      <c r="D2582">
        <f>'0374 table 5'!F1001</f>
        <v>422.03888888888889</v>
      </c>
      <c r="E2582">
        <f>'0374 table 5'!G1001</f>
        <v>1.6881076254772254</v>
      </c>
    </row>
    <row r="2583" spans="1:5" x14ac:dyDescent="0.35">
      <c r="A2583">
        <v>374</v>
      </c>
      <c r="B2583">
        <v>5</v>
      </c>
      <c r="C2583">
        <f>'0374 table 5'!E1002</f>
        <v>358527.52</v>
      </c>
      <c r="D2583">
        <f>'0374 table 5'!F1002</f>
        <v>272.03888888888889</v>
      </c>
      <c r="E2583">
        <f>'0374 table 5'!G1002</f>
        <v>2.8609489655569553</v>
      </c>
    </row>
    <row r="2584" spans="1:5" x14ac:dyDescent="0.35">
      <c r="A2584">
        <v>374</v>
      </c>
      <c r="B2584">
        <v>5</v>
      </c>
      <c r="C2584">
        <f>'0374 table 5'!E1003</f>
        <v>358527.52</v>
      </c>
      <c r="D2584">
        <f>'0374 table 5'!F1003</f>
        <v>277.59444444444443</v>
      </c>
      <c r="E2584">
        <f>'0374 table 5'!G1003</f>
        <v>2.7887279349152845</v>
      </c>
    </row>
    <row r="2585" spans="1:5" x14ac:dyDescent="0.35">
      <c r="A2585">
        <v>374</v>
      </c>
      <c r="B2585">
        <v>5</v>
      </c>
      <c r="C2585">
        <f>'0374 table 5'!E1004</f>
        <v>358527.52</v>
      </c>
      <c r="D2585">
        <f>'0374 table 5'!F1004</f>
        <v>283.14999999999998</v>
      </c>
      <c r="E2585">
        <f>'0374 table 5'!G1004</f>
        <v>2.7209874737817894</v>
      </c>
    </row>
    <row r="2586" spans="1:5" x14ac:dyDescent="0.35">
      <c r="A2586">
        <v>374</v>
      </c>
      <c r="B2586">
        <v>5</v>
      </c>
      <c r="C2586">
        <f>'0374 table 5'!E1005</f>
        <v>358527.52</v>
      </c>
      <c r="D2586">
        <f>'0374 table 5'!F1005</f>
        <v>288.70555555555552</v>
      </c>
      <c r="E2586">
        <f>'0374 table 5'!G1005</f>
        <v>2.6577821898379614</v>
      </c>
    </row>
    <row r="2587" spans="1:5" x14ac:dyDescent="0.35">
      <c r="A2587">
        <v>374</v>
      </c>
      <c r="B2587">
        <v>5</v>
      </c>
      <c r="C2587">
        <f>'0374 table 5'!E1006</f>
        <v>358527.52</v>
      </c>
      <c r="D2587">
        <f>'0374 table 5'!F1006</f>
        <v>294.26111111111106</v>
      </c>
      <c r="E2587">
        <f>'0374 table 5'!G1006</f>
        <v>2.5982892551749219</v>
      </c>
    </row>
    <row r="2588" spans="1:5" x14ac:dyDescent="0.35">
      <c r="A2588">
        <v>374</v>
      </c>
      <c r="B2588">
        <v>5</v>
      </c>
      <c r="C2588">
        <f>'0374 table 5'!E1007</f>
        <v>358527.52</v>
      </c>
      <c r="D2588">
        <f>'0374 table 5'!F1007</f>
        <v>299.81666666666666</v>
      </c>
      <c r="E2588">
        <f>'0374 table 5'!G1007</f>
        <v>2.5418047061493803</v>
      </c>
    </row>
    <row r="2589" spans="1:5" x14ac:dyDescent="0.35">
      <c r="A2589">
        <v>374</v>
      </c>
      <c r="B2589">
        <v>5</v>
      </c>
      <c r="C2589">
        <f>'0374 table 5'!E1008</f>
        <v>358527.52</v>
      </c>
      <c r="D2589">
        <f>'0374 table 5'!F1008</f>
        <v>305.37222222222221</v>
      </c>
      <c r="E2589">
        <f>'0374 table 5'!G1008</f>
        <v>2.4884967000393652</v>
      </c>
    </row>
    <row r="2590" spans="1:5" x14ac:dyDescent="0.35">
      <c r="A2590">
        <v>374</v>
      </c>
      <c r="B2590">
        <v>5</v>
      </c>
      <c r="C2590">
        <f>'0374 table 5'!E1009</f>
        <v>358527.52</v>
      </c>
      <c r="D2590">
        <f>'0374 table 5'!F1009</f>
        <v>310.92777777777775</v>
      </c>
      <c r="E2590">
        <f>'0374 table 5'!G1009</f>
        <v>2.4377496968731385</v>
      </c>
    </row>
    <row r="2591" spans="1:5" x14ac:dyDescent="0.35">
      <c r="A2591">
        <v>374</v>
      </c>
      <c r="B2591">
        <v>5</v>
      </c>
      <c r="C2591">
        <f>'0374 table 5'!E1010</f>
        <v>358527.52</v>
      </c>
      <c r="D2591">
        <f>'0374 table 5'!F1010</f>
        <v>316.48333333333329</v>
      </c>
      <c r="E2591">
        <f>'0374 table 5'!G1010</f>
        <v>2.3893874191756255</v>
      </c>
    </row>
    <row r="2592" spans="1:5" x14ac:dyDescent="0.35">
      <c r="A2592">
        <v>374</v>
      </c>
      <c r="B2592">
        <v>5</v>
      </c>
      <c r="C2592">
        <f>'0374 table 5'!E1011</f>
        <v>358527.52</v>
      </c>
      <c r="D2592">
        <f>'0374 table 5'!F1011</f>
        <v>322.03888888888889</v>
      </c>
      <c r="E2592">
        <f>'0374 table 5'!G1011</f>
        <v>2.3435922835630425</v>
      </c>
    </row>
    <row r="2593" spans="1:5" x14ac:dyDescent="0.35">
      <c r="A2593">
        <v>374</v>
      </c>
      <c r="B2593">
        <v>5</v>
      </c>
      <c r="C2593">
        <f>'0374 table 5'!E1012</f>
        <v>358527.52</v>
      </c>
      <c r="D2593">
        <f>'0374 table 5'!F1012</f>
        <v>327.59444444444443</v>
      </c>
      <c r="E2593">
        <f>'0374 table 5'!G1012</f>
        <v>2.2995195604584255</v>
      </c>
    </row>
    <row r="2594" spans="1:5" x14ac:dyDescent="0.35">
      <c r="A2594">
        <v>374</v>
      </c>
      <c r="B2594">
        <v>5</v>
      </c>
      <c r="C2594">
        <f>'0374 table 5'!E1013</f>
        <v>358527.52</v>
      </c>
      <c r="D2594">
        <f>'0374 table 5'!F1013</f>
        <v>333.15</v>
      </c>
      <c r="E2594">
        <f>'0374 table 5'!G1013</f>
        <v>2.2573919473158672</v>
      </c>
    </row>
    <row r="2595" spans="1:5" x14ac:dyDescent="0.35">
      <c r="A2595">
        <v>374</v>
      </c>
      <c r="B2595">
        <v>5</v>
      </c>
      <c r="C2595">
        <f>'0374 table 5'!E1014</f>
        <v>358527.52</v>
      </c>
      <c r="D2595">
        <f>'0374 table 5'!F1014</f>
        <v>338.70555555555552</v>
      </c>
      <c r="E2595">
        <f>'0374 table 5'!G1014</f>
        <v>2.2170869561457986</v>
      </c>
    </row>
    <row r="2596" spans="1:5" x14ac:dyDescent="0.35">
      <c r="A2596">
        <v>374</v>
      </c>
      <c r="B2596">
        <v>5</v>
      </c>
      <c r="C2596">
        <f>'0374 table 5'!E1015</f>
        <v>358527.52</v>
      </c>
      <c r="D2596">
        <f>'0374 table 5'!F1015</f>
        <v>344.26111111111106</v>
      </c>
      <c r="E2596">
        <f>'0374 table 5'!G1015</f>
        <v>2.1781959828873259</v>
      </c>
    </row>
    <row r="2597" spans="1:5" x14ac:dyDescent="0.35">
      <c r="A2597">
        <v>374</v>
      </c>
      <c r="B2597">
        <v>5</v>
      </c>
      <c r="C2597">
        <f>'0374 table 5'!E1016</f>
        <v>358527.52</v>
      </c>
      <c r="D2597">
        <f>'0374 table 5'!F1016</f>
        <v>349.81666666666666</v>
      </c>
      <c r="E2597">
        <f>'0374 table 5'!G1016</f>
        <v>2.1406458984569552</v>
      </c>
    </row>
    <row r="2598" spans="1:5" x14ac:dyDescent="0.35">
      <c r="A2598">
        <v>374</v>
      </c>
      <c r="B2598">
        <v>5</v>
      </c>
      <c r="C2598">
        <f>'0374 table 5'!E1017</f>
        <v>358527.52</v>
      </c>
      <c r="D2598">
        <f>'0374 table 5'!F1017</f>
        <v>355.37222222222221</v>
      </c>
      <c r="E2598">
        <f>'0374 table 5'!G1017</f>
        <v>2.1046450214365251</v>
      </c>
    </row>
    <row r="2599" spans="1:5" x14ac:dyDescent="0.35">
      <c r="A2599">
        <v>374</v>
      </c>
      <c r="B2599">
        <v>5</v>
      </c>
      <c r="C2599">
        <f>'0374 table 5'!E1018</f>
        <v>358527.52</v>
      </c>
      <c r="D2599">
        <f>'0374 table 5'!F1018</f>
        <v>360.92777777777775</v>
      </c>
      <c r="E2599">
        <f>'0374 table 5'!G1018</f>
        <v>2.07010251462308</v>
      </c>
    </row>
    <row r="2600" spans="1:5" x14ac:dyDescent="0.35">
      <c r="A2600">
        <v>374</v>
      </c>
      <c r="B2600">
        <v>5</v>
      </c>
      <c r="C2600">
        <f>'0374 table 5'!E1019</f>
        <v>358527.52</v>
      </c>
      <c r="D2600">
        <f>'0374 table 5'!F1019</f>
        <v>366.48333333333329</v>
      </c>
      <c r="E2600">
        <f>'0374 table 5'!G1019</f>
        <v>2.036675557298588</v>
      </c>
    </row>
    <row r="2601" spans="1:5" x14ac:dyDescent="0.35">
      <c r="A2601">
        <v>374</v>
      </c>
      <c r="B2601">
        <v>5</v>
      </c>
      <c r="C2601">
        <f>'0374 table 5'!E1020</f>
        <v>358527.52</v>
      </c>
      <c r="D2601">
        <f>'0374 table 5'!F1020</f>
        <v>372.03888888888889</v>
      </c>
      <c r="E2601">
        <f>'0374 table 5'!G1020</f>
        <v>2.0043109682374118</v>
      </c>
    </row>
    <row r="2602" spans="1:5" x14ac:dyDescent="0.35">
      <c r="A2602">
        <v>374</v>
      </c>
      <c r="B2602">
        <v>5</v>
      </c>
      <c r="C2602">
        <f>'0374 table 5'!E1021</f>
        <v>358527.52</v>
      </c>
      <c r="D2602">
        <f>'0374 table 5'!F1021</f>
        <v>377.59444444444443</v>
      </c>
      <c r="E2602">
        <f>'0374 table 5'!G1021</f>
        <v>1.9732019288190923</v>
      </c>
    </row>
    <row r="2603" spans="1:5" x14ac:dyDescent="0.35">
      <c r="A2603">
        <v>374</v>
      </c>
      <c r="B2603">
        <v>5</v>
      </c>
      <c r="C2603">
        <f>'0374 table 5'!E1022</f>
        <v>358527.52</v>
      </c>
      <c r="D2603">
        <f>'0374 table 5'!F1022</f>
        <v>388.70555555555552</v>
      </c>
      <c r="E2603">
        <f>'0374 table 5'!G1022</f>
        <v>1.9259893300653352</v>
      </c>
    </row>
    <row r="2604" spans="1:5" x14ac:dyDescent="0.35">
      <c r="A2604">
        <v>374</v>
      </c>
      <c r="B2604">
        <v>5</v>
      </c>
      <c r="C2604">
        <f>'0374 table 5'!E1023</f>
        <v>358527.52</v>
      </c>
      <c r="D2604">
        <f>'0374 table 5'!F1023</f>
        <v>399.81666666666666</v>
      </c>
      <c r="E2604">
        <f>'0374 table 5'!G1023</f>
        <v>1.858073687293051</v>
      </c>
    </row>
    <row r="2605" spans="1:5" x14ac:dyDescent="0.35">
      <c r="A2605">
        <v>374</v>
      </c>
      <c r="B2605">
        <v>5</v>
      </c>
      <c r="C2605">
        <f>'0374 table 5'!E1024</f>
        <v>358527.52</v>
      </c>
      <c r="D2605">
        <f>'0374 table 5'!F1024</f>
        <v>410.92777777777775</v>
      </c>
      <c r="E2605">
        <f>'0374 table 5'!G1024</f>
        <v>1.8057099828828083</v>
      </c>
    </row>
    <row r="2606" spans="1:5" x14ac:dyDescent="0.35">
      <c r="A2606">
        <v>374</v>
      </c>
      <c r="B2606">
        <v>5</v>
      </c>
      <c r="C2606">
        <f>'0374 table 5'!E1025</f>
        <v>358527.52</v>
      </c>
      <c r="D2606">
        <f>'0374 table 5'!F1025</f>
        <v>422.03888888888889</v>
      </c>
      <c r="E2606">
        <f>'0374 table 5'!G1025</f>
        <v>1.7564093484817318</v>
      </c>
    </row>
    <row r="2607" spans="1:5" x14ac:dyDescent="0.35">
      <c r="A2607">
        <v>374</v>
      </c>
      <c r="B2607">
        <v>5</v>
      </c>
      <c r="C2607">
        <f>'0374 table 5'!E1026</f>
        <v>372317.04000000004</v>
      </c>
      <c r="D2607">
        <f>'0374 table 5'!F1026</f>
        <v>272.03888888888889</v>
      </c>
      <c r="E2607">
        <f>'0374 table 5'!G1026</f>
        <v>2.9785149234201178</v>
      </c>
    </row>
    <row r="2608" spans="1:5" x14ac:dyDescent="0.35">
      <c r="A2608">
        <v>374</v>
      </c>
      <c r="B2608">
        <v>5</v>
      </c>
      <c r="C2608">
        <f>'0374 table 5'!E1027</f>
        <v>372317.04000000004</v>
      </c>
      <c r="D2608">
        <f>'0374 table 5'!F1027</f>
        <v>277.59444444444443</v>
      </c>
      <c r="E2608">
        <f>'0374 table 5'!G1027</f>
        <v>2.9024195068225027</v>
      </c>
    </row>
    <row r="2609" spans="1:5" x14ac:dyDescent="0.35">
      <c r="A2609">
        <v>374</v>
      </c>
      <c r="B2609">
        <v>5</v>
      </c>
      <c r="C2609">
        <f>'0374 table 5'!E1028</f>
        <v>372317.04000000004</v>
      </c>
      <c r="D2609">
        <f>'0374 table 5'!F1028</f>
        <v>283.14999999999998</v>
      </c>
      <c r="E2609">
        <f>'0374 table 5'!G1028</f>
        <v>2.8316162733168451</v>
      </c>
    </row>
    <row r="2610" spans="1:5" x14ac:dyDescent="0.35">
      <c r="A2610">
        <v>374</v>
      </c>
      <c r="B2610">
        <v>5</v>
      </c>
      <c r="C2610">
        <f>'0374 table 5'!E1029</f>
        <v>372317.04000000004</v>
      </c>
      <c r="D2610">
        <f>'0374 table 5'!F1029</f>
        <v>288.70555555555552</v>
      </c>
      <c r="E2610">
        <f>'0374 table 5'!G1029</f>
        <v>2.7651395232441556</v>
      </c>
    </row>
    <row r="2611" spans="1:5" x14ac:dyDescent="0.35">
      <c r="A2611">
        <v>374</v>
      </c>
      <c r="B2611">
        <v>5</v>
      </c>
      <c r="C2611">
        <f>'0374 table 5'!E1030</f>
        <v>372317.04000000004</v>
      </c>
      <c r="D2611">
        <f>'0374 table 5'!F1030</f>
        <v>294.26111111111106</v>
      </c>
      <c r="E2611">
        <f>'0374 table 5'!G1030</f>
        <v>2.7026241366886108</v>
      </c>
    </row>
    <row r="2612" spans="1:5" x14ac:dyDescent="0.35">
      <c r="A2612">
        <v>374</v>
      </c>
      <c r="B2612">
        <v>5</v>
      </c>
      <c r="C2612">
        <f>'0374 table 5'!E1031</f>
        <v>372317.04000000004</v>
      </c>
      <c r="D2612">
        <f>'0374 table 5'!F1031</f>
        <v>299.81666666666666</v>
      </c>
      <c r="E2612">
        <f>'0374 table 5'!G1031</f>
        <v>2.6437453801210422</v>
      </c>
    </row>
    <row r="2613" spans="1:5" x14ac:dyDescent="0.35">
      <c r="A2613">
        <v>374</v>
      </c>
      <c r="B2613">
        <v>5</v>
      </c>
      <c r="C2613">
        <f>'0374 table 5'!E1032</f>
        <v>372317.04000000004</v>
      </c>
      <c r="D2613">
        <f>'0374 table 5'!F1032</f>
        <v>305.37222222222221</v>
      </c>
      <c r="E2613">
        <f>'0374 table 5'!G1032</f>
        <v>2.5877953567291425</v>
      </c>
    </row>
    <row r="2614" spans="1:5" x14ac:dyDescent="0.35">
      <c r="A2614">
        <v>374</v>
      </c>
      <c r="B2614">
        <v>5</v>
      </c>
      <c r="C2614">
        <f>'0374 table 5'!E1033</f>
        <v>372317.04000000004</v>
      </c>
      <c r="D2614">
        <f>'0374 table 5'!F1033</f>
        <v>310.92777777777775</v>
      </c>
      <c r="E2614">
        <f>'0374 table 5'!G1033</f>
        <v>2.5349664912412395</v>
      </c>
    </row>
    <row r="2615" spans="1:5" x14ac:dyDescent="0.35">
      <c r="A2615">
        <v>374</v>
      </c>
      <c r="B2615">
        <v>5</v>
      </c>
      <c r="C2615">
        <f>'0374 table 5'!E1034</f>
        <v>372317.04000000004</v>
      </c>
      <c r="D2615">
        <f>'0374 table 5'!F1034</f>
        <v>316.48333333333329</v>
      </c>
      <c r="E2615">
        <f>'0374 table 5'!G1034</f>
        <v>2.4846367703045438</v>
      </c>
    </row>
    <row r="2616" spans="1:5" x14ac:dyDescent="0.35">
      <c r="A2616">
        <v>374</v>
      </c>
      <c r="B2616">
        <v>5</v>
      </c>
      <c r="C2616">
        <f>'0374 table 5'!E1035</f>
        <v>372317.04000000004</v>
      </c>
      <c r="D2616">
        <f>'0374 table 5'!F1035</f>
        <v>322.03888888888889</v>
      </c>
      <c r="E2616">
        <f>'0374 table 5'!G1035</f>
        <v>2.4362666552324552</v>
      </c>
    </row>
    <row r="2617" spans="1:5" x14ac:dyDescent="0.35">
      <c r="A2617">
        <v>374</v>
      </c>
      <c r="B2617">
        <v>5</v>
      </c>
      <c r="C2617">
        <f>'0374 table 5'!E1036</f>
        <v>372317.04000000004</v>
      </c>
      <c r="D2617">
        <f>'0374 table 5'!F1036</f>
        <v>327.59444444444443</v>
      </c>
      <c r="E2617">
        <f>'0374 table 5'!G1036</f>
        <v>2.3904571344804348</v>
      </c>
    </row>
    <row r="2618" spans="1:5" x14ac:dyDescent="0.35">
      <c r="A2618">
        <v>374</v>
      </c>
      <c r="B2618">
        <v>5</v>
      </c>
      <c r="C2618">
        <f>'0374 table 5'!E1037</f>
        <v>372317.04000000004</v>
      </c>
      <c r="D2618">
        <f>'0374 table 5'!F1037</f>
        <v>333.15</v>
      </c>
      <c r="E2618">
        <f>'0374 table 5'!G1037</f>
        <v>2.3463385466754643</v>
      </c>
    </row>
    <row r="2619" spans="1:5" x14ac:dyDescent="0.35">
      <c r="A2619">
        <v>374</v>
      </c>
      <c r="B2619">
        <v>5</v>
      </c>
      <c r="C2619">
        <f>'0374 table 5'!E1038</f>
        <v>372317.04000000004</v>
      </c>
      <c r="D2619">
        <f>'0374 table 5'!F1038</f>
        <v>338.70555555555552</v>
      </c>
      <c r="E2619">
        <f>'0374 table 5'!G1038</f>
        <v>2.3041503535893835</v>
      </c>
    </row>
    <row r="2620" spans="1:5" x14ac:dyDescent="0.35">
      <c r="A2620">
        <v>374</v>
      </c>
      <c r="B2620">
        <v>5</v>
      </c>
      <c r="C2620">
        <f>'0374 table 5'!E1039</f>
        <v>372317.04000000004</v>
      </c>
      <c r="D2620">
        <f>'0374 table 5'!F1039</f>
        <v>344.26111111111106</v>
      </c>
      <c r="E2620">
        <f>'0374 table 5'!G1039</f>
        <v>2.2637723654823905</v>
      </c>
    </row>
    <row r="2621" spans="1:5" x14ac:dyDescent="0.35">
      <c r="A2621">
        <v>374</v>
      </c>
      <c r="B2621">
        <v>5</v>
      </c>
      <c r="C2621">
        <f>'0374 table 5'!E1040</f>
        <v>372317.04000000004</v>
      </c>
      <c r="D2621">
        <f>'0374 table 5'!F1040</f>
        <v>349.81666666666666</v>
      </c>
      <c r="E2621">
        <f>'0374 table 5'!G1040</f>
        <v>2.224785174743527</v>
      </c>
    </row>
    <row r="2622" spans="1:5" x14ac:dyDescent="0.35">
      <c r="A2622">
        <v>374</v>
      </c>
      <c r="B2622">
        <v>5</v>
      </c>
      <c r="C2622">
        <f>'0374 table 5'!E1041</f>
        <v>372317.04000000004</v>
      </c>
      <c r="D2622">
        <f>'0374 table 5'!F1041</f>
        <v>355.37222222222221</v>
      </c>
      <c r="E2622">
        <f>'0374 table 5'!G1041</f>
        <v>2.187416804336118</v>
      </c>
    </row>
    <row r="2623" spans="1:5" x14ac:dyDescent="0.35">
      <c r="A2623">
        <v>374</v>
      </c>
      <c r="B2623">
        <v>5</v>
      </c>
      <c r="C2623">
        <f>'0374 table 5'!E1042</f>
        <v>372317.04000000004</v>
      </c>
      <c r="D2623">
        <f>'0374 table 5'!F1042</f>
        <v>360.92777777777775</v>
      </c>
      <c r="E2623">
        <f>'0374 table 5'!G1042</f>
        <v>2.1515719621428331</v>
      </c>
    </row>
    <row r="2624" spans="1:5" x14ac:dyDescent="0.35">
      <c r="A2624">
        <v>374</v>
      </c>
      <c r="B2624">
        <v>5</v>
      </c>
      <c r="C2624">
        <f>'0374 table 5'!E1043</f>
        <v>372317.04000000004</v>
      </c>
      <c r="D2624">
        <f>'0374 table 5'!F1043</f>
        <v>366.48333333333329</v>
      </c>
      <c r="E2624">
        <f>'0374 table 5'!G1043</f>
        <v>2.1163235907191695</v>
      </c>
    </row>
    <row r="2625" spans="1:5" x14ac:dyDescent="0.35">
      <c r="A2625">
        <v>374</v>
      </c>
      <c r="B2625">
        <v>5</v>
      </c>
      <c r="C2625">
        <f>'0374 table 5'!E1044</f>
        <v>372317.04000000004</v>
      </c>
      <c r="D2625">
        <f>'0374 table 5'!F1044</f>
        <v>372.03888888888889</v>
      </c>
      <c r="E2625">
        <f>'0374 table 5'!G1044</f>
        <v>2.0827529915685079</v>
      </c>
    </row>
    <row r="2626" spans="1:5" x14ac:dyDescent="0.35">
      <c r="A2626">
        <v>374</v>
      </c>
      <c r="B2626">
        <v>5</v>
      </c>
      <c r="C2626">
        <f>'0374 table 5'!E1045</f>
        <v>372317.04000000004</v>
      </c>
      <c r="D2626">
        <f>'0374 table 5'!F1045</f>
        <v>377.59444444444443</v>
      </c>
      <c r="E2626">
        <f>'0374 table 5'!G1045</f>
        <v>2.050230802272289</v>
      </c>
    </row>
    <row r="2627" spans="1:5" x14ac:dyDescent="0.35">
      <c r="A2627">
        <v>374</v>
      </c>
      <c r="B2627">
        <v>5</v>
      </c>
      <c r="C2627">
        <f>'0374 table 5'!E1046</f>
        <v>372317.04000000004</v>
      </c>
      <c r="D2627">
        <f>'0374 table 5'!F1046</f>
        <v>388.70555555555552</v>
      </c>
      <c r="E2627">
        <f>'0374 table 5'!G1046</f>
        <v>1.9883879416774324</v>
      </c>
    </row>
    <row r="2628" spans="1:5" x14ac:dyDescent="0.35">
      <c r="A2628">
        <v>374</v>
      </c>
      <c r="B2628">
        <v>5</v>
      </c>
      <c r="C2628">
        <f>'0374 table 5'!E1047</f>
        <v>372317.04000000004</v>
      </c>
      <c r="D2628">
        <f>'0374 table 5'!F1047</f>
        <v>399.81666666666666</v>
      </c>
      <c r="E2628">
        <f>'0374 table 5'!G1047</f>
        <v>1.9303992839423227</v>
      </c>
    </row>
    <row r="2629" spans="1:5" x14ac:dyDescent="0.35">
      <c r="A2629">
        <v>374</v>
      </c>
      <c r="B2629">
        <v>5</v>
      </c>
      <c r="C2629">
        <f>'0374 table 5'!E1048</f>
        <v>372317.04000000004</v>
      </c>
      <c r="D2629">
        <f>'0374 table 5'!F1048</f>
        <v>410.92777777777775</v>
      </c>
      <c r="E2629">
        <f>'0374 table 5'!G1048</f>
        <v>1.8759167652129516</v>
      </c>
    </row>
    <row r="2630" spans="1:5" x14ac:dyDescent="0.35">
      <c r="A2630">
        <v>374</v>
      </c>
      <c r="B2630">
        <v>5</v>
      </c>
      <c r="C2630">
        <f>'0374 table 5'!E1049</f>
        <v>372317.04000000004</v>
      </c>
      <c r="D2630">
        <f>'0374 table 5'!F1049</f>
        <v>422.03888888888889</v>
      </c>
      <c r="E2630">
        <f>'0374 table 5'!G1049</f>
        <v>1.8246330172176095</v>
      </c>
    </row>
    <row r="2631" spans="1:5" x14ac:dyDescent="0.35">
      <c r="A2631">
        <v>374</v>
      </c>
      <c r="B2631">
        <v>5</v>
      </c>
      <c r="C2631">
        <f>'0374 table 5'!E1050</f>
        <v>386106.56</v>
      </c>
      <c r="D2631">
        <f>'0374 table 5'!F1050</f>
        <v>272.03888888888889</v>
      </c>
      <c r="E2631">
        <f>'0374 table 5'!G1050</f>
        <v>3.097148735141801</v>
      </c>
    </row>
    <row r="2632" spans="1:5" x14ac:dyDescent="0.35">
      <c r="A2632">
        <v>374</v>
      </c>
      <c r="B2632">
        <v>5</v>
      </c>
      <c r="C2632">
        <f>'0374 table 5'!E1051</f>
        <v>386106.56</v>
      </c>
      <c r="D2632">
        <f>'0374 table 5'!F1051</f>
        <v>277.59444444444443</v>
      </c>
      <c r="E2632">
        <f>'0374 table 5'!G1051</f>
        <v>3.0166578640590194</v>
      </c>
    </row>
    <row r="2633" spans="1:5" x14ac:dyDescent="0.35">
      <c r="A2633">
        <v>374</v>
      </c>
      <c r="B2633">
        <v>5</v>
      </c>
      <c r="C2633">
        <f>'0374 table 5'!E1052</f>
        <v>386106.56</v>
      </c>
      <c r="D2633">
        <f>'0374 table 5'!F1052</f>
        <v>283.14999999999998</v>
      </c>
      <c r="E2633">
        <f>'0374 table 5'!G1052</f>
        <v>2.9424050804837241</v>
      </c>
    </row>
    <row r="2634" spans="1:5" x14ac:dyDescent="0.35">
      <c r="A2634">
        <v>374</v>
      </c>
      <c r="B2634">
        <v>5</v>
      </c>
      <c r="C2634">
        <f>'0374 table 5'!E1053</f>
        <v>386106.56</v>
      </c>
      <c r="D2634">
        <f>'0374 table 5'!F1053</f>
        <v>288.70555555555552</v>
      </c>
      <c r="E2634">
        <f>'0374 table 5'!G1053</f>
        <v>2.8727498669572085</v>
      </c>
    </row>
    <row r="2635" spans="1:5" x14ac:dyDescent="0.35">
      <c r="A2635">
        <v>374</v>
      </c>
      <c r="B2635">
        <v>5</v>
      </c>
      <c r="C2635">
        <f>'0374 table 5'!E1054</f>
        <v>386106.56</v>
      </c>
      <c r="D2635">
        <f>'0374 table 5'!F1054</f>
        <v>294.26111111111106</v>
      </c>
      <c r="E2635">
        <f>'0374 table 5'!G1054</f>
        <v>2.8072999050391507</v>
      </c>
    </row>
    <row r="2636" spans="1:5" x14ac:dyDescent="0.35">
      <c r="A2636">
        <v>374</v>
      </c>
      <c r="B2636">
        <v>5</v>
      </c>
      <c r="C2636">
        <f>'0374 table 5'!E1055</f>
        <v>386106.56</v>
      </c>
      <c r="D2636">
        <f>'0374 table 5'!F1055</f>
        <v>299.81666666666666</v>
      </c>
      <c r="E2636">
        <f>'0374 table 5'!G1055</f>
        <v>2.7457067634818983</v>
      </c>
    </row>
    <row r="2637" spans="1:5" x14ac:dyDescent="0.35">
      <c r="A2637">
        <v>374</v>
      </c>
      <c r="B2637">
        <v>5</v>
      </c>
      <c r="C2637">
        <f>'0374 table 5'!E1056</f>
        <v>386106.56</v>
      </c>
      <c r="D2637">
        <f>'0374 table 5'!F1056</f>
        <v>305.37222222222221</v>
      </c>
      <c r="E2637">
        <f>'0374 table 5'!G1056</f>
        <v>2.6876599426431866</v>
      </c>
    </row>
    <row r="2638" spans="1:5" x14ac:dyDescent="0.35">
      <c r="A2638">
        <v>374</v>
      </c>
      <c r="B2638">
        <v>5</v>
      </c>
      <c r="C2638">
        <f>'0374 table 5'!E1057</f>
        <v>386106.56</v>
      </c>
      <c r="D2638">
        <f>'0374 table 5'!F1057</f>
        <v>310.92777777777775</v>
      </c>
      <c r="E2638">
        <f>'0374 table 5'!G1057</f>
        <v>2.6324491796472298</v>
      </c>
    </row>
    <row r="2639" spans="1:5" x14ac:dyDescent="0.35">
      <c r="A2639">
        <v>374</v>
      </c>
      <c r="B2639">
        <v>5</v>
      </c>
      <c r="C2639">
        <f>'0374 table 5'!E1058</f>
        <v>386106.56</v>
      </c>
      <c r="D2639">
        <f>'0374 table 5'!F1058</f>
        <v>316.48333333333329</v>
      </c>
      <c r="E2639">
        <f>'0374 table 5'!G1058</f>
        <v>2.5798765112181341</v>
      </c>
    </row>
    <row r="2640" spans="1:5" x14ac:dyDescent="0.35">
      <c r="A2640">
        <v>374</v>
      </c>
      <c r="B2640">
        <v>5</v>
      </c>
      <c r="C2640">
        <f>'0374 table 5'!E1059</f>
        <v>386106.56</v>
      </c>
      <c r="D2640">
        <f>'0374 table 5'!F1059</f>
        <v>322.03888888888889</v>
      </c>
      <c r="E2640">
        <f>'0374 table 5'!G1059</f>
        <v>2.5293625861603335</v>
      </c>
    </row>
    <row r="2641" spans="1:5" x14ac:dyDescent="0.35">
      <c r="A2641">
        <v>374</v>
      </c>
      <c r="B2641">
        <v>5</v>
      </c>
      <c r="C2641">
        <f>'0374 table 5'!E1060</f>
        <v>386106.56</v>
      </c>
      <c r="D2641">
        <f>'0374 table 5'!F1060</f>
        <v>327.59444444444443</v>
      </c>
      <c r="E2641">
        <f>'0374 table 5'!G1060</f>
        <v>2.4815574373591622</v>
      </c>
    </row>
    <row r="2642" spans="1:5" x14ac:dyDescent="0.35">
      <c r="A2642">
        <v>374</v>
      </c>
      <c r="B2642">
        <v>5</v>
      </c>
      <c r="C2642">
        <f>'0374 table 5'!E1061</f>
        <v>386106.56</v>
      </c>
      <c r="D2642">
        <f>'0374 table 5'!F1061</f>
        <v>333.15</v>
      </c>
      <c r="E2642">
        <f>'0374 table 5'!G1061</f>
        <v>2.4358961767264895</v>
      </c>
    </row>
    <row r="2643" spans="1:5" x14ac:dyDescent="0.35">
      <c r="A2643">
        <v>374</v>
      </c>
      <c r="B2643">
        <v>5</v>
      </c>
      <c r="C2643">
        <f>'0374 table 5'!E1062</f>
        <v>386106.56</v>
      </c>
      <c r="D2643">
        <f>'0374 table 5'!F1062</f>
        <v>338.70555555555552</v>
      </c>
      <c r="E2643">
        <f>'0374 table 5'!G1062</f>
        <v>2.3918849123717174</v>
      </c>
    </row>
    <row r="2644" spans="1:5" x14ac:dyDescent="0.35">
      <c r="A2644">
        <v>374</v>
      </c>
      <c r="B2644">
        <v>5</v>
      </c>
      <c r="C2644">
        <f>'0374 table 5'!E1063</f>
        <v>386106.56</v>
      </c>
      <c r="D2644">
        <f>'0374 table 5'!F1063</f>
        <v>344.26111111111106</v>
      </c>
      <c r="E2644">
        <f>'0374 table 5'!G1063</f>
        <v>2.349780439805397</v>
      </c>
    </row>
    <row r="2645" spans="1:5" x14ac:dyDescent="0.35">
      <c r="A2645">
        <v>374</v>
      </c>
      <c r="B2645">
        <v>5</v>
      </c>
      <c r="C2645">
        <f>'0374 table 5'!E1064</f>
        <v>386106.56</v>
      </c>
      <c r="D2645">
        <f>'0374 table 5'!F1064</f>
        <v>349.81666666666666</v>
      </c>
      <c r="E2645">
        <f>'0374 table 5'!G1064</f>
        <v>2.3091326593849493</v>
      </c>
    </row>
    <row r="2646" spans="1:5" x14ac:dyDescent="0.35">
      <c r="A2646">
        <v>374</v>
      </c>
      <c r="B2646">
        <v>5</v>
      </c>
      <c r="C2646">
        <f>'0374 table 5'!E1065</f>
        <v>386106.56</v>
      </c>
      <c r="D2646">
        <f>'0374 table 5'!F1065</f>
        <v>355.37222222222221</v>
      </c>
      <c r="E2646">
        <f>'0374 table 5'!G1065</f>
        <v>2.2701889538199254</v>
      </c>
    </row>
    <row r="2647" spans="1:5" x14ac:dyDescent="0.35">
      <c r="A2647">
        <v>374</v>
      </c>
      <c r="B2647">
        <v>5</v>
      </c>
      <c r="C2647">
        <f>'0374 table 5'!E1066</f>
        <v>386106.56</v>
      </c>
      <c r="D2647">
        <f>'0374 table 5'!F1066</f>
        <v>360.92777777777775</v>
      </c>
      <c r="E2647">
        <f>'0374 table 5'!G1066</f>
        <v>2.2325370394638879</v>
      </c>
    </row>
    <row r="2648" spans="1:5" x14ac:dyDescent="0.35">
      <c r="A2648">
        <v>374</v>
      </c>
      <c r="B2648">
        <v>5</v>
      </c>
      <c r="C2648">
        <f>'0374 table 5'!E1067</f>
        <v>386106.56</v>
      </c>
      <c r="D2648">
        <f>'0374 table 5'!F1067</f>
        <v>366.48333333333329</v>
      </c>
      <c r="E2648">
        <f>'0374 table 5'!G1067</f>
        <v>2.1961136904515208</v>
      </c>
    </row>
    <row r="2649" spans="1:5" x14ac:dyDescent="0.35">
      <c r="A2649">
        <v>374</v>
      </c>
      <c r="B2649">
        <v>5</v>
      </c>
      <c r="C2649">
        <f>'0374 table 5'!E1068</f>
        <v>386106.56</v>
      </c>
      <c r="D2649">
        <f>'0374 table 5'!F1068</f>
        <v>372.03888888888889</v>
      </c>
      <c r="E2649">
        <f>'0374 table 5'!G1068</f>
        <v>2.1611512760595515</v>
      </c>
    </row>
    <row r="2650" spans="1:5" x14ac:dyDescent="0.35">
      <c r="A2650">
        <v>374</v>
      </c>
      <c r="B2650">
        <v>5</v>
      </c>
      <c r="C2650">
        <f>'0374 table 5'!E1069</f>
        <v>386106.56</v>
      </c>
      <c r="D2650">
        <f>'0374 table 5'!F1069</f>
        <v>377.59444444444443</v>
      </c>
      <c r="E2650">
        <f>'0374 table 5'!G1069</f>
        <v>2.1275671746783629</v>
      </c>
    </row>
    <row r="2651" spans="1:5" x14ac:dyDescent="0.35">
      <c r="A2651">
        <v>374</v>
      </c>
      <c r="B2651">
        <v>5</v>
      </c>
      <c r="C2651">
        <f>'0374 table 5'!E1070</f>
        <v>386106.56</v>
      </c>
      <c r="D2651">
        <f>'0374 table 5'!F1070</f>
        <v>388.70555555555552</v>
      </c>
      <c r="E2651">
        <f>'0374 table 5'!G1070</f>
        <v>2.0631701775055888</v>
      </c>
    </row>
    <row r="2652" spans="1:5" x14ac:dyDescent="0.35">
      <c r="A2652">
        <v>374</v>
      </c>
      <c r="B2652">
        <v>5</v>
      </c>
      <c r="C2652">
        <f>'0374 table 5'!E1071</f>
        <v>386106.56</v>
      </c>
      <c r="D2652">
        <f>'0374 table 5'!F1071</f>
        <v>399.81666666666666</v>
      </c>
      <c r="E2652">
        <f>'0374 table 5'!G1071</f>
        <v>2.0028073591089512</v>
      </c>
    </row>
    <row r="2653" spans="1:5" x14ac:dyDescent="0.35">
      <c r="A2653">
        <v>374</v>
      </c>
      <c r="B2653">
        <v>5</v>
      </c>
      <c r="C2653">
        <f>'0374 table 5'!E1072</f>
        <v>386106.56</v>
      </c>
      <c r="D2653">
        <f>'0374 table 5'!F1072</f>
        <v>410.92777777777775</v>
      </c>
      <c r="E2653">
        <f>'0374 table 5'!G1072</f>
        <v>1.9463491200672411</v>
      </c>
    </row>
    <row r="2654" spans="1:5" x14ac:dyDescent="0.35">
      <c r="A2654">
        <v>374</v>
      </c>
      <c r="B2654">
        <v>5</v>
      </c>
      <c r="C2654">
        <f>'0374 table 5'!E1073</f>
        <v>386106.56</v>
      </c>
      <c r="D2654">
        <f>'0374 table 5'!F1073</f>
        <v>422.03888888888889</v>
      </c>
      <c r="E2654">
        <f>'0374 table 5'!G1073</f>
        <v>1.892986676690309</v>
      </c>
    </row>
    <row r="2655" spans="1:5" x14ac:dyDescent="0.35">
      <c r="A2655">
        <v>374</v>
      </c>
      <c r="B2655">
        <v>5</v>
      </c>
      <c r="C2655">
        <f>'0374 table 5'!E1074</f>
        <v>399896.08</v>
      </c>
      <c r="D2655">
        <f>'0374 table 5'!F1074</f>
        <v>272.03888888888889</v>
      </c>
      <c r="E2655">
        <f>'0374 table 5'!G1074</f>
        <v>3.2159111138633598</v>
      </c>
    </row>
    <row r="2656" spans="1:5" x14ac:dyDescent="0.35">
      <c r="A2656">
        <v>374</v>
      </c>
      <c r="B2656">
        <v>5</v>
      </c>
      <c r="C2656">
        <f>'0374 table 5'!E1075</f>
        <v>399896.08</v>
      </c>
      <c r="D2656">
        <f>'0374 table 5'!F1075</f>
        <v>277.59444444444443</v>
      </c>
      <c r="E2656">
        <f>'0374 table 5'!G1075</f>
        <v>3.1316624160612694</v>
      </c>
    </row>
    <row r="2657" spans="1:5" x14ac:dyDescent="0.35">
      <c r="A2657">
        <v>374</v>
      </c>
      <c r="B2657">
        <v>5</v>
      </c>
      <c r="C2657">
        <f>'0374 table 5'!E1076</f>
        <v>399896.08</v>
      </c>
      <c r="D2657">
        <f>'0374 table 5'!F1076</f>
        <v>283.14999999999998</v>
      </c>
      <c r="E2657">
        <f>'0374 table 5'!G1076</f>
        <v>3.0540425659015047</v>
      </c>
    </row>
    <row r="2658" spans="1:5" x14ac:dyDescent="0.35">
      <c r="A2658">
        <v>374</v>
      </c>
      <c r="B2658">
        <v>5</v>
      </c>
      <c r="C2658">
        <f>'0374 table 5'!E1077</f>
        <v>399896.08</v>
      </c>
      <c r="D2658">
        <f>'0374 table 5'!F1077</f>
        <v>288.70555555555552</v>
      </c>
      <c r="E2658">
        <f>'0374 table 5'!G1077</f>
        <v>2.9812866663229838</v>
      </c>
    </row>
    <row r="2659" spans="1:5" x14ac:dyDescent="0.35">
      <c r="A2659">
        <v>374</v>
      </c>
      <c r="B2659">
        <v>5</v>
      </c>
      <c r="C2659">
        <f>'0374 table 5'!E1078</f>
        <v>399896.08</v>
      </c>
      <c r="D2659">
        <f>'0374 table 5'!F1078</f>
        <v>294.26111111111106</v>
      </c>
      <c r="E2659">
        <f>'0374 table 5'!G1078</f>
        <v>2.912975678878595</v>
      </c>
    </row>
    <row r="2660" spans="1:5" x14ac:dyDescent="0.35">
      <c r="A2660">
        <v>374</v>
      </c>
      <c r="B2660">
        <v>5</v>
      </c>
      <c r="C2660">
        <f>'0374 table 5'!E1079</f>
        <v>399896.08</v>
      </c>
      <c r="D2660">
        <f>'0374 table 5'!F1079</f>
        <v>299.81666666666666</v>
      </c>
      <c r="E2660">
        <f>'0374 table 5'!G1079</f>
        <v>2.8482313759163218</v>
      </c>
    </row>
    <row r="2661" spans="1:5" x14ac:dyDescent="0.35">
      <c r="A2661">
        <v>374</v>
      </c>
      <c r="B2661">
        <v>5</v>
      </c>
      <c r="C2661">
        <f>'0374 table 5'!E1080</f>
        <v>399896.08</v>
      </c>
      <c r="D2661">
        <f>'0374 table 5'!F1080</f>
        <v>305.37222222222221</v>
      </c>
      <c r="E2661">
        <f>'0374 table 5'!G1080</f>
        <v>2.7877572673430895</v>
      </c>
    </row>
    <row r="2662" spans="1:5" x14ac:dyDescent="0.35">
      <c r="A2662">
        <v>374</v>
      </c>
      <c r="B2662">
        <v>5</v>
      </c>
      <c r="C2662">
        <f>'0374 table 5'!E1081</f>
        <v>399896.08</v>
      </c>
      <c r="D2662">
        <f>'0374 table 5'!F1081</f>
        <v>310.92777777777775</v>
      </c>
      <c r="E2662">
        <f>'0374 table 5'!G1081</f>
        <v>2.7297977604215049</v>
      </c>
    </row>
    <row r="2663" spans="1:5" x14ac:dyDescent="0.35">
      <c r="A2663">
        <v>374</v>
      </c>
      <c r="B2663">
        <v>5</v>
      </c>
      <c r="C2663">
        <f>'0374 table 5'!E1082</f>
        <v>399896.08</v>
      </c>
      <c r="D2663">
        <f>'0374 table 5'!F1082</f>
        <v>316.48333333333329</v>
      </c>
      <c r="E2663">
        <f>'0374 table 5'!G1082</f>
        <v>2.6750923944811942</v>
      </c>
    </row>
    <row r="2664" spans="1:5" x14ac:dyDescent="0.35">
      <c r="A2664">
        <v>374</v>
      </c>
      <c r="B2664">
        <v>5</v>
      </c>
      <c r="C2664">
        <f>'0374 table 5'!E1083</f>
        <v>399896.08</v>
      </c>
      <c r="D2664">
        <f>'0374 table 5'!F1083</f>
        <v>322.03888888888889</v>
      </c>
      <c r="E2664">
        <f>'0374 table 5'!G1083</f>
        <v>2.6229659829954795</v>
      </c>
    </row>
    <row r="2665" spans="1:5" x14ac:dyDescent="0.35">
      <c r="A2665">
        <v>374</v>
      </c>
      <c r="B2665">
        <v>5</v>
      </c>
      <c r="C2665">
        <f>'0374 table 5'!E1084</f>
        <v>399896.08</v>
      </c>
      <c r="D2665">
        <f>'0374 table 5'!F1084</f>
        <v>327.59444444444443</v>
      </c>
      <c r="E2665">
        <f>'0374 table 5'!G1084</f>
        <v>2.5728321969407957</v>
      </c>
    </row>
    <row r="2666" spans="1:5" x14ac:dyDescent="0.35">
      <c r="A2666">
        <v>374</v>
      </c>
      <c r="B2666">
        <v>5</v>
      </c>
      <c r="C2666">
        <f>'0374 table 5'!E1085</f>
        <v>399896.08</v>
      </c>
      <c r="D2666">
        <f>'0374 table 5'!F1085</f>
        <v>333.15</v>
      </c>
      <c r="E2666">
        <f>'0374 table 5'!G1085</f>
        <v>2.5253749421651261</v>
      </c>
    </row>
    <row r="2667" spans="1:5" x14ac:dyDescent="0.35">
      <c r="A2667">
        <v>374</v>
      </c>
      <c r="B2667">
        <v>5</v>
      </c>
      <c r="C2667">
        <f>'0374 table 5'!E1086</f>
        <v>399896.08</v>
      </c>
      <c r="D2667">
        <f>'0374 table 5'!F1086</f>
        <v>338.70555555555552</v>
      </c>
      <c r="E2667">
        <f>'0374 table 5'!G1086</f>
        <v>2.4796367272683275</v>
      </c>
    </row>
    <row r="2668" spans="1:5" x14ac:dyDescent="0.35">
      <c r="A2668">
        <v>374</v>
      </c>
      <c r="B2668">
        <v>5</v>
      </c>
      <c r="C2668">
        <f>'0374 table 5'!E1087</f>
        <v>399896.08</v>
      </c>
      <c r="D2668">
        <f>'0374 table 5'!F1087</f>
        <v>344.26111111111106</v>
      </c>
      <c r="E2668">
        <f>'0374 table 5'!G1087</f>
        <v>2.4355258108793358</v>
      </c>
    </row>
    <row r="2669" spans="1:5" x14ac:dyDescent="0.35">
      <c r="A2669">
        <v>374</v>
      </c>
      <c r="B2669">
        <v>5</v>
      </c>
      <c r="C2669">
        <f>'0374 table 5'!E1088</f>
        <v>399896.08</v>
      </c>
      <c r="D2669">
        <f>'0374 table 5'!F1088</f>
        <v>349.81666666666666</v>
      </c>
      <c r="E2669">
        <f>'0374 table 5'!G1088</f>
        <v>2.3936720349900469</v>
      </c>
    </row>
    <row r="2670" spans="1:5" x14ac:dyDescent="0.35">
      <c r="A2670">
        <v>374</v>
      </c>
      <c r="B2670">
        <v>5</v>
      </c>
      <c r="C2670">
        <f>'0374 table 5'!E1089</f>
        <v>399896.08</v>
      </c>
      <c r="D2670">
        <f>'0374 table 5'!F1089</f>
        <v>355.37222222222221</v>
      </c>
      <c r="E2670">
        <f>'0374 table 5'!G1089</f>
        <v>2.3528867888004399</v>
      </c>
    </row>
    <row r="2671" spans="1:5" x14ac:dyDescent="0.35">
      <c r="A2671">
        <v>374</v>
      </c>
      <c r="B2671">
        <v>5</v>
      </c>
      <c r="C2671">
        <f>'0374 table 5'!E1090</f>
        <v>399896.08</v>
      </c>
      <c r="D2671">
        <f>'0374 table 5'!F1090</f>
        <v>360.92777777777775</v>
      </c>
      <c r="E2671">
        <f>'0374 table 5'!G1090</f>
        <v>2.3138022906476086</v>
      </c>
    </row>
    <row r="2672" spans="1:5" x14ac:dyDescent="0.35">
      <c r="A2672">
        <v>374</v>
      </c>
      <c r="B2672">
        <v>5</v>
      </c>
      <c r="C2672">
        <f>'0374 table 5'!E1091</f>
        <v>399896.08</v>
      </c>
      <c r="D2672">
        <f>'0374 table 5'!F1091</f>
        <v>366.48333333333329</v>
      </c>
      <c r="E2672">
        <f>'0374 table 5'!G1091</f>
        <v>2.276318496255989</v>
      </c>
    </row>
    <row r="2673" spans="1:5" x14ac:dyDescent="0.35">
      <c r="A2673">
        <v>374</v>
      </c>
      <c r="B2673">
        <v>5</v>
      </c>
      <c r="C2673">
        <f>'0374 table 5'!E1092</f>
        <v>399896.08</v>
      </c>
      <c r="D2673">
        <f>'0374 table 5'!F1092</f>
        <v>372.03888888888889</v>
      </c>
      <c r="E2673">
        <f>'0374 table 5'!G1092</f>
        <v>2.2400298221442307</v>
      </c>
    </row>
    <row r="2674" spans="1:5" x14ac:dyDescent="0.35">
      <c r="A2674">
        <v>374</v>
      </c>
      <c r="B2674">
        <v>5</v>
      </c>
      <c r="C2674">
        <f>'0374 table 5'!E1093</f>
        <v>399896.08</v>
      </c>
      <c r="D2674">
        <f>'0374 table 5'!F1093</f>
        <v>377.59444444444443</v>
      </c>
      <c r="E2674">
        <f>'0374 table 5'!G1093</f>
        <v>2.2048800080045967</v>
      </c>
    </row>
    <row r="2675" spans="1:5" x14ac:dyDescent="0.35">
      <c r="A2675">
        <v>374</v>
      </c>
      <c r="B2675">
        <v>5</v>
      </c>
      <c r="C2675">
        <f>'0374 table 5'!E1094</f>
        <v>399896.08</v>
      </c>
      <c r="D2675">
        <f>'0374 table 5'!F1094</f>
        <v>388.70555555555552</v>
      </c>
      <c r="E2675">
        <f>'0374 table 5'!G1094</f>
        <v>2.1372185801405461</v>
      </c>
    </row>
    <row r="2676" spans="1:5" x14ac:dyDescent="0.35">
      <c r="A2676">
        <v>374</v>
      </c>
      <c r="B2676">
        <v>5</v>
      </c>
      <c r="C2676">
        <f>'0374 table 5'!E1095</f>
        <v>399896.08</v>
      </c>
      <c r="D2676">
        <f>'0374 table 5'!F1095</f>
        <v>399.81666666666666</v>
      </c>
      <c r="E2676">
        <f>'0374 table 5'!G1095</f>
        <v>2.0754668642334013</v>
      </c>
    </row>
    <row r="2677" spans="1:5" x14ac:dyDescent="0.35">
      <c r="A2677">
        <v>374</v>
      </c>
      <c r="B2677">
        <v>5</v>
      </c>
      <c r="C2677">
        <f>'0374 table 5'!E1096</f>
        <v>399896.08</v>
      </c>
      <c r="D2677">
        <f>'0374 table 5'!F1096</f>
        <v>410.92777777777775</v>
      </c>
      <c r="E2677">
        <f>'0374 table 5'!G1096</f>
        <v>2.0166754699928733</v>
      </c>
    </row>
    <row r="2678" spans="1:5" x14ac:dyDescent="0.35">
      <c r="A2678">
        <v>374</v>
      </c>
      <c r="B2678">
        <v>5</v>
      </c>
      <c r="C2678">
        <f>'0374 table 5'!E1097</f>
        <v>399896.08</v>
      </c>
      <c r="D2678">
        <f>'0374 table 5'!F1097</f>
        <v>422.03888888888889</v>
      </c>
      <c r="E2678">
        <f>'0374 table 5'!G1097</f>
        <v>1.9613632004595805</v>
      </c>
    </row>
    <row r="2679" spans="1:5" x14ac:dyDescent="0.35">
      <c r="A2679">
        <v>374</v>
      </c>
      <c r="B2679">
        <v>5</v>
      </c>
      <c r="C2679">
        <f>'0374 table 5'!E1098</f>
        <v>413685.60000000003</v>
      </c>
      <c r="D2679">
        <f>'0374 table 5'!F1098</f>
        <v>277.59444444444443</v>
      </c>
      <c r="E2679">
        <f>'0374 table 5'!G1098</f>
        <v>3.2472031741644827</v>
      </c>
    </row>
    <row r="2680" spans="1:5" x14ac:dyDescent="0.35">
      <c r="A2680">
        <v>374</v>
      </c>
      <c r="B2680">
        <v>5</v>
      </c>
      <c r="C2680">
        <f>'0374 table 5'!E1099</f>
        <v>413685.60000000003</v>
      </c>
      <c r="D2680">
        <f>'0374 table 5'!F1099</f>
        <v>283.14999999999998</v>
      </c>
      <c r="E2680">
        <f>'0374 table 5'!G1099</f>
        <v>3.165702224931501</v>
      </c>
    </row>
    <row r="2681" spans="1:5" x14ac:dyDescent="0.35">
      <c r="A2681">
        <v>374</v>
      </c>
      <c r="B2681">
        <v>5</v>
      </c>
      <c r="C2681">
        <f>'0374 table 5'!E1100</f>
        <v>413685.60000000003</v>
      </c>
      <c r="D2681">
        <f>'0374 table 5'!F1100</f>
        <v>288.70555555555552</v>
      </c>
      <c r="E2681">
        <f>'0374 table 5'!G1100</f>
        <v>3.0899794093660091</v>
      </c>
    </row>
    <row r="2682" spans="1:5" x14ac:dyDescent="0.35">
      <c r="A2682">
        <v>374</v>
      </c>
      <c r="B2682">
        <v>5</v>
      </c>
      <c r="C2682">
        <f>'0374 table 5'!E1101</f>
        <v>413685.60000000003</v>
      </c>
      <c r="D2682">
        <f>'0374 table 5'!F1101</f>
        <v>294.26111111111106</v>
      </c>
      <c r="E2682">
        <f>'0374 table 5'!G1101</f>
        <v>3.0183631539765199</v>
      </c>
    </row>
    <row r="2683" spans="1:5" x14ac:dyDescent="0.35">
      <c r="A2683">
        <v>374</v>
      </c>
      <c r="B2683">
        <v>5</v>
      </c>
      <c r="C2683">
        <f>'0374 table 5'!E1102</f>
        <v>413685.60000000003</v>
      </c>
      <c r="D2683">
        <f>'0374 table 5'!F1102</f>
        <v>299.81666666666666</v>
      </c>
      <c r="E2683">
        <f>'0374 table 5'!G1102</f>
        <v>2.9510783452751279</v>
      </c>
    </row>
    <row r="2684" spans="1:5" x14ac:dyDescent="0.35">
      <c r="A2684">
        <v>374</v>
      </c>
      <c r="B2684">
        <v>5</v>
      </c>
      <c r="C2684">
        <f>'0374 table 5'!E1103</f>
        <v>413685.60000000003</v>
      </c>
      <c r="D2684">
        <f>'0374 table 5'!F1103</f>
        <v>305.37222222222221</v>
      </c>
      <c r="E2684">
        <f>'0374 table 5'!G1103</f>
        <v>2.8877687503431395</v>
      </c>
    </row>
    <row r="2685" spans="1:5" x14ac:dyDescent="0.35">
      <c r="A2685">
        <v>374</v>
      </c>
      <c r="B2685">
        <v>5</v>
      </c>
      <c r="C2685">
        <f>'0374 table 5'!E1104</f>
        <v>413685.60000000003</v>
      </c>
      <c r="D2685">
        <f>'0374 table 5'!F1104</f>
        <v>310.92777777777775</v>
      </c>
      <c r="E2685">
        <f>'0374 table 5'!G1104</f>
        <v>2.8276175212980394</v>
      </c>
    </row>
    <row r="2686" spans="1:5" x14ac:dyDescent="0.35">
      <c r="A2686">
        <v>374</v>
      </c>
      <c r="B2686">
        <v>5</v>
      </c>
      <c r="C2686">
        <f>'0374 table 5'!E1105</f>
        <v>413685.60000000003</v>
      </c>
      <c r="D2686">
        <f>'0374 table 5'!F1105</f>
        <v>316.48333333333329</v>
      </c>
      <c r="E2686">
        <f>'0374 table 5'!G1105</f>
        <v>2.7708793042991515</v>
      </c>
    </row>
    <row r="2687" spans="1:5" x14ac:dyDescent="0.35">
      <c r="A2687">
        <v>374</v>
      </c>
      <c r="B2687">
        <v>5</v>
      </c>
      <c r="C2687">
        <f>'0374 table 5'!E1106</f>
        <v>413685.60000000003</v>
      </c>
      <c r="D2687">
        <f>'0374 table 5'!F1106</f>
        <v>322.03888888888889</v>
      </c>
      <c r="E2687">
        <f>'0374 table 5'!G1106</f>
        <v>2.7163732844079012</v>
      </c>
    </row>
    <row r="2688" spans="1:5" x14ac:dyDescent="0.35">
      <c r="A2688">
        <v>374</v>
      </c>
      <c r="B2688">
        <v>5</v>
      </c>
      <c r="C2688">
        <f>'0374 table 5'!E1107</f>
        <v>413685.60000000003</v>
      </c>
      <c r="D2688">
        <f>'0374 table 5'!F1107</f>
        <v>327.59444444444443</v>
      </c>
      <c r="E2688">
        <f>'0374 table 5'!G1107</f>
        <v>2.6644133829263796</v>
      </c>
    </row>
    <row r="2689" spans="1:5" x14ac:dyDescent="0.35">
      <c r="A2689">
        <v>374</v>
      </c>
      <c r="B2689">
        <v>5</v>
      </c>
      <c r="C2689">
        <f>'0374 table 5'!E1108</f>
        <v>413685.60000000003</v>
      </c>
      <c r="D2689">
        <f>'0374 table 5'!F1108</f>
        <v>333.15</v>
      </c>
      <c r="E2689">
        <f>'0374 table 5'!G1108</f>
        <v>2.6148307636554673</v>
      </c>
    </row>
    <row r="2690" spans="1:5" x14ac:dyDescent="0.35">
      <c r="A2690">
        <v>374</v>
      </c>
      <c r="B2690">
        <v>5</v>
      </c>
      <c r="C2690">
        <f>'0374 table 5'!E1109</f>
        <v>413685.60000000003</v>
      </c>
      <c r="D2690">
        <f>'0374 table 5'!F1109</f>
        <v>338.70555555555552</v>
      </c>
      <c r="E2690">
        <f>'0374 table 5'!G1109</f>
        <v>2.5674712707410472</v>
      </c>
    </row>
    <row r="2691" spans="1:5" x14ac:dyDescent="0.35">
      <c r="A2691">
        <v>374</v>
      </c>
      <c r="B2691">
        <v>5</v>
      </c>
      <c r="C2691">
        <f>'0374 table 5'!E1110</f>
        <v>413685.60000000003</v>
      </c>
      <c r="D2691">
        <f>'0374 table 5'!F1110</f>
        <v>344.26111111111106</v>
      </c>
      <c r="E2691">
        <f>'0374 table 5'!G1110</f>
        <v>2.5217967975682294</v>
      </c>
    </row>
    <row r="2692" spans="1:5" x14ac:dyDescent="0.35">
      <c r="A2692">
        <v>374</v>
      </c>
      <c r="B2692">
        <v>5</v>
      </c>
      <c r="C2692">
        <f>'0374 table 5'!E1111</f>
        <v>413685.60000000003</v>
      </c>
      <c r="D2692">
        <f>'0374 table 5'!F1111</f>
        <v>349.81666666666666</v>
      </c>
      <c r="E2692">
        <f>'0374 table 5'!G1111</f>
        <v>2.4781022986004628</v>
      </c>
    </row>
    <row r="2693" spans="1:5" x14ac:dyDescent="0.35">
      <c r="A2693">
        <v>374</v>
      </c>
      <c r="B2693">
        <v>5</v>
      </c>
      <c r="C2693">
        <f>'0374 table 5'!E1112</f>
        <v>413685.60000000003</v>
      </c>
      <c r="D2693">
        <f>'0374 table 5'!F1112</f>
        <v>355.37222222222221</v>
      </c>
      <c r="E2693">
        <f>'0374 table 5'!G1112</f>
        <v>2.4358961767264895</v>
      </c>
    </row>
    <row r="2694" spans="1:5" x14ac:dyDescent="0.35">
      <c r="A2694">
        <v>374</v>
      </c>
      <c r="B2694">
        <v>5</v>
      </c>
      <c r="C2694">
        <f>'0374 table 5'!E1113</f>
        <v>413685.60000000003</v>
      </c>
      <c r="D2694">
        <f>'0374 table 5'!F1113</f>
        <v>360.92777777777775</v>
      </c>
      <c r="E2694">
        <f>'0374 table 5'!G1113</f>
        <v>2.3954618301410786</v>
      </c>
    </row>
    <row r="2695" spans="1:5" x14ac:dyDescent="0.35">
      <c r="A2695">
        <v>374</v>
      </c>
      <c r="B2695">
        <v>5</v>
      </c>
      <c r="C2695">
        <f>'0374 table 5'!E1114</f>
        <v>413685.60000000003</v>
      </c>
      <c r="D2695">
        <f>'0374 table 5'!F1114</f>
        <v>366.48333333333329</v>
      </c>
      <c r="E2695">
        <f>'0374 table 5'!G1114</f>
        <v>2.3560013616933948</v>
      </c>
    </row>
    <row r="2696" spans="1:5" x14ac:dyDescent="0.35">
      <c r="A2696">
        <v>374</v>
      </c>
      <c r="B2696">
        <v>5</v>
      </c>
      <c r="C2696">
        <f>'0374 table 5'!E1115</f>
        <v>413685.60000000003</v>
      </c>
      <c r="D2696">
        <f>'0374 table 5'!F1115</f>
        <v>372.03888888888889</v>
      </c>
      <c r="E2696">
        <f>'0374 table 5'!G1115</f>
        <v>2.3184908464543921</v>
      </c>
    </row>
    <row r="2697" spans="1:5" x14ac:dyDescent="0.35">
      <c r="A2697">
        <v>374</v>
      </c>
      <c r="B2697">
        <v>5</v>
      </c>
      <c r="C2697">
        <f>'0374 table 5'!E1116</f>
        <v>413685.60000000003</v>
      </c>
      <c r="D2697">
        <f>'0374 table 5'!F1116</f>
        <v>377.59444444444443</v>
      </c>
      <c r="E2697">
        <f>'0374 table 5'!G1116</f>
        <v>2.2821560419081623</v>
      </c>
    </row>
    <row r="2698" spans="1:5" x14ac:dyDescent="0.35">
      <c r="A2698">
        <v>374</v>
      </c>
      <c r="B2698">
        <v>5</v>
      </c>
      <c r="C2698">
        <f>'0374 table 5'!E1117</f>
        <v>413685.60000000003</v>
      </c>
      <c r="D2698">
        <f>'0374 table 5'!F1117</f>
        <v>388.70555555555552</v>
      </c>
      <c r="E2698">
        <f>'0374 table 5'!G1117</f>
        <v>2.2131048988882829</v>
      </c>
    </row>
    <row r="2699" spans="1:5" x14ac:dyDescent="0.35">
      <c r="A2699">
        <v>374</v>
      </c>
      <c r="B2699">
        <v>5</v>
      </c>
      <c r="C2699">
        <f>'0374 table 5'!E1118</f>
        <v>413685.60000000003</v>
      </c>
      <c r="D2699">
        <f>'0374 table 5'!F1118</f>
        <v>399.81666666666666</v>
      </c>
      <c r="E2699">
        <f>'0374 table 5'!G1118</f>
        <v>2.1481095961047867</v>
      </c>
    </row>
    <row r="2700" spans="1:5" x14ac:dyDescent="0.35">
      <c r="A2700">
        <v>374</v>
      </c>
      <c r="B2700">
        <v>5</v>
      </c>
      <c r="C2700">
        <f>'0374 table 5'!E1119</f>
        <v>413685.60000000003</v>
      </c>
      <c r="D2700">
        <f>'0374 table 5'!F1119</f>
        <v>410.92777777777775</v>
      </c>
      <c r="E2700">
        <f>'0374 table 5'!G1119</f>
        <v>2.0870948870558168</v>
      </c>
    </row>
    <row r="2701" spans="1:5" x14ac:dyDescent="0.35">
      <c r="A2701">
        <v>374</v>
      </c>
      <c r="B2701">
        <v>5</v>
      </c>
      <c r="C2701">
        <f>'0374 table 5'!E1120</f>
        <v>413685.60000000003</v>
      </c>
      <c r="D2701">
        <f>'0374 table 5'!F1120</f>
        <v>422.03888888888889</v>
      </c>
      <c r="E2701">
        <f>'0374 table 5'!G1120</f>
        <v>2.0297077113727053</v>
      </c>
    </row>
    <row r="2702" spans="1:5" x14ac:dyDescent="0.35">
      <c r="A2702">
        <v>374</v>
      </c>
      <c r="B2702">
        <v>5</v>
      </c>
      <c r="C2702">
        <f>'0374 table 5'!E1121</f>
        <v>427475.12</v>
      </c>
      <c r="D2702">
        <f>'0374 table 5'!F1121</f>
        <v>277.59444444444443</v>
      </c>
      <c r="E2702">
        <f>'0374 table 5'!G1121</f>
        <v>3.3638079080540515</v>
      </c>
    </row>
    <row r="2703" spans="1:5" x14ac:dyDescent="0.35">
      <c r="A2703">
        <v>374</v>
      </c>
      <c r="B2703">
        <v>5</v>
      </c>
      <c r="C2703">
        <f>'0374 table 5'!E1122</f>
        <v>427475.12</v>
      </c>
      <c r="D2703">
        <f>'0374 table 5'!F1122</f>
        <v>283.14999999999998</v>
      </c>
      <c r="E2703">
        <f>'0374 table 5'!G1122</f>
        <v>3.2784390622499782</v>
      </c>
    </row>
    <row r="2704" spans="1:5" x14ac:dyDescent="0.35">
      <c r="A2704">
        <v>374</v>
      </c>
      <c r="B2704">
        <v>5</v>
      </c>
      <c r="C2704">
        <f>'0374 table 5'!E1123</f>
        <v>427475.12</v>
      </c>
      <c r="D2704">
        <f>'0374 table 5'!F1123</f>
        <v>288.70555555555552</v>
      </c>
      <c r="E2704">
        <f>'0374 table 5'!G1123</f>
        <v>3.1992117551734363</v>
      </c>
    </row>
    <row r="2705" spans="1:5" x14ac:dyDescent="0.35">
      <c r="A2705">
        <v>374</v>
      </c>
      <c r="B2705">
        <v>5</v>
      </c>
      <c r="C2705">
        <f>'0374 table 5'!E1124</f>
        <v>427475.12</v>
      </c>
      <c r="D2705">
        <f>'0374 table 5'!F1124</f>
        <v>294.26111111111106</v>
      </c>
      <c r="E2705">
        <f>'0374 table 5'!G1124</f>
        <v>3.1243326035017347</v>
      </c>
    </row>
    <row r="2706" spans="1:5" x14ac:dyDescent="0.35">
      <c r="A2706">
        <v>374</v>
      </c>
      <c r="B2706">
        <v>5</v>
      </c>
      <c r="C2706">
        <f>'0374 table 5'!E1125</f>
        <v>427475.12</v>
      </c>
      <c r="D2706">
        <f>'0374 table 5'!F1125</f>
        <v>299.81666666666666</v>
      </c>
      <c r="E2706">
        <f>'0374 table 5'!G1125</f>
        <v>3.0546249538812726</v>
      </c>
    </row>
    <row r="2707" spans="1:5" x14ac:dyDescent="0.35">
      <c r="A2707">
        <v>374</v>
      </c>
      <c r="B2707">
        <v>5</v>
      </c>
      <c r="C2707">
        <f>'0374 table 5'!E1126</f>
        <v>427475.12</v>
      </c>
      <c r="D2707">
        <f>'0374 table 5'!F1126</f>
        <v>305.37222222222221</v>
      </c>
      <c r="E2707">
        <f>'0374 table 5'!G1126</f>
        <v>2.9885173989092153</v>
      </c>
    </row>
    <row r="2708" spans="1:5" x14ac:dyDescent="0.35">
      <c r="A2708">
        <v>374</v>
      </c>
      <c r="B2708">
        <v>5</v>
      </c>
      <c r="C2708">
        <f>'0374 table 5'!E1127</f>
        <v>427475.12</v>
      </c>
      <c r="D2708">
        <f>'0374 table 5'!F1127</f>
        <v>310.92777777777775</v>
      </c>
      <c r="E2708">
        <f>'0374 table 5'!G1127</f>
        <v>2.92627936758374</v>
      </c>
    </row>
    <row r="2709" spans="1:5" x14ac:dyDescent="0.35">
      <c r="A2709">
        <v>374</v>
      </c>
      <c r="B2709">
        <v>5</v>
      </c>
      <c r="C2709">
        <f>'0374 table 5'!E1128</f>
        <v>427475.12</v>
      </c>
      <c r="D2709">
        <f>'0374 table 5'!F1128</f>
        <v>316.48333333333329</v>
      </c>
      <c r="E2709">
        <f>'0374 table 5'!G1128</f>
        <v>2.8665807548592328</v>
      </c>
    </row>
    <row r="2710" spans="1:5" x14ac:dyDescent="0.35">
      <c r="A2710">
        <v>374</v>
      </c>
      <c r="B2710">
        <v>5</v>
      </c>
      <c r="C2710">
        <f>'0374 table 5'!E1129</f>
        <v>427475.12</v>
      </c>
      <c r="D2710">
        <f>'0374 table 5'!F1129</f>
        <v>322.03888888888889</v>
      </c>
      <c r="E2710">
        <f>'0374 table 5'!G1129</f>
        <v>2.8102549575707707</v>
      </c>
    </row>
    <row r="2711" spans="1:5" x14ac:dyDescent="0.35">
      <c r="A2711">
        <v>374</v>
      </c>
      <c r="B2711">
        <v>5</v>
      </c>
      <c r="C2711">
        <f>'0374 table 5'!E1130</f>
        <v>427475.12</v>
      </c>
      <c r="D2711">
        <f>'0374 table 5'!F1130</f>
        <v>327.59444444444443</v>
      </c>
      <c r="E2711">
        <f>'0374 table 5'!G1130</f>
        <v>2.7565743001468581</v>
      </c>
    </row>
    <row r="2712" spans="1:5" x14ac:dyDescent="0.35">
      <c r="A2712">
        <v>374</v>
      </c>
      <c r="B2712">
        <v>5</v>
      </c>
      <c r="C2712">
        <f>'0374 table 5'!E1131</f>
        <v>427475.12</v>
      </c>
      <c r="D2712">
        <f>'0374 table 5'!F1131</f>
        <v>333.15</v>
      </c>
      <c r="E2712">
        <f>'0374 table 5'!G1131</f>
        <v>2.704905987530124</v>
      </c>
    </row>
    <row r="2713" spans="1:5" x14ac:dyDescent="0.35">
      <c r="A2713">
        <v>374</v>
      </c>
      <c r="B2713">
        <v>5</v>
      </c>
      <c r="C2713">
        <f>'0374 table 5'!E1132</f>
        <v>427475.12</v>
      </c>
      <c r="D2713">
        <f>'0374 table 5'!F1132</f>
        <v>338.70555555555552</v>
      </c>
      <c r="E2713">
        <f>'0374 table 5'!G1132</f>
        <v>2.6555791210466499</v>
      </c>
    </row>
    <row r="2714" spans="1:5" x14ac:dyDescent="0.35">
      <c r="A2714">
        <v>374</v>
      </c>
      <c r="B2714">
        <v>5</v>
      </c>
      <c r="C2714">
        <f>'0374 table 5'!E1133</f>
        <v>427475.12</v>
      </c>
      <c r="D2714">
        <f>'0374 table 5'!F1133</f>
        <v>344.26111111111106</v>
      </c>
      <c r="E2714">
        <f>'0374 table 5'!G1133</f>
        <v>2.6080190912004872</v>
      </c>
    </row>
    <row r="2715" spans="1:5" x14ac:dyDescent="0.35">
      <c r="A2715">
        <v>374</v>
      </c>
      <c r="B2715">
        <v>5</v>
      </c>
      <c r="C2715">
        <f>'0374 table 5'!E1134</f>
        <v>427475.12</v>
      </c>
      <c r="D2715">
        <f>'0374 table 5'!F1134</f>
        <v>349.81666666666666</v>
      </c>
      <c r="E2715">
        <f>'0374 table 5'!G1134</f>
        <v>2.5629525213045428</v>
      </c>
    </row>
    <row r="2716" spans="1:5" x14ac:dyDescent="0.35">
      <c r="A2716">
        <v>374</v>
      </c>
      <c r="B2716">
        <v>5</v>
      </c>
      <c r="C2716">
        <f>'0374 table 5'!E1135</f>
        <v>427475.12</v>
      </c>
      <c r="D2716">
        <f>'0374 table 5'!F1135</f>
        <v>355.37222222222221</v>
      </c>
      <c r="E2716">
        <f>'0374 table 5'!G1135</f>
        <v>2.5190207985773538</v>
      </c>
    </row>
    <row r="2717" spans="1:5" x14ac:dyDescent="0.35">
      <c r="A2717">
        <v>374</v>
      </c>
      <c r="B2717">
        <v>5</v>
      </c>
      <c r="C2717">
        <f>'0374 table 5'!E1136</f>
        <v>427475.12</v>
      </c>
      <c r="D2717">
        <f>'0374 table 5'!F1136</f>
        <v>360.92777777777775</v>
      </c>
      <c r="E2717">
        <f>'0374 table 5'!G1136</f>
        <v>2.4769527227699695</v>
      </c>
    </row>
    <row r="2718" spans="1:5" x14ac:dyDescent="0.35">
      <c r="A2718">
        <v>374</v>
      </c>
      <c r="B2718">
        <v>5</v>
      </c>
      <c r="C2718">
        <f>'0374 table 5'!E1137</f>
        <v>427475.12</v>
      </c>
      <c r="D2718">
        <f>'0374 table 5'!F1137</f>
        <v>366.48333333333329</v>
      </c>
      <c r="E2718">
        <f>'0374 table 5'!G1137</f>
        <v>2.4366372464486452</v>
      </c>
    </row>
    <row r="2719" spans="1:5" x14ac:dyDescent="0.35">
      <c r="A2719">
        <v>374</v>
      </c>
      <c r="B2719">
        <v>5</v>
      </c>
      <c r="C2719">
        <f>'0374 table 5'!E1138</f>
        <v>427475.12</v>
      </c>
      <c r="D2719">
        <f>'0374 table 5'!F1138</f>
        <v>372.03888888888889</v>
      </c>
      <c r="E2719">
        <f>'0374 table 5'!G1138</f>
        <v>2.397613120513904</v>
      </c>
    </row>
    <row r="2720" spans="1:5" x14ac:dyDescent="0.35">
      <c r="A2720">
        <v>374</v>
      </c>
      <c r="B2720">
        <v>5</v>
      </c>
      <c r="C2720">
        <f>'0374 table 5'!E1139</f>
        <v>427475.12</v>
      </c>
      <c r="D2720">
        <f>'0374 table 5'!F1139</f>
        <v>377.59444444444443</v>
      </c>
      <c r="E2720">
        <f>'0374 table 5'!G1139</f>
        <v>2.3598192778658507</v>
      </c>
    </row>
    <row r="2721" spans="1:5" x14ac:dyDescent="0.35">
      <c r="A2721">
        <v>374</v>
      </c>
      <c r="B2721">
        <v>5</v>
      </c>
      <c r="C2721">
        <f>'0374 table 5'!E1140</f>
        <v>427475.12</v>
      </c>
      <c r="D2721">
        <f>'0374 table 5'!F1140</f>
        <v>383.15</v>
      </c>
      <c r="E2721">
        <f>'0374 table 5'!G1140</f>
        <v>2.3231984420817109</v>
      </c>
    </row>
    <row r="2722" spans="1:5" x14ac:dyDescent="0.35">
      <c r="A2722">
        <v>374</v>
      </c>
      <c r="B2722">
        <v>5</v>
      </c>
      <c r="C2722">
        <f>'0374 table 5'!E1141</f>
        <v>427475.12</v>
      </c>
      <c r="D2722">
        <f>'0374 table 5'!F1141</f>
        <v>388.70555555555552</v>
      </c>
      <c r="E2722">
        <f>'0374 table 5'!G1141</f>
        <v>2.2880236049354941</v>
      </c>
    </row>
    <row r="2723" spans="1:5" x14ac:dyDescent="0.35">
      <c r="A2723">
        <v>374</v>
      </c>
      <c r="B2723">
        <v>5</v>
      </c>
      <c r="C2723">
        <f>'0374 table 5'!E1142</f>
        <v>427475.12</v>
      </c>
      <c r="D2723">
        <f>'0374 table 5'!F1142</f>
        <v>399.81666666666666</v>
      </c>
      <c r="E2723">
        <f>'0374 table 5'!G1142</f>
        <v>2.2207754413078322</v>
      </c>
    </row>
    <row r="2724" spans="1:5" x14ac:dyDescent="0.35">
      <c r="A2724">
        <v>374</v>
      </c>
      <c r="B2724">
        <v>5</v>
      </c>
      <c r="C2724">
        <f>'0374 table 5'!E1143</f>
        <v>427475.12</v>
      </c>
      <c r="D2724">
        <f>'0374 table 5'!F1143</f>
        <v>410.92777777777775</v>
      </c>
      <c r="E2724">
        <f>'0374 table 5'!G1143</f>
        <v>2.1576580358504032</v>
      </c>
    </row>
    <row r="2725" spans="1:5" x14ac:dyDescent="0.35">
      <c r="A2725">
        <v>374</v>
      </c>
      <c r="B2725">
        <v>5</v>
      </c>
      <c r="C2725">
        <f>'0374 table 5'!E1144</f>
        <v>427475.12</v>
      </c>
      <c r="D2725">
        <f>'0374 table 5'!F1144</f>
        <v>422.03888888888889</v>
      </c>
      <c r="E2725">
        <f>'0374 table 5'!G1144</f>
        <v>2.0983040683984009</v>
      </c>
    </row>
    <row r="2726" spans="1:5" x14ac:dyDescent="0.35">
      <c r="A2726">
        <v>374</v>
      </c>
      <c r="B2726">
        <v>5</v>
      </c>
      <c r="C2726">
        <f>'0374 table 5'!E1145</f>
        <v>441264.64000000001</v>
      </c>
      <c r="D2726">
        <f>'0374 table 5'!F1145</f>
        <v>277.59444444444443</v>
      </c>
      <c r="E2726">
        <f>'0374 table 5'!G1145</f>
        <v>3.4807590739142529</v>
      </c>
    </row>
    <row r="2727" spans="1:5" x14ac:dyDescent="0.35">
      <c r="A2727">
        <v>374</v>
      </c>
      <c r="B2727">
        <v>5</v>
      </c>
      <c r="C2727">
        <f>'0374 table 5'!E1146</f>
        <v>441264.64000000001</v>
      </c>
      <c r="D2727">
        <f>'0374 table 5'!F1146</f>
        <v>283.14999999999998</v>
      </c>
      <c r="E2727">
        <f>'0374 table 5'!G1146</f>
        <v>3.3915844289971195</v>
      </c>
    </row>
    <row r="2728" spans="1:5" x14ac:dyDescent="0.35">
      <c r="A2728">
        <v>374</v>
      </c>
      <c r="B2728">
        <v>5</v>
      </c>
      <c r="C2728">
        <f>'0374 table 5'!E1147</f>
        <v>441264.64000000001</v>
      </c>
      <c r="D2728">
        <f>'0374 table 5'!F1147</f>
        <v>288.70555555555552</v>
      </c>
      <c r="E2728">
        <f>'0374 table 5'!G1147</f>
        <v>3.3082307431130515</v>
      </c>
    </row>
    <row r="2729" spans="1:5" x14ac:dyDescent="0.35">
      <c r="A2729">
        <v>374</v>
      </c>
      <c r="B2729">
        <v>5</v>
      </c>
      <c r="C2729">
        <f>'0374 table 5'!E1148</f>
        <v>441264.64000000001</v>
      </c>
      <c r="D2729">
        <f>'0374 table 5'!F1148</f>
        <v>294.26111111111106</v>
      </c>
      <c r="E2729">
        <f>'0374 table 5'!G1148</f>
        <v>3.2308296204423947</v>
      </c>
    </row>
    <row r="2730" spans="1:5" x14ac:dyDescent="0.35">
      <c r="A2730">
        <v>374</v>
      </c>
      <c r="B2730">
        <v>5</v>
      </c>
      <c r="C2730">
        <f>'0374 table 5'!E1149</f>
        <v>441264.64000000001</v>
      </c>
      <c r="D2730">
        <f>'0374 table 5'!F1149</f>
        <v>299.81666666666666</v>
      </c>
      <c r="E2730">
        <f>'0374 table 5'!G1149</f>
        <v>3.1582123931690442</v>
      </c>
    </row>
    <row r="2731" spans="1:5" x14ac:dyDescent="0.35">
      <c r="A2731">
        <v>374</v>
      </c>
      <c r="B2731">
        <v>5</v>
      </c>
      <c r="C2731">
        <f>'0374 table 5'!E1150</f>
        <v>441264.64000000001</v>
      </c>
      <c r="D2731">
        <f>'0374 table 5'!F1150</f>
        <v>305.37222222222221</v>
      </c>
      <c r="E2731">
        <f>'0374 table 5'!G1150</f>
        <v>3.0893834634818504</v>
      </c>
    </row>
    <row r="2732" spans="1:5" x14ac:dyDescent="0.35">
      <c r="A2732">
        <v>374</v>
      </c>
      <c r="B2732">
        <v>5</v>
      </c>
      <c r="C2732">
        <f>'0374 table 5'!E1151</f>
        <v>441264.64000000001</v>
      </c>
      <c r="D2732">
        <f>'0374 table 5'!F1151</f>
        <v>310.92777777777775</v>
      </c>
      <c r="E2732">
        <f>'0374 table 5'!G1151</f>
        <v>3.0246324127933142</v>
      </c>
    </row>
    <row r="2733" spans="1:5" x14ac:dyDescent="0.35">
      <c r="A2733">
        <v>374</v>
      </c>
      <c r="B2733">
        <v>5</v>
      </c>
      <c r="C2733">
        <f>'0374 table 5'!E1152</f>
        <v>441264.64000000001</v>
      </c>
      <c r="D2733">
        <f>'0374 table 5'!F1152</f>
        <v>316.48333333333329</v>
      </c>
      <c r="E2733">
        <f>'0374 table 5'!G1152</f>
        <v>2.9630879130879384</v>
      </c>
    </row>
    <row r="2734" spans="1:5" x14ac:dyDescent="0.35">
      <c r="A2734">
        <v>374</v>
      </c>
      <c r="B2734">
        <v>5</v>
      </c>
      <c r="C2734">
        <f>'0374 table 5'!E1153</f>
        <v>441264.64000000001</v>
      </c>
      <c r="D2734">
        <f>'0374 table 5'!F1153</f>
        <v>322.03888888888889</v>
      </c>
      <c r="E2734">
        <f>'0374 table 5'!G1153</f>
        <v>2.9039980526021378</v>
      </c>
    </row>
    <row r="2735" spans="1:5" x14ac:dyDescent="0.35">
      <c r="A2735">
        <v>374</v>
      </c>
      <c r="B2735">
        <v>5</v>
      </c>
      <c r="C2735">
        <f>'0374 table 5'!E1154</f>
        <v>441264.64000000001</v>
      </c>
      <c r="D2735">
        <f>'0374 table 5'!F1154</f>
        <v>327.59444444444443</v>
      </c>
      <c r="E2735">
        <f>'0374 table 5'!G1154</f>
        <v>2.8482313759163218</v>
      </c>
    </row>
    <row r="2736" spans="1:5" x14ac:dyDescent="0.35">
      <c r="A2736">
        <v>374</v>
      </c>
      <c r="B2736">
        <v>5</v>
      </c>
      <c r="C2736">
        <f>'0374 table 5'!E1155</f>
        <v>441264.64000000001</v>
      </c>
      <c r="D2736">
        <f>'0374 table 5'!F1155</f>
        <v>333.15</v>
      </c>
      <c r="E2736">
        <f>'0374 table 5'!G1155</f>
        <v>2.7950537878473902</v>
      </c>
    </row>
    <row r="2737" spans="1:5" x14ac:dyDescent="0.35">
      <c r="A2737">
        <v>374</v>
      </c>
      <c r="B2737">
        <v>5</v>
      </c>
      <c r="C2737">
        <f>'0374 table 5'!E1156</f>
        <v>441264.64000000001</v>
      </c>
      <c r="D2737">
        <f>'0374 table 5'!F1156</f>
        <v>338.70555555555552</v>
      </c>
      <c r="E2737">
        <f>'0374 table 5'!G1156</f>
        <v>2.7438254981420682</v>
      </c>
    </row>
    <row r="2738" spans="1:5" x14ac:dyDescent="0.35">
      <c r="A2738">
        <v>374</v>
      </c>
      <c r="B2738">
        <v>5</v>
      </c>
      <c r="C2738">
        <f>'0374 table 5'!E1157</f>
        <v>441264.64000000001</v>
      </c>
      <c r="D2738">
        <f>'0374 table 5'!F1157</f>
        <v>344.26111111111106</v>
      </c>
      <c r="E2738">
        <f>'0374 table 5'!G1157</f>
        <v>2.6948945589087137</v>
      </c>
    </row>
    <row r="2739" spans="1:5" x14ac:dyDescent="0.35">
      <c r="A2739">
        <v>374</v>
      </c>
      <c r="B2739">
        <v>5</v>
      </c>
      <c r="C2739">
        <f>'0374 table 5'!E1158</f>
        <v>441264.64000000001</v>
      </c>
      <c r="D2739">
        <f>'0374 table 5'!F1158</f>
        <v>349.81666666666666</v>
      </c>
      <c r="E2739">
        <f>'0374 table 5'!G1158</f>
        <v>2.6476782244881645</v>
      </c>
    </row>
    <row r="2740" spans="1:5" x14ac:dyDescent="0.35">
      <c r="A2740">
        <v>374</v>
      </c>
      <c r="B2740">
        <v>5</v>
      </c>
      <c r="C2740">
        <f>'0374 table 5'!E1159</f>
        <v>441264.64000000001</v>
      </c>
      <c r="D2740">
        <f>'0374 table 5'!F1159</f>
        <v>355.37222222222221</v>
      </c>
      <c r="E2740">
        <f>'0374 table 5'!G1159</f>
        <v>2.6025106836967331</v>
      </c>
    </row>
    <row r="2741" spans="1:5" x14ac:dyDescent="0.35">
      <c r="A2741">
        <v>374</v>
      </c>
      <c r="B2741">
        <v>5</v>
      </c>
      <c r="C2741">
        <f>'0374 table 5'!E1160</f>
        <v>441264.64000000001</v>
      </c>
      <c r="D2741">
        <f>'0374 table 5'!F1160</f>
        <v>360.92777777777775</v>
      </c>
      <c r="E2741">
        <f>'0374 table 5'!G1160</f>
        <v>2.5588583479478264</v>
      </c>
    </row>
    <row r="2742" spans="1:5" x14ac:dyDescent="0.35">
      <c r="A2742">
        <v>374</v>
      </c>
      <c r="B2742">
        <v>5</v>
      </c>
      <c r="C2742">
        <f>'0374 table 5'!E1161</f>
        <v>441264.64000000001</v>
      </c>
      <c r="D2742">
        <f>'0374 table 5'!F1161</f>
        <v>366.48333333333329</v>
      </c>
      <c r="E2742">
        <f>'0374 table 5'!G1161</f>
        <v>2.5170416810423308</v>
      </c>
    </row>
    <row r="2743" spans="1:5" x14ac:dyDescent="0.35">
      <c r="A2743">
        <v>374</v>
      </c>
      <c r="B2743">
        <v>5</v>
      </c>
      <c r="C2743">
        <f>'0374 table 5'!E1162</f>
        <v>441264.64000000001</v>
      </c>
      <c r="D2743">
        <f>'0374 table 5'!F1162</f>
        <v>372.03888888888889</v>
      </c>
      <c r="E2743">
        <f>'0374 table 5'!G1162</f>
        <v>2.476569767803555</v>
      </c>
    </row>
    <row r="2744" spans="1:5" x14ac:dyDescent="0.35">
      <c r="A2744">
        <v>374</v>
      </c>
      <c r="B2744">
        <v>5</v>
      </c>
      <c r="C2744">
        <f>'0374 table 5'!E1163</f>
        <v>441264.64000000001</v>
      </c>
      <c r="D2744">
        <f>'0374 table 5'!F1163</f>
        <v>377.59444444444443</v>
      </c>
      <c r="E2744">
        <f>'0374 table 5'!G1163</f>
        <v>2.4373787672174974</v>
      </c>
    </row>
    <row r="2745" spans="1:5" x14ac:dyDescent="0.35">
      <c r="A2745">
        <v>374</v>
      </c>
      <c r="B2745">
        <v>5</v>
      </c>
      <c r="C2745">
        <f>'0374 table 5'!E1164</f>
        <v>441264.64000000001</v>
      </c>
      <c r="D2745">
        <f>'0374 table 5'!F1164</f>
        <v>383.15</v>
      </c>
      <c r="E2745">
        <f>'0374 table 5'!G1164</f>
        <v>2.3997682783750403</v>
      </c>
    </row>
    <row r="2746" spans="1:5" x14ac:dyDescent="0.35">
      <c r="A2746">
        <v>374</v>
      </c>
      <c r="B2746">
        <v>5</v>
      </c>
      <c r="C2746">
        <f>'0374 table 5'!E1165</f>
        <v>441264.64000000001</v>
      </c>
      <c r="D2746">
        <f>'0374 table 5'!F1165</f>
        <v>388.70555555555552</v>
      </c>
      <c r="E2746">
        <f>'0374 table 5'!G1165</f>
        <v>2.3633008642893767</v>
      </c>
    </row>
    <row r="2747" spans="1:5" x14ac:dyDescent="0.35">
      <c r="A2747">
        <v>374</v>
      </c>
      <c r="B2747">
        <v>5</v>
      </c>
      <c r="C2747">
        <f>'0374 table 5'!E1166</f>
        <v>441264.64000000001</v>
      </c>
      <c r="D2747">
        <f>'0374 table 5'!F1166</f>
        <v>399.81666666666666</v>
      </c>
      <c r="E2747">
        <f>'0374 table 5'!G1166</f>
        <v>2.2935929636531203</v>
      </c>
    </row>
    <row r="2748" spans="1:5" x14ac:dyDescent="0.35">
      <c r="A2748">
        <v>374</v>
      </c>
      <c r="B2748">
        <v>5</v>
      </c>
      <c r="C2748">
        <f>'0374 table 5'!E1167</f>
        <v>441264.64000000001</v>
      </c>
      <c r="D2748">
        <f>'0374 table 5'!F1167</f>
        <v>410.92777777777775</v>
      </c>
      <c r="E2748">
        <f>'0374 table 5'!G1167</f>
        <v>2.2319149029055865</v>
      </c>
    </row>
    <row r="2749" spans="1:5" x14ac:dyDescent="0.35">
      <c r="A2749">
        <v>374</v>
      </c>
      <c r="B2749">
        <v>5</v>
      </c>
      <c r="C2749">
        <f>'0374 table 5'!E1168</f>
        <v>441264.64000000001</v>
      </c>
      <c r="D2749">
        <f>'0374 table 5'!F1168</f>
        <v>422.03888888888889</v>
      </c>
      <c r="E2749">
        <f>'0374 table 5'!G1168</f>
        <v>2.1669985468281103</v>
      </c>
    </row>
    <row r="2750" spans="1:5" x14ac:dyDescent="0.35">
      <c r="A2750">
        <v>374</v>
      </c>
      <c r="B2750">
        <v>5</v>
      </c>
      <c r="C2750">
        <f>'0374 table 5'!E1169</f>
        <v>455054.16000000003</v>
      </c>
      <c r="D2750">
        <f>'0374 table 5'!F1169</f>
        <v>277.59444444444443</v>
      </c>
      <c r="E2750">
        <f>'0374 table 5'!G1169</f>
        <v>3.5980353230353539</v>
      </c>
    </row>
    <row r="2751" spans="1:5" x14ac:dyDescent="0.35">
      <c r="A2751">
        <v>374</v>
      </c>
      <c r="B2751">
        <v>5</v>
      </c>
      <c r="C2751">
        <f>'0374 table 5'!E1170</f>
        <v>455054.16000000003</v>
      </c>
      <c r="D2751">
        <f>'0374 table 5'!F1170</f>
        <v>283.14999999999998</v>
      </c>
      <c r="E2751">
        <f>'0374 table 5'!G1170</f>
        <v>3.505132003972296</v>
      </c>
    </row>
    <row r="2752" spans="1:5" x14ac:dyDescent="0.35">
      <c r="A2752">
        <v>374</v>
      </c>
      <c r="B2752">
        <v>5</v>
      </c>
      <c r="C2752">
        <f>'0374 table 5'!E1171</f>
        <v>455054.16000000003</v>
      </c>
      <c r="D2752">
        <f>'0374 table 5'!F1171</f>
        <v>288.70555555555552</v>
      </c>
      <c r="E2752">
        <f>'0374 table 5'!G1171</f>
        <v>3.4183639048556107</v>
      </c>
    </row>
    <row r="2753" spans="1:5" x14ac:dyDescent="0.35">
      <c r="A2753">
        <v>374</v>
      </c>
      <c r="B2753">
        <v>5</v>
      </c>
      <c r="C2753">
        <f>'0374 table 5'!E1172</f>
        <v>455054.16000000003</v>
      </c>
      <c r="D2753">
        <f>'0374 table 5'!F1172</f>
        <v>294.26111111111106</v>
      </c>
      <c r="E2753">
        <f>'0374 table 5'!G1172</f>
        <v>3.3378731523553644</v>
      </c>
    </row>
    <row r="2754" spans="1:5" x14ac:dyDescent="0.35">
      <c r="A2754">
        <v>374</v>
      </c>
      <c r="B2754">
        <v>5</v>
      </c>
      <c r="C2754">
        <f>'0374 table 5'!E1173</f>
        <v>455054.16000000003</v>
      </c>
      <c r="D2754">
        <f>'0374 table 5'!F1173</f>
        <v>299.81666666666666</v>
      </c>
      <c r="E2754">
        <f>'0374 table 5'!G1173</f>
        <v>3.2624141055302225</v>
      </c>
    </row>
    <row r="2755" spans="1:5" x14ac:dyDescent="0.35">
      <c r="A2755">
        <v>374</v>
      </c>
      <c r="B2755">
        <v>5</v>
      </c>
      <c r="C2755">
        <f>'0374 table 5'!E1174</f>
        <v>455054.16000000003</v>
      </c>
      <c r="D2755">
        <f>'0374 table 5'!F1174</f>
        <v>305.37222222222221</v>
      </c>
      <c r="E2755">
        <f>'0374 table 5'!G1174</f>
        <v>3.1909269438552577</v>
      </c>
    </row>
    <row r="2756" spans="1:5" x14ac:dyDescent="0.35">
      <c r="A2756">
        <v>374</v>
      </c>
      <c r="B2756">
        <v>5</v>
      </c>
      <c r="C2756">
        <f>'0374 table 5'!E1175</f>
        <v>455054.16000000003</v>
      </c>
      <c r="D2756">
        <f>'0374 table 5'!F1175</f>
        <v>310.92777777777775</v>
      </c>
      <c r="E2756">
        <f>'0374 table 5'!G1175</f>
        <v>3.1231143026230055</v>
      </c>
    </row>
    <row r="2757" spans="1:5" x14ac:dyDescent="0.35">
      <c r="A2757">
        <v>374</v>
      </c>
      <c r="B2757">
        <v>5</v>
      </c>
      <c r="C2757">
        <f>'0374 table 5'!E1176</f>
        <v>455054.16000000003</v>
      </c>
      <c r="D2757">
        <f>'0374 table 5'!F1176</f>
        <v>316.48333333333329</v>
      </c>
      <c r="E2757">
        <f>'0374 table 5'!G1176</f>
        <v>3.0592920661102738</v>
      </c>
    </row>
    <row r="2758" spans="1:5" x14ac:dyDescent="0.35">
      <c r="A2758">
        <v>374</v>
      </c>
      <c r="B2758">
        <v>5</v>
      </c>
      <c r="C2758">
        <f>'0374 table 5'!E1177</f>
        <v>455054.16000000003</v>
      </c>
      <c r="D2758">
        <f>'0374 table 5'!F1177</f>
        <v>322.03888888888889</v>
      </c>
      <c r="E2758">
        <f>'0374 table 5'!G1177</f>
        <v>2.9985872815712082</v>
      </c>
    </row>
    <row r="2759" spans="1:5" x14ac:dyDescent="0.35">
      <c r="A2759">
        <v>374</v>
      </c>
      <c r="B2759">
        <v>5</v>
      </c>
      <c r="C2759">
        <f>'0374 table 5'!E1178</f>
        <v>455054.16000000003</v>
      </c>
      <c r="D2759">
        <f>'0374 table 5'!F1178</f>
        <v>327.59444444444443</v>
      </c>
      <c r="E2759">
        <f>'0374 table 5'!G1178</f>
        <v>2.940784515908462</v>
      </c>
    </row>
    <row r="2760" spans="1:5" x14ac:dyDescent="0.35">
      <c r="A2760">
        <v>374</v>
      </c>
      <c r="B2760">
        <v>5</v>
      </c>
      <c r="C2760">
        <f>'0374 table 5'!E1179</f>
        <v>455054.16000000003</v>
      </c>
      <c r="D2760">
        <f>'0374 table 5'!F1179</f>
        <v>333.15</v>
      </c>
      <c r="E2760">
        <f>'0374 table 5'!G1179</f>
        <v>2.8851680940478017</v>
      </c>
    </row>
    <row r="2761" spans="1:5" x14ac:dyDescent="0.35">
      <c r="A2761">
        <v>374</v>
      </c>
      <c r="B2761">
        <v>5</v>
      </c>
      <c r="C2761">
        <f>'0374 table 5'!E1180</f>
        <v>455054.16000000003</v>
      </c>
      <c r="D2761">
        <f>'0374 table 5'!F1180</f>
        <v>338.70555555555552</v>
      </c>
      <c r="E2761">
        <f>'0374 table 5'!G1180</f>
        <v>2.832116912686244</v>
      </c>
    </row>
    <row r="2762" spans="1:5" x14ac:dyDescent="0.35">
      <c r="A2762">
        <v>374</v>
      </c>
      <c r="B2762">
        <v>5</v>
      </c>
      <c r="C2762">
        <f>'0374 table 5'!E1181</f>
        <v>455054.16000000003</v>
      </c>
      <c r="D2762">
        <f>'0374 table 5'!F1181</f>
        <v>344.26111111111106</v>
      </c>
      <c r="E2762">
        <f>'0374 table 5'!G1181</f>
        <v>2.7814643615477328</v>
      </c>
    </row>
    <row r="2763" spans="1:5" x14ac:dyDescent="0.35">
      <c r="A2763">
        <v>374</v>
      </c>
      <c r="B2763">
        <v>5</v>
      </c>
      <c r="C2763">
        <f>'0374 table 5'!E1182</f>
        <v>455054.16000000003</v>
      </c>
      <c r="D2763">
        <f>'0374 table 5'!F1182</f>
        <v>349.81666666666666</v>
      </c>
      <c r="E2763">
        <f>'0374 table 5'!G1182</f>
        <v>2.7325918215887737</v>
      </c>
    </row>
    <row r="2764" spans="1:5" x14ac:dyDescent="0.35">
      <c r="A2764">
        <v>374</v>
      </c>
      <c r="B2764">
        <v>5</v>
      </c>
      <c r="C2764">
        <f>'0374 table 5'!E1183</f>
        <v>455054.16000000003</v>
      </c>
      <c r="D2764">
        <f>'0374 table 5'!F1183</f>
        <v>355.37222222222221</v>
      </c>
      <c r="E2764">
        <f>'0374 table 5'!G1183</f>
        <v>2.6858573538151229</v>
      </c>
    </row>
    <row r="2765" spans="1:5" x14ac:dyDescent="0.35">
      <c r="A2765">
        <v>374</v>
      </c>
      <c r="B2765">
        <v>5</v>
      </c>
      <c r="C2765">
        <f>'0374 table 5'!E1184</f>
        <v>455054.16000000003</v>
      </c>
      <c r="D2765">
        <f>'0374 table 5'!F1184</f>
        <v>360.92777777777775</v>
      </c>
      <c r="E2765">
        <f>'0374 table 5'!G1184</f>
        <v>2.6406945694285189</v>
      </c>
    </row>
    <row r="2766" spans="1:5" x14ac:dyDescent="0.35">
      <c r="A2766">
        <v>374</v>
      </c>
      <c r="B2766">
        <v>5</v>
      </c>
      <c r="C2766">
        <f>'0374 table 5'!E1185</f>
        <v>455054.16000000003</v>
      </c>
      <c r="D2766">
        <f>'0374 table 5'!F1185</f>
        <v>366.48333333333329</v>
      </c>
      <c r="E2766">
        <f>'0374 table 5'!G1185</f>
        <v>2.5974466123161011</v>
      </c>
    </row>
    <row r="2767" spans="1:5" x14ac:dyDescent="0.35">
      <c r="A2767">
        <v>374</v>
      </c>
      <c r="B2767">
        <v>5</v>
      </c>
      <c r="C2767">
        <f>'0374 table 5'!E1186</f>
        <v>455054.16000000003</v>
      </c>
      <c r="D2767">
        <f>'0374 table 5'!F1186</f>
        <v>372.03888888888889</v>
      </c>
      <c r="E2767">
        <f>'0374 table 5'!G1186</f>
        <v>2.5555924151489138</v>
      </c>
    </row>
    <row r="2768" spans="1:5" x14ac:dyDescent="0.35">
      <c r="A2768">
        <v>374</v>
      </c>
      <c r="B2768">
        <v>5</v>
      </c>
      <c r="C2768">
        <f>'0374 table 5'!E1187</f>
        <v>455054.16000000003</v>
      </c>
      <c r="D2768">
        <f>'0374 table 5'!F1187</f>
        <v>377.59444444444443</v>
      </c>
      <c r="E2768">
        <f>'0374 table 5'!G1187</f>
        <v>2.515065670930035</v>
      </c>
    </row>
    <row r="2769" spans="1:5" x14ac:dyDescent="0.35">
      <c r="A2769">
        <v>374</v>
      </c>
      <c r="B2769">
        <v>5</v>
      </c>
      <c r="C2769">
        <f>'0374 table 5'!E1188</f>
        <v>455054.16000000003</v>
      </c>
      <c r="D2769">
        <f>'0374 table 5'!F1188</f>
        <v>383.15</v>
      </c>
      <c r="E2769">
        <f>'0374 table 5'!G1188</f>
        <v>2.4758042130067066</v>
      </c>
    </row>
    <row r="2770" spans="1:5" x14ac:dyDescent="0.35">
      <c r="A2770">
        <v>374</v>
      </c>
      <c r="B2770">
        <v>5</v>
      </c>
      <c r="C2770">
        <f>'0374 table 5'!E1189</f>
        <v>455054.16000000003</v>
      </c>
      <c r="D2770">
        <f>'0374 table 5'!F1189</f>
        <v>388.70555555555552</v>
      </c>
      <c r="E2770">
        <f>'0374 table 5'!G1189</f>
        <v>2.4381207394449609</v>
      </c>
    </row>
    <row r="2771" spans="1:5" x14ac:dyDescent="0.35">
      <c r="A2771">
        <v>374</v>
      </c>
      <c r="B2771">
        <v>5</v>
      </c>
      <c r="C2771">
        <f>'0374 table 5'!E1190</f>
        <v>455054.16000000003</v>
      </c>
      <c r="D2771">
        <f>'0374 table 5'!F1190</f>
        <v>399.81666666666666</v>
      </c>
      <c r="E2771">
        <f>'0374 table 5'!G1190</f>
        <v>2.3664430873324558</v>
      </c>
    </row>
    <row r="2772" spans="1:5" x14ac:dyDescent="0.35">
      <c r="A2772">
        <v>374</v>
      </c>
      <c r="B2772">
        <v>5</v>
      </c>
      <c r="C2772">
        <f>'0374 table 5'!E1191</f>
        <v>455054.16000000003</v>
      </c>
      <c r="D2772">
        <f>'0374 table 5'!F1191</f>
        <v>410.92777777777775</v>
      </c>
      <c r="E2772">
        <f>'0374 table 5'!G1191</f>
        <v>2.298859537622473</v>
      </c>
    </row>
    <row r="2773" spans="1:5" x14ac:dyDescent="0.35">
      <c r="A2773">
        <v>374</v>
      </c>
      <c r="B2773">
        <v>5</v>
      </c>
      <c r="C2773">
        <f>'0374 table 5'!E1192</f>
        <v>455054.16000000003</v>
      </c>
      <c r="D2773">
        <f>'0374 table 5'!F1192</f>
        <v>422.03888888888889</v>
      </c>
      <c r="E2773">
        <f>'0374 table 5'!G1192</f>
        <v>2.2356529320521137</v>
      </c>
    </row>
    <row r="2774" spans="1:5" x14ac:dyDescent="0.35">
      <c r="A2774">
        <v>374</v>
      </c>
      <c r="B2774">
        <v>5</v>
      </c>
      <c r="C2774">
        <f>'0374 table 5'!E1193</f>
        <v>468843.68</v>
      </c>
      <c r="D2774">
        <f>'0374 table 5'!F1193</f>
        <v>277.59444444444443</v>
      </c>
      <c r="E2774">
        <f>'0374 table 5'!G1193</f>
        <v>3.7165784821701613</v>
      </c>
    </row>
    <row r="2775" spans="1:5" x14ac:dyDescent="0.35">
      <c r="A2775">
        <v>374</v>
      </c>
      <c r="B2775">
        <v>5</v>
      </c>
      <c r="C2775">
        <f>'0374 table 5'!E1194</f>
        <v>468843.68</v>
      </c>
      <c r="D2775">
        <f>'0374 table 5'!F1194</f>
        <v>283.14999999999998</v>
      </c>
      <c r="E2775">
        <f>'0374 table 5'!G1194</f>
        <v>3.6191715449962478</v>
      </c>
    </row>
    <row r="2776" spans="1:5" x14ac:dyDescent="0.35">
      <c r="A2776">
        <v>374</v>
      </c>
      <c r="B2776">
        <v>5</v>
      </c>
      <c r="C2776">
        <f>'0374 table 5'!E1195</f>
        <v>468843.68</v>
      </c>
      <c r="D2776">
        <f>'0374 table 5'!F1195</f>
        <v>288.70555555555552</v>
      </c>
      <c r="E2776">
        <f>'0374 table 5'!G1195</f>
        <v>3.5290709976103534</v>
      </c>
    </row>
    <row r="2777" spans="1:5" x14ac:dyDescent="0.35">
      <c r="A2777">
        <v>374</v>
      </c>
      <c r="B2777">
        <v>5</v>
      </c>
      <c r="C2777">
        <f>'0374 table 5'!E1196</f>
        <v>468843.68</v>
      </c>
      <c r="D2777">
        <f>'0374 table 5'!F1196</f>
        <v>294.26111111111106</v>
      </c>
      <c r="E2777">
        <f>'0374 table 5'!G1196</f>
        <v>3.4448286576673963</v>
      </c>
    </row>
    <row r="2778" spans="1:5" x14ac:dyDescent="0.35">
      <c r="A2778">
        <v>374</v>
      </c>
      <c r="B2778">
        <v>5</v>
      </c>
      <c r="C2778">
        <f>'0374 table 5'!E1197</f>
        <v>468843.68</v>
      </c>
      <c r="D2778">
        <f>'0374 table 5'!F1197</f>
        <v>299.81666666666666</v>
      </c>
      <c r="E2778">
        <f>'0374 table 5'!G1197</f>
        <v>3.3666358255891962</v>
      </c>
    </row>
    <row r="2779" spans="1:5" x14ac:dyDescent="0.35">
      <c r="A2779">
        <v>374</v>
      </c>
      <c r="B2779">
        <v>5</v>
      </c>
      <c r="C2779">
        <f>'0374 table 5'!E1198</f>
        <v>468843.68</v>
      </c>
      <c r="D2779">
        <f>'0374 table 5'!F1198</f>
        <v>305.37222222222221</v>
      </c>
      <c r="E2779">
        <f>'0374 table 5'!G1198</f>
        <v>3.2925905977704817</v>
      </c>
    </row>
    <row r="2780" spans="1:5" x14ac:dyDescent="0.35">
      <c r="A2780">
        <v>374</v>
      </c>
      <c r="B2780">
        <v>5</v>
      </c>
      <c r="C2780">
        <f>'0374 table 5'!E1199</f>
        <v>468843.68</v>
      </c>
      <c r="D2780">
        <f>'0374 table 5'!F1199</f>
        <v>310.92777777777775</v>
      </c>
      <c r="E2780">
        <f>'0374 table 5'!G1199</f>
        <v>3.2223804582887534</v>
      </c>
    </row>
    <row r="2781" spans="1:5" x14ac:dyDescent="0.35">
      <c r="A2781">
        <v>374</v>
      </c>
      <c r="B2781">
        <v>5</v>
      </c>
      <c r="C2781">
        <f>'0374 table 5'!E1200</f>
        <v>468843.68</v>
      </c>
      <c r="D2781">
        <f>'0374 table 5'!F1200</f>
        <v>316.48333333333329</v>
      </c>
      <c r="E2781">
        <f>'0374 table 5'!G1200</f>
        <v>3.1563454695868756</v>
      </c>
    </row>
    <row r="2782" spans="1:5" x14ac:dyDescent="0.35">
      <c r="A2782">
        <v>374</v>
      </c>
      <c r="B2782">
        <v>5</v>
      </c>
      <c r="C2782">
        <f>'0374 table 5'!E1201</f>
        <v>468843.68</v>
      </c>
      <c r="D2782">
        <f>'0374 table 5'!F1201</f>
        <v>322.03888888888889</v>
      </c>
      <c r="E2782">
        <f>'0374 table 5'!G1201</f>
        <v>3.0822500015688652</v>
      </c>
    </row>
    <row r="2783" spans="1:5" x14ac:dyDescent="0.35">
      <c r="A2783">
        <v>374</v>
      </c>
      <c r="B2783">
        <v>5</v>
      </c>
      <c r="C2783">
        <f>'0374 table 5'!E1202</f>
        <v>468843.68</v>
      </c>
      <c r="D2783">
        <f>'0374 table 5'!F1202</f>
        <v>327.59444444444443</v>
      </c>
      <c r="E2783">
        <f>'0374 table 5'!G1202</f>
        <v>3.0332234914132541</v>
      </c>
    </row>
    <row r="2784" spans="1:5" x14ac:dyDescent="0.35">
      <c r="A2784">
        <v>374</v>
      </c>
      <c r="B2784">
        <v>5</v>
      </c>
      <c r="C2784">
        <f>'0374 table 5'!E1203</f>
        <v>468843.68</v>
      </c>
      <c r="D2784">
        <f>'0374 table 5'!F1203</f>
        <v>333.15</v>
      </c>
      <c r="E2784">
        <f>'0374 table 5'!G1203</f>
        <v>2.9757483295845053</v>
      </c>
    </row>
    <row r="2785" spans="1:5" x14ac:dyDescent="0.35">
      <c r="A2785">
        <v>374</v>
      </c>
      <c r="B2785">
        <v>5</v>
      </c>
      <c r="C2785">
        <f>'0374 table 5'!E1204</f>
        <v>468843.68</v>
      </c>
      <c r="D2785">
        <f>'0374 table 5'!F1204</f>
        <v>338.70555555555552</v>
      </c>
      <c r="E2785">
        <f>'0374 table 5'!G1204</f>
        <v>2.92094333664358</v>
      </c>
    </row>
    <row r="2786" spans="1:5" x14ac:dyDescent="0.35">
      <c r="A2786">
        <v>374</v>
      </c>
      <c r="B2786">
        <v>5</v>
      </c>
      <c r="C2786">
        <f>'0374 table 5'!E1205</f>
        <v>468843.68</v>
      </c>
      <c r="D2786">
        <f>'0374 table 5'!F1205</f>
        <v>344.26111111111106</v>
      </c>
      <c r="E2786">
        <f>'0374 table 5'!G1205</f>
        <v>2.8681205475655136</v>
      </c>
    </row>
    <row r="2787" spans="1:5" x14ac:dyDescent="0.35">
      <c r="A2787">
        <v>374</v>
      </c>
      <c r="B2787">
        <v>5</v>
      </c>
      <c r="C2787">
        <f>'0374 table 5'!E1206</f>
        <v>468843.68</v>
      </c>
      <c r="D2787">
        <f>'0374 table 5'!F1206</f>
        <v>349.81666666666666</v>
      </c>
      <c r="E2787">
        <f>'0374 table 5'!G1206</f>
        <v>2.8176698783031475</v>
      </c>
    </row>
    <row r="2788" spans="1:5" x14ac:dyDescent="0.35">
      <c r="A2788">
        <v>374</v>
      </c>
      <c r="B2788">
        <v>5</v>
      </c>
      <c r="C2788">
        <f>'0374 table 5'!E1207</f>
        <v>468843.68</v>
      </c>
      <c r="D2788">
        <f>'0374 table 5'!F1207</f>
        <v>355.37222222222221</v>
      </c>
      <c r="E2788">
        <f>'0374 table 5'!G1207</f>
        <v>2.7694421262367555</v>
      </c>
    </row>
    <row r="2789" spans="1:5" x14ac:dyDescent="0.35">
      <c r="A2789">
        <v>374</v>
      </c>
      <c r="B2789">
        <v>5</v>
      </c>
      <c r="C2789">
        <f>'0374 table 5'!E1208</f>
        <v>468843.68</v>
      </c>
      <c r="D2789">
        <f>'0374 table 5'!F1208</f>
        <v>360.92777777777775</v>
      </c>
      <c r="E2789">
        <f>'0374 table 5'!G1208</f>
        <v>2.7228375417564838</v>
      </c>
    </row>
    <row r="2790" spans="1:5" x14ac:dyDescent="0.35">
      <c r="A2790">
        <v>374</v>
      </c>
      <c r="B2790">
        <v>5</v>
      </c>
      <c r="C2790">
        <f>'0374 table 5'!E1209</f>
        <v>468843.68</v>
      </c>
      <c r="D2790">
        <f>'0374 table 5'!F1209</f>
        <v>366.48333333333329</v>
      </c>
      <c r="E2790">
        <f>'0374 table 5'!G1209</f>
        <v>2.6777755363011355</v>
      </c>
    </row>
    <row r="2791" spans="1:5" x14ac:dyDescent="0.35">
      <c r="A2791">
        <v>374</v>
      </c>
      <c r="B2791">
        <v>5</v>
      </c>
      <c r="C2791">
        <f>'0374 table 5'!E1210</f>
        <v>468843.68</v>
      </c>
      <c r="D2791">
        <f>'0374 table 5'!F1210</f>
        <v>372.03888888888889</v>
      </c>
      <c r="E2791">
        <f>'0374 table 5'!G1210</f>
        <v>2.6346140227225976</v>
      </c>
    </row>
    <row r="2792" spans="1:5" x14ac:dyDescent="0.35">
      <c r="A2792">
        <v>374</v>
      </c>
      <c r="B2792">
        <v>5</v>
      </c>
      <c r="C2792">
        <f>'0374 table 5'!E1211</f>
        <v>468843.68</v>
      </c>
      <c r="D2792">
        <f>'0374 table 5'!F1211</f>
        <v>377.59444444444443</v>
      </c>
      <c r="E2792">
        <f>'0374 table 5'!G1211</f>
        <v>2.5924022104148556</v>
      </c>
    </row>
    <row r="2793" spans="1:5" x14ac:dyDescent="0.35">
      <c r="A2793">
        <v>374</v>
      </c>
      <c r="B2793">
        <v>5</v>
      </c>
      <c r="C2793">
        <f>'0374 table 5'!E1212</f>
        <v>468843.68</v>
      </c>
      <c r="D2793">
        <f>'0374 table 5'!F1212</f>
        <v>383.15</v>
      </c>
      <c r="E2793">
        <f>'0374 table 5'!G1212</f>
        <v>2.5527415550842059</v>
      </c>
    </row>
    <row r="2794" spans="1:5" x14ac:dyDescent="0.35">
      <c r="A2794">
        <v>374</v>
      </c>
      <c r="B2794">
        <v>5</v>
      </c>
      <c r="C2794">
        <f>'0374 table 5'!E1213</f>
        <v>468843.68</v>
      </c>
      <c r="D2794">
        <f>'0374 table 5'!F1213</f>
        <v>388.70555555555552</v>
      </c>
      <c r="E2794">
        <f>'0374 table 5'!G1213</f>
        <v>2.5134870952696362</v>
      </c>
    </row>
    <row r="2795" spans="1:5" x14ac:dyDescent="0.35">
      <c r="A2795">
        <v>374</v>
      </c>
      <c r="B2795">
        <v>5</v>
      </c>
      <c r="C2795">
        <f>'0374 table 5'!E1214</f>
        <v>468843.68</v>
      </c>
      <c r="D2795">
        <f>'0374 table 5'!F1214</f>
        <v>399.81666666666666</v>
      </c>
      <c r="E2795">
        <f>'0374 table 5'!G1214</f>
        <v>2.4392345451733508</v>
      </c>
    </row>
    <row r="2796" spans="1:5" x14ac:dyDescent="0.35">
      <c r="A2796">
        <v>374</v>
      </c>
      <c r="B2796">
        <v>5</v>
      </c>
      <c r="C2796">
        <f>'0374 table 5'!E1215</f>
        <v>468843.68</v>
      </c>
      <c r="D2796">
        <f>'0374 table 5'!F1215</f>
        <v>410.92777777777775</v>
      </c>
      <c r="E2796">
        <f>'0374 table 5'!G1215</f>
        <v>2.3695936772416264</v>
      </c>
    </row>
    <row r="2797" spans="1:5" x14ac:dyDescent="0.35">
      <c r="A2797">
        <v>374</v>
      </c>
      <c r="B2797">
        <v>5</v>
      </c>
      <c r="C2797">
        <f>'0374 table 5'!E1216</f>
        <v>468843.68</v>
      </c>
      <c r="D2797">
        <f>'0374 table 5'!F1216</f>
        <v>422.03888888888889</v>
      </c>
      <c r="E2797">
        <f>'0374 table 5'!G1216</f>
        <v>2.3041503535893835</v>
      </c>
    </row>
    <row r="2798" spans="1:5" x14ac:dyDescent="0.35">
      <c r="A2798">
        <v>374</v>
      </c>
      <c r="B2798">
        <v>5</v>
      </c>
      <c r="C2798">
        <f>'0374 table 5'!E1217</f>
        <v>482633.2</v>
      </c>
      <c r="D2798">
        <f>'0374 table 5'!F1217</f>
        <v>277.59444444444443</v>
      </c>
      <c r="E2798">
        <f>'0374 table 5'!G1217</f>
        <v>3.834918184858366</v>
      </c>
    </row>
    <row r="2799" spans="1:5" x14ac:dyDescent="0.35">
      <c r="A2799">
        <v>374</v>
      </c>
      <c r="B2799">
        <v>5</v>
      </c>
      <c r="C2799">
        <f>'0374 table 5'!E1218</f>
        <v>482633.2</v>
      </c>
      <c r="D2799">
        <f>'0374 table 5'!F1218</f>
        <v>283.14999999999998</v>
      </c>
      <c r="E2799">
        <f>'0374 table 5'!G1218</f>
        <v>3.7339051883807444</v>
      </c>
    </row>
    <row r="2800" spans="1:5" x14ac:dyDescent="0.35">
      <c r="A2800">
        <v>374</v>
      </c>
      <c r="B2800">
        <v>5</v>
      </c>
      <c r="C2800">
        <f>'0374 table 5'!E1219</f>
        <v>482633.2</v>
      </c>
      <c r="D2800">
        <f>'0374 table 5'!F1219</f>
        <v>288.70555555555552</v>
      </c>
      <c r="E2800">
        <f>'0374 table 5'!G1219</f>
        <v>3.6397303472286739</v>
      </c>
    </row>
    <row r="2801" spans="1:5" x14ac:dyDescent="0.35">
      <c r="A2801">
        <v>374</v>
      </c>
      <c r="B2801">
        <v>5</v>
      </c>
      <c r="C2801">
        <f>'0374 table 5'!E1220</f>
        <v>482633.2</v>
      </c>
      <c r="D2801">
        <f>'0374 table 5'!F1220</f>
        <v>294.26111111111106</v>
      </c>
      <c r="E2801">
        <f>'0374 table 5'!G1220</f>
        <v>3.5525511772351726</v>
      </c>
    </row>
    <row r="2802" spans="1:5" x14ac:dyDescent="0.35">
      <c r="A2802">
        <v>374</v>
      </c>
      <c r="B2802">
        <v>5</v>
      </c>
      <c r="C2802">
        <f>'0374 table 5'!E1221</f>
        <v>482633.2</v>
      </c>
      <c r="D2802">
        <f>'0374 table 5'!F1221</f>
        <v>299.81666666666666</v>
      </c>
      <c r="E2802">
        <f>'0374 table 5'!G1221</f>
        <v>3.4709541187764663</v>
      </c>
    </row>
    <row r="2803" spans="1:5" x14ac:dyDescent="0.35">
      <c r="A2803">
        <v>374</v>
      </c>
      <c r="B2803">
        <v>5</v>
      </c>
      <c r="C2803">
        <f>'0374 table 5'!E1222</f>
        <v>482633.2</v>
      </c>
      <c r="D2803">
        <f>'0374 table 5'!F1222</f>
        <v>305.37222222222221</v>
      </c>
      <c r="E2803">
        <f>'0374 table 5'!G1222</f>
        <v>3.3944592621643128</v>
      </c>
    </row>
    <row r="2804" spans="1:5" x14ac:dyDescent="0.35">
      <c r="A2804">
        <v>374</v>
      </c>
      <c r="B2804">
        <v>5</v>
      </c>
      <c r="C2804">
        <f>'0374 table 5'!E1223</f>
        <v>482633.2</v>
      </c>
      <c r="D2804">
        <f>'0374 table 5'!F1223</f>
        <v>310.92777777777775</v>
      </c>
      <c r="E2804">
        <f>'0374 table 5'!G1223</f>
        <v>3.3219521481031506</v>
      </c>
    </row>
    <row r="2805" spans="1:5" x14ac:dyDescent="0.35">
      <c r="A2805">
        <v>374</v>
      </c>
      <c r="B2805">
        <v>5</v>
      </c>
      <c r="C2805">
        <f>'0374 table 5'!E1224</f>
        <v>482633.2</v>
      </c>
      <c r="D2805">
        <f>'0374 table 5'!F1224</f>
        <v>316.48333333333329</v>
      </c>
      <c r="E2805">
        <f>'0374 table 5'!G1224</f>
        <v>3.2531383546209165</v>
      </c>
    </row>
    <row r="2806" spans="1:5" x14ac:dyDescent="0.35">
      <c r="A2806">
        <v>374</v>
      </c>
      <c r="B2806">
        <v>5</v>
      </c>
      <c r="C2806">
        <f>'0374 table 5'!E1225</f>
        <v>482633.2</v>
      </c>
      <c r="D2806">
        <f>'0374 table 5'!F1225</f>
        <v>322.03888888888889</v>
      </c>
      <c r="E2806">
        <f>'0374 table 5'!G1225</f>
        <v>3.1877518921698296</v>
      </c>
    </row>
    <row r="2807" spans="1:5" x14ac:dyDescent="0.35">
      <c r="A2807">
        <v>374</v>
      </c>
      <c r="B2807">
        <v>5</v>
      </c>
      <c r="C2807">
        <f>'0374 table 5'!E1226</f>
        <v>482633.2</v>
      </c>
      <c r="D2807">
        <f>'0374 table 5'!F1226</f>
        <v>327.59444444444443</v>
      </c>
      <c r="E2807">
        <f>'0374 table 5'!G1226</f>
        <v>3.1255518552494426</v>
      </c>
    </row>
    <row r="2808" spans="1:5" x14ac:dyDescent="0.35">
      <c r="A2808">
        <v>374</v>
      </c>
      <c r="B2808">
        <v>5</v>
      </c>
      <c r="C2808">
        <f>'0374 table 5'!E1227</f>
        <v>482633.2</v>
      </c>
      <c r="D2808">
        <f>'0374 table 5'!F1227</f>
        <v>333.15</v>
      </c>
      <c r="E2808">
        <f>'0374 table 5'!G1227</f>
        <v>3.0663195363999605</v>
      </c>
    </row>
    <row r="2809" spans="1:5" x14ac:dyDescent="0.35">
      <c r="A2809">
        <v>374</v>
      </c>
      <c r="B2809">
        <v>5</v>
      </c>
      <c r="C2809">
        <f>'0374 table 5'!E1228</f>
        <v>482633.2</v>
      </c>
      <c r="D2809">
        <f>'0374 table 5'!F1228</f>
        <v>338.70555555555552</v>
      </c>
      <c r="E2809">
        <f>'0374 table 5'!G1228</f>
        <v>3.0092904862208139</v>
      </c>
    </row>
    <row r="2810" spans="1:5" x14ac:dyDescent="0.35">
      <c r="A2810">
        <v>374</v>
      </c>
      <c r="B2810">
        <v>5</v>
      </c>
      <c r="C2810">
        <f>'0374 table 5'!E1229</f>
        <v>482633.2</v>
      </c>
      <c r="D2810">
        <f>'0374 table 5'!F1229</f>
        <v>344.26111111111106</v>
      </c>
      <c r="E2810">
        <f>'0374 table 5'!G1229</f>
        <v>2.955434180471106</v>
      </c>
    </row>
    <row r="2811" spans="1:5" x14ac:dyDescent="0.35">
      <c r="A2811">
        <v>374</v>
      </c>
      <c r="B2811">
        <v>5</v>
      </c>
      <c r="C2811">
        <f>'0374 table 5'!E1230</f>
        <v>482633.2</v>
      </c>
      <c r="D2811">
        <f>'0374 table 5'!F1230</f>
        <v>349.81666666666666</v>
      </c>
      <c r="E2811">
        <f>'0374 table 5'!G1230</f>
        <v>2.9029454980343226</v>
      </c>
    </row>
    <row r="2812" spans="1:5" x14ac:dyDescent="0.35">
      <c r="A2812">
        <v>374</v>
      </c>
      <c r="B2812">
        <v>5</v>
      </c>
      <c r="C2812">
        <f>'0374 table 5'!E1231</f>
        <v>482633.2</v>
      </c>
      <c r="D2812">
        <f>'0374 table 5'!F1231</f>
        <v>355.37222222222221</v>
      </c>
      <c r="E2812">
        <f>'0374 table 5'!G1231</f>
        <v>2.8527966621822607</v>
      </c>
    </row>
    <row r="2813" spans="1:5" x14ac:dyDescent="0.35">
      <c r="A2813">
        <v>374</v>
      </c>
      <c r="B2813">
        <v>5</v>
      </c>
      <c r="C2813">
        <f>'0374 table 5'!E1232</f>
        <v>482633.2</v>
      </c>
      <c r="D2813">
        <f>'0374 table 5'!F1232</f>
        <v>360.92777777777775</v>
      </c>
      <c r="E2813">
        <f>'0374 table 5'!G1232</f>
        <v>2.8048421043868661</v>
      </c>
    </row>
    <row r="2814" spans="1:5" x14ac:dyDescent="0.35">
      <c r="A2814">
        <v>374</v>
      </c>
      <c r="B2814">
        <v>5</v>
      </c>
      <c r="C2814">
        <f>'0374 table 5'!E1233</f>
        <v>482633.2</v>
      </c>
      <c r="D2814">
        <f>'0374 table 5'!F1233</f>
        <v>366.48333333333329</v>
      </c>
      <c r="E2814">
        <f>'0374 table 5'!G1233</f>
        <v>2.7584730942230742</v>
      </c>
    </row>
    <row r="2815" spans="1:5" x14ac:dyDescent="0.35">
      <c r="A2815">
        <v>374</v>
      </c>
      <c r="B2815">
        <v>5</v>
      </c>
      <c r="C2815">
        <f>'0374 table 5'!E1234</f>
        <v>482633.2</v>
      </c>
      <c r="D2815">
        <f>'0374 table 5'!F1234</f>
        <v>372.03888888888889</v>
      </c>
      <c r="E2815">
        <f>'0374 table 5'!G1234</f>
        <v>2.7140720532282945</v>
      </c>
    </row>
    <row r="2816" spans="1:5" x14ac:dyDescent="0.35">
      <c r="A2816">
        <v>374</v>
      </c>
      <c r="B2816">
        <v>5</v>
      </c>
      <c r="C2816">
        <f>'0374 table 5'!E1235</f>
        <v>482633.2</v>
      </c>
      <c r="D2816">
        <f>'0374 table 5'!F1235</f>
        <v>377.59444444444443</v>
      </c>
      <c r="E2816">
        <f>'0374 table 5'!G1235</f>
        <v>2.6706324204990652</v>
      </c>
    </row>
    <row r="2817" spans="1:5" x14ac:dyDescent="0.35">
      <c r="A2817">
        <v>374</v>
      </c>
      <c r="B2817">
        <v>5</v>
      </c>
      <c r="C2817">
        <f>'0374 table 5'!E1236</f>
        <v>482633.2</v>
      </c>
      <c r="D2817">
        <f>'0374 table 5'!F1236</f>
        <v>383.15</v>
      </c>
      <c r="E2817">
        <f>'0374 table 5'!G1236</f>
        <v>2.6289928209672402</v>
      </c>
    </row>
    <row r="2818" spans="1:5" x14ac:dyDescent="0.35">
      <c r="A2818">
        <v>374</v>
      </c>
      <c r="B2818">
        <v>5</v>
      </c>
      <c r="C2818">
        <f>'0374 table 5'!E1237</f>
        <v>482633.2</v>
      </c>
      <c r="D2818">
        <f>'0374 table 5'!F1237</f>
        <v>388.70555555555552</v>
      </c>
      <c r="E2818">
        <f>'0374 table 5'!G1237</f>
        <v>2.5890501467841269</v>
      </c>
    </row>
    <row r="2819" spans="1:5" x14ac:dyDescent="0.35">
      <c r="A2819">
        <v>374</v>
      </c>
      <c r="B2819">
        <v>5</v>
      </c>
      <c r="C2819">
        <f>'0374 table 5'!E1238</f>
        <v>482633.2</v>
      </c>
      <c r="D2819">
        <f>'0374 table 5'!F1238</f>
        <v>399.81666666666666</v>
      </c>
      <c r="E2819">
        <f>'0374 table 5'!G1238</f>
        <v>2.5123044633239324</v>
      </c>
    </row>
    <row r="2820" spans="1:5" x14ac:dyDescent="0.35">
      <c r="A2820">
        <v>374</v>
      </c>
      <c r="B2820">
        <v>5</v>
      </c>
      <c r="C2820">
        <f>'0374 table 5'!E1239</f>
        <v>482633.2</v>
      </c>
      <c r="D2820">
        <f>'0374 table 5'!F1239</f>
        <v>410.92777777777775</v>
      </c>
      <c r="E2820">
        <f>'0374 table 5'!G1239</f>
        <v>2.4407212034364458</v>
      </c>
    </row>
    <row r="2821" spans="1:5" x14ac:dyDescent="0.35">
      <c r="A2821">
        <v>374</v>
      </c>
      <c r="B2821">
        <v>5</v>
      </c>
      <c r="C2821">
        <f>'0374 table 5'!E1240</f>
        <v>482633.2</v>
      </c>
      <c r="D2821">
        <f>'0374 table 5'!F1240</f>
        <v>422.03888888888889</v>
      </c>
      <c r="E2821">
        <f>'0374 table 5'!G1240</f>
        <v>2.3731041863930953</v>
      </c>
    </row>
    <row r="2822" spans="1:5" x14ac:dyDescent="0.35">
      <c r="A2822">
        <v>374</v>
      </c>
      <c r="B2822">
        <v>5</v>
      </c>
      <c r="C2822">
        <f>'0374 table 5'!E1241</f>
        <v>517107</v>
      </c>
      <c r="D2822">
        <f>'0374 table 5'!F1241</f>
        <v>283.14999999999998</v>
      </c>
      <c r="E2822">
        <f>'0374 table 5'!G1241</f>
        <v>4.0227155344433427</v>
      </c>
    </row>
    <row r="2823" spans="1:5" x14ac:dyDescent="0.35">
      <c r="A2823">
        <v>374</v>
      </c>
      <c r="B2823">
        <v>5</v>
      </c>
      <c r="C2823">
        <f>'0374 table 5'!E1242</f>
        <v>517107</v>
      </c>
      <c r="D2823">
        <f>'0374 table 5'!F1242</f>
        <v>288.70555555555552</v>
      </c>
      <c r="E2823">
        <f>'0374 table 5'!G1242</f>
        <v>3.9193670805366754</v>
      </c>
    </row>
    <row r="2824" spans="1:5" x14ac:dyDescent="0.35">
      <c r="A2824">
        <v>374</v>
      </c>
      <c r="B2824">
        <v>5</v>
      </c>
      <c r="C2824">
        <f>'0374 table 5'!E1243</f>
        <v>517107</v>
      </c>
      <c r="D2824">
        <f>'0374 table 5'!F1243</f>
        <v>294.26111111111106</v>
      </c>
      <c r="E2824">
        <f>'0374 table 5'!G1243</f>
        <v>3.8239325037367853</v>
      </c>
    </row>
    <row r="2825" spans="1:5" x14ac:dyDescent="0.35">
      <c r="A2825">
        <v>374</v>
      </c>
      <c r="B2825">
        <v>5</v>
      </c>
      <c r="C2825">
        <f>'0374 table 5'!E1244</f>
        <v>517107</v>
      </c>
      <c r="D2825">
        <f>'0374 table 5'!F1244</f>
        <v>299.81666666666666</v>
      </c>
      <c r="E2825">
        <f>'0374 table 5'!G1244</f>
        <v>3.7347757654822553</v>
      </c>
    </row>
    <row r="2826" spans="1:5" x14ac:dyDescent="0.35">
      <c r="A2826">
        <v>374</v>
      </c>
      <c r="B2826">
        <v>5</v>
      </c>
      <c r="C2826">
        <f>'0374 table 5'!E1245</f>
        <v>517107</v>
      </c>
      <c r="D2826">
        <f>'0374 table 5'!F1245</f>
        <v>305.37222222222221</v>
      </c>
      <c r="E2826">
        <f>'0374 table 5'!G1245</f>
        <v>3.6505135045928427</v>
      </c>
    </row>
    <row r="2827" spans="1:5" x14ac:dyDescent="0.35">
      <c r="A2827">
        <v>374</v>
      </c>
      <c r="B2827">
        <v>5</v>
      </c>
      <c r="C2827">
        <f>'0374 table 5'!E1246</f>
        <v>517107</v>
      </c>
      <c r="D2827">
        <f>'0374 table 5'!F1246</f>
        <v>310.92777777777775</v>
      </c>
      <c r="E2827">
        <f>'0374 table 5'!G1246</f>
        <v>3.571561484538103</v>
      </c>
    </row>
    <row r="2828" spans="1:5" x14ac:dyDescent="0.35">
      <c r="A2828">
        <v>374</v>
      </c>
      <c r="B2828">
        <v>5</v>
      </c>
      <c r="C2828">
        <f>'0374 table 5'!E1247</f>
        <v>517107</v>
      </c>
      <c r="D2828">
        <f>'0374 table 5'!F1247</f>
        <v>316.48333333333329</v>
      </c>
      <c r="E2828">
        <f>'0374 table 5'!G1247</f>
        <v>3.4967154023473896</v>
      </c>
    </row>
    <row r="2829" spans="1:5" x14ac:dyDescent="0.35">
      <c r="A2829">
        <v>374</v>
      </c>
      <c r="B2829">
        <v>5</v>
      </c>
      <c r="C2829">
        <f>'0374 table 5'!E1248</f>
        <v>517107</v>
      </c>
      <c r="D2829">
        <f>'0374 table 5'!F1248</f>
        <v>322.03888888888889</v>
      </c>
      <c r="E2829">
        <f>'0374 table 5'!G1248</f>
        <v>3.4256743494767736</v>
      </c>
    </row>
    <row r="2830" spans="1:5" x14ac:dyDescent="0.35">
      <c r="A2830">
        <v>374</v>
      </c>
      <c r="B2830">
        <v>5</v>
      </c>
      <c r="C2830">
        <f>'0374 table 5'!E1249</f>
        <v>517107</v>
      </c>
      <c r="D2830">
        <f>'0374 table 5'!F1249</f>
        <v>327.59444444444443</v>
      </c>
      <c r="E2830">
        <f>'0374 table 5'!G1249</f>
        <v>3.3581663014996637</v>
      </c>
    </row>
    <row r="2831" spans="1:5" x14ac:dyDescent="0.35">
      <c r="A2831">
        <v>374</v>
      </c>
      <c r="B2831">
        <v>5</v>
      </c>
      <c r="C2831">
        <f>'0374 table 5'!E1250</f>
        <v>517107</v>
      </c>
      <c r="D2831">
        <f>'0374 table 5'!F1250</f>
        <v>333.15</v>
      </c>
      <c r="E2831">
        <f>'0374 table 5'!G1250</f>
        <v>3.2939447374364366</v>
      </c>
    </row>
    <row r="2832" spans="1:5" x14ac:dyDescent="0.35">
      <c r="A2832">
        <v>374</v>
      </c>
      <c r="B2832">
        <v>5</v>
      </c>
      <c r="C2832">
        <f>'0374 table 5'!E1251</f>
        <v>517107</v>
      </c>
      <c r="D2832">
        <f>'0374 table 5'!F1251</f>
        <v>338.70555555555552</v>
      </c>
      <c r="E2832">
        <f>'0374 table 5'!G1251</f>
        <v>3.2321334257775209</v>
      </c>
    </row>
    <row r="2833" spans="1:5" x14ac:dyDescent="0.35">
      <c r="A2833">
        <v>374</v>
      </c>
      <c r="B2833">
        <v>5</v>
      </c>
      <c r="C2833">
        <f>'0374 table 5'!E1252</f>
        <v>517107</v>
      </c>
      <c r="D2833">
        <f>'0374 table 5'!F1252</f>
        <v>344.26111111111106</v>
      </c>
      <c r="E2833">
        <f>'0374 table 5'!G1252</f>
        <v>3.1732276660367265</v>
      </c>
    </row>
    <row r="2834" spans="1:5" x14ac:dyDescent="0.35">
      <c r="A2834">
        <v>374</v>
      </c>
      <c r="B2834">
        <v>5</v>
      </c>
      <c r="C2834">
        <f>'0374 table 5'!E1253</f>
        <v>517107</v>
      </c>
      <c r="D2834">
        <f>'0374 table 5'!F1253</f>
        <v>349.81666666666666</v>
      </c>
      <c r="E2834">
        <f>'0374 table 5'!G1253</f>
        <v>3.1170370224077435</v>
      </c>
    </row>
    <row r="2835" spans="1:5" x14ac:dyDescent="0.35">
      <c r="A2835">
        <v>374</v>
      </c>
      <c r="B2835">
        <v>5</v>
      </c>
      <c r="C2835">
        <f>'0374 table 5'!E1254</f>
        <v>517107</v>
      </c>
      <c r="D2835">
        <f>'0374 table 5'!F1254</f>
        <v>355.37222222222221</v>
      </c>
      <c r="E2835">
        <f>'0374 table 5'!G1254</f>
        <v>3.0628017702014136</v>
      </c>
    </row>
    <row r="2836" spans="1:5" x14ac:dyDescent="0.35">
      <c r="A2836">
        <v>374</v>
      </c>
      <c r="B2836">
        <v>5</v>
      </c>
      <c r="C2836">
        <f>'0374 table 5'!E1255</f>
        <v>517107</v>
      </c>
      <c r="D2836">
        <f>'0374 table 5'!F1255</f>
        <v>360.92777777777775</v>
      </c>
      <c r="E2836">
        <f>'0374 table 5'!G1255</f>
        <v>3.0109874545401114</v>
      </c>
    </row>
    <row r="2837" spans="1:5" x14ac:dyDescent="0.35">
      <c r="A2837">
        <v>374</v>
      </c>
      <c r="B2837">
        <v>5</v>
      </c>
      <c r="C2837">
        <f>'0374 table 5'!E1256</f>
        <v>517107</v>
      </c>
      <c r="D2837">
        <f>'0374 table 5'!F1256</f>
        <v>366.48333333333329</v>
      </c>
      <c r="E2837">
        <f>'0374 table 5'!G1256</f>
        <v>2.9608970902316809</v>
      </c>
    </row>
    <row r="2838" spans="1:5" x14ac:dyDescent="0.35">
      <c r="A2838">
        <v>374</v>
      </c>
      <c r="B2838">
        <v>5</v>
      </c>
      <c r="C2838">
        <f>'0374 table 5'!E1257</f>
        <v>517107</v>
      </c>
      <c r="D2838">
        <f>'0374 table 5'!F1257</f>
        <v>372.03888888888889</v>
      </c>
      <c r="E2838">
        <f>'0374 table 5'!G1257</f>
        <v>2.9124460469369806</v>
      </c>
    </row>
    <row r="2839" spans="1:5" x14ac:dyDescent="0.35">
      <c r="A2839">
        <v>374</v>
      </c>
      <c r="B2839">
        <v>5</v>
      </c>
      <c r="C2839">
        <f>'0374 table 5'!E1258</f>
        <v>517107</v>
      </c>
      <c r="D2839">
        <f>'0374 table 5'!F1258</f>
        <v>377.59444444444443</v>
      </c>
      <c r="E2839">
        <f>'0374 table 5'!G1258</f>
        <v>2.8660678579626753</v>
      </c>
    </row>
    <row r="2840" spans="1:5" x14ac:dyDescent="0.35">
      <c r="A2840">
        <v>374</v>
      </c>
      <c r="B2840">
        <v>5</v>
      </c>
      <c r="C2840">
        <f>'0374 table 5'!E1259</f>
        <v>517107</v>
      </c>
      <c r="D2840">
        <f>'0374 table 5'!F1259</f>
        <v>383.15</v>
      </c>
      <c r="E2840">
        <f>'0374 table 5'!G1259</f>
        <v>2.8211435819220489</v>
      </c>
    </row>
    <row r="2841" spans="1:5" x14ac:dyDescent="0.35">
      <c r="A2841">
        <v>374</v>
      </c>
      <c r="B2841">
        <v>5</v>
      </c>
      <c r="C2841">
        <f>'0374 table 5'!E1260</f>
        <v>517107</v>
      </c>
      <c r="D2841">
        <f>'0374 table 5'!F1260</f>
        <v>388.70555555555552</v>
      </c>
      <c r="E2841">
        <f>'0374 table 5'!G1260</f>
        <v>2.7776059056967908</v>
      </c>
    </row>
    <row r="2842" spans="1:5" x14ac:dyDescent="0.35">
      <c r="A2842">
        <v>374</v>
      </c>
      <c r="B2842">
        <v>5</v>
      </c>
      <c r="C2842">
        <f>'0374 table 5'!E1261</f>
        <v>517107</v>
      </c>
      <c r="D2842">
        <f>'0374 table 5'!F1261</f>
        <v>394.26111111111106</v>
      </c>
      <c r="E2842">
        <f>'0374 table 5'!G1261</f>
        <v>2.7358587972934916</v>
      </c>
    </row>
    <row r="2843" spans="1:5" x14ac:dyDescent="0.35">
      <c r="A2843">
        <v>374</v>
      </c>
      <c r="B2843">
        <v>5</v>
      </c>
      <c r="C2843">
        <f>'0374 table 5'!E1262</f>
        <v>517107</v>
      </c>
      <c r="D2843">
        <f>'0374 table 5'!F1262</f>
        <v>399.81666666666666</v>
      </c>
      <c r="E2843">
        <f>'0374 table 5'!G1262</f>
        <v>2.6953480158427388</v>
      </c>
    </row>
    <row r="2844" spans="1:5" x14ac:dyDescent="0.35">
      <c r="A2844">
        <v>374</v>
      </c>
      <c r="B2844">
        <v>5</v>
      </c>
      <c r="C2844">
        <f>'0374 table 5'!E1263</f>
        <v>517107</v>
      </c>
      <c r="D2844">
        <f>'0374 table 5'!F1263</f>
        <v>410.92777777777775</v>
      </c>
      <c r="E2844">
        <f>'0374 table 5'!G1263</f>
        <v>2.6178220719322431</v>
      </c>
    </row>
    <row r="2845" spans="1:5" x14ac:dyDescent="0.35">
      <c r="A2845">
        <v>374</v>
      </c>
      <c r="B2845">
        <v>5</v>
      </c>
      <c r="C2845">
        <f>'0374 table 5'!E1264</f>
        <v>517107</v>
      </c>
      <c r="D2845">
        <f>'0374 table 5'!F1264</f>
        <v>422.03888888888889</v>
      </c>
      <c r="E2845">
        <f>'0374 table 5'!G1264</f>
        <v>2.5450354715845873</v>
      </c>
    </row>
    <row r="2846" spans="1:5" x14ac:dyDescent="0.35">
      <c r="A2846">
        <v>374</v>
      </c>
      <c r="B2846">
        <v>5</v>
      </c>
      <c r="C2846">
        <f>'0374 table 5'!E1265</f>
        <v>551580.80000000005</v>
      </c>
      <c r="D2846">
        <f>'0374 table 5'!F1265</f>
        <v>283.14999999999998</v>
      </c>
      <c r="E2846">
        <f>'0374 table 5'!G1265</f>
        <v>4.3153160717008063</v>
      </c>
    </row>
    <row r="2847" spans="1:5" x14ac:dyDescent="0.35">
      <c r="A2847">
        <v>374</v>
      </c>
      <c r="B2847">
        <v>5</v>
      </c>
      <c r="C2847">
        <f>'0374 table 5'!E1266</f>
        <v>551580.80000000005</v>
      </c>
      <c r="D2847">
        <f>'0374 table 5'!F1266</f>
        <v>288.70555555555552</v>
      </c>
      <c r="E2847">
        <f>'0374 table 5'!G1266</f>
        <v>4.2021126070706698</v>
      </c>
    </row>
    <row r="2848" spans="1:5" x14ac:dyDescent="0.35">
      <c r="A2848">
        <v>374</v>
      </c>
      <c r="B2848">
        <v>5</v>
      </c>
      <c r="C2848">
        <f>'0374 table 5'!E1267</f>
        <v>551580.80000000005</v>
      </c>
      <c r="D2848">
        <f>'0374 table 5'!F1267</f>
        <v>294.26111111111106</v>
      </c>
      <c r="E2848">
        <f>'0374 table 5'!G1267</f>
        <v>4.097839155321922</v>
      </c>
    </row>
    <row r="2849" spans="1:5" x14ac:dyDescent="0.35">
      <c r="A2849">
        <v>374</v>
      </c>
      <c r="B2849">
        <v>5</v>
      </c>
      <c r="C2849">
        <f>'0374 table 5'!E1268</f>
        <v>551580.80000000005</v>
      </c>
      <c r="D2849">
        <f>'0374 table 5'!F1268</f>
        <v>299.81666666666666</v>
      </c>
      <c r="E2849">
        <f>'0374 table 5'!G1268</f>
        <v>3.9996137972917336</v>
      </c>
    </row>
    <row r="2850" spans="1:5" x14ac:dyDescent="0.35">
      <c r="A2850">
        <v>374</v>
      </c>
      <c r="B2850">
        <v>5</v>
      </c>
      <c r="C2850">
        <f>'0374 table 5'!E1269</f>
        <v>551580.80000000005</v>
      </c>
      <c r="D2850">
        <f>'0374 table 5'!F1269</f>
        <v>305.37222222222221</v>
      </c>
      <c r="E2850">
        <f>'0374 table 5'!G1269</f>
        <v>3.908846573487895</v>
      </c>
    </row>
    <row r="2851" spans="1:5" x14ac:dyDescent="0.35">
      <c r="A2851">
        <v>374</v>
      </c>
      <c r="B2851">
        <v>5</v>
      </c>
      <c r="C2851">
        <f>'0374 table 5'!E1270</f>
        <v>551580.80000000005</v>
      </c>
      <c r="D2851">
        <f>'0374 table 5'!F1270</f>
        <v>310.92777777777775</v>
      </c>
      <c r="E2851">
        <f>'0374 table 5'!G1270</f>
        <v>3.8230198706810006</v>
      </c>
    </row>
    <row r="2852" spans="1:5" x14ac:dyDescent="0.35">
      <c r="A2852">
        <v>374</v>
      </c>
      <c r="B2852">
        <v>5</v>
      </c>
      <c r="C2852">
        <f>'0374 table 5'!E1271</f>
        <v>551580.80000000005</v>
      </c>
      <c r="D2852">
        <f>'0374 table 5'!F1271</f>
        <v>316.48333333333329</v>
      </c>
      <c r="E2852">
        <f>'0374 table 5'!G1271</f>
        <v>3.7417550240956308</v>
      </c>
    </row>
    <row r="2853" spans="1:5" x14ac:dyDescent="0.35">
      <c r="A2853">
        <v>374</v>
      </c>
      <c r="B2853">
        <v>5</v>
      </c>
      <c r="C2853">
        <f>'0374 table 5'!E1272</f>
        <v>551580.80000000005</v>
      </c>
      <c r="D2853">
        <f>'0374 table 5'!F1272</f>
        <v>322.03888888888889</v>
      </c>
      <c r="E2853">
        <f>'0374 table 5'!G1272</f>
        <v>3.6647113379440381</v>
      </c>
    </row>
    <row r="2854" spans="1:5" x14ac:dyDescent="0.35">
      <c r="A2854">
        <v>374</v>
      </c>
      <c r="B2854">
        <v>5</v>
      </c>
      <c r="C2854">
        <f>'0374 table 5'!E1273</f>
        <v>551580.80000000005</v>
      </c>
      <c r="D2854">
        <f>'0374 table 5'!F1273</f>
        <v>327.59444444444443</v>
      </c>
      <c r="E2854">
        <f>'0374 table 5'!G1273</f>
        <v>3.5915814480164561</v>
      </c>
    </row>
    <row r="2855" spans="1:5" x14ac:dyDescent="0.35">
      <c r="A2855">
        <v>374</v>
      </c>
      <c r="B2855">
        <v>5</v>
      </c>
      <c r="C2855">
        <f>'0374 table 5'!E1274</f>
        <v>551580.80000000005</v>
      </c>
      <c r="D2855">
        <f>'0374 table 5'!F1274</f>
        <v>333.15</v>
      </c>
      <c r="E2855">
        <f>'0374 table 5'!G1274</f>
        <v>3.5220873478789341</v>
      </c>
    </row>
    <row r="2856" spans="1:5" x14ac:dyDescent="0.35">
      <c r="A2856">
        <v>374</v>
      </c>
      <c r="B2856">
        <v>5</v>
      </c>
      <c r="C2856">
        <f>'0374 table 5'!E1275</f>
        <v>551580.80000000005</v>
      </c>
      <c r="D2856">
        <f>'0374 table 5'!F1275</f>
        <v>338.70555555555552</v>
      </c>
      <c r="E2856">
        <f>'0374 table 5'!G1275</f>
        <v>3.455976970475382</v>
      </c>
    </row>
    <row r="2857" spans="1:5" x14ac:dyDescent="0.35">
      <c r="A2857">
        <v>374</v>
      </c>
      <c r="B2857">
        <v>5</v>
      </c>
      <c r="C2857">
        <f>'0374 table 5'!E1276</f>
        <v>551580.80000000005</v>
      </c>
      <c r="D2857">
        <f>'0374 table 5'!F1276</f>
        <v>344.26111111111106</v>
      </c>
      <c r="E2857">
        <f>'0374 table 5'!G1276</f>
        <v>3.3923026806762797</v>
      </c>
    </row>
    <row r="2858" spans="1:5" x14ac:dyDescent="0.35">
      <c r="A2858">
        <v>374</v>
      </c>
      <c r="B2858">
        <v>5</v>
      </c>
      <c r="C2858">
        <f>'0374 table 5'!E1277</f>
        <v>551580.80000000005</v>
      </c>
      <c r="D2858">
        <f>'0374 table 5'!F1277</f>
        <v>349.81666666666666</v>
      </c>
      <c r="E2858">
        <f>'0374 table 5'!G1277</f>
        <v>3.3316250536924699</v>
      </c>
    </row>
    <row r="2859" spans="1:5" x14ac:dyDescent="0.35">
      <c r="A2859">
        <v>374</v>
      </c>
      <c r="B2859">
        <v>5</v>
      </c>
      <c r="C2859">
        <f>'0374 table 5'!E1278</f>
        <v>551580.80000000005</v>
      </c>
      <c r="D2859">
        <f>'0374 table 5'!F1278</f>
        <v>355.37222222222221</v>
      </c>
      <c r="E2859">
        <f>'0374 table 5'!G1278</f>
        <v>3.2737488776115664</v>
      </c>
    </row>
    <row r="2860" spans="1:5" x14ac:dyDescent="0.35">
      <c r="A2860">
        <v>374</v>
      </c>
      <c r="B2860">
        <v>5</v>
      </c>
      <c r="C2860">
        <f>'0374 table 5'!E1279</f>
        <v>551580.80000000005</v>
      </c>
      <c r="D2860">
        <f>'0374 table 5'!F1279</f>
        <v>360.92777777777775</v>
      </c>
      <c r="E2860">
        <f>'0374 table 5'!G1279</f>
        <v>3.2178491880581346</v>
      </c>
    </row>
    <row r="2861" spans="1:5" x14ac:dyDescent="0.35">
      <c r="A2861">
        <v>374</v>
      </c>
      <c r="B2861">
        <v>5</v>
      </c>
      <c r="C2861">
        <f>'0374 table 5'!E1280</f>
        <v>551580.80000000005</v>
      </c>
      <c r="D2861">
        <f>'0374 table 5'!F1280</f>
        <v>366.48333333333329</v>
      </c>
      <c r="E2861">
        <f>'0374 table 5'!G1280</f>
        <v>3.1638264385055095</v>
      </c>
    </row>
    <row r="2862" spans="1:5" x14ac:dyDescent="0.35">
      <c r="A2862">
        <v>374</v>
      </c>
      <c r="B2862">
        <v>5</v>
      </c>
      <c r="C2862">
        <f>'0374 table 5'!E1281</f>
        <v>551580.80000000005</v>
      </c>
      <c r="D2862">
        <f>'0374 table 5'!F1281</f>
        <v>372.03888888888889</v>
      </c>
      <c r="E2862">
        <f>'0374 table 5'!G1281</f>
        <v>3.112192200923527</v>
      </c>
    </row>
    <row r="2863" spans="1:5" x14ac:dyDescent="0.35">
      <c r="A2863">
        <v>374</v>
      </c>
      <c r="B2863">
        <v>5</v>
      </c>
      <c r="C2863">
        <f>'0374 table 5'!E1282</f>
        <v>551580.80000000005</v>
      </c>
      <c r="D2863">
        <f>'0374 table 5'!F1282</f>
        <v>377.59444444444443</v>
      </c>
      <c r="E2863">
        <f>'0374 table 5'!G1282</f>
        <v>3.0622162604001897</v>
      </c>
    </row>
    <row r="2864" spans="1:5" x14ac:dyDescent="0.35">
      <c r="A2864">
        <v>374</v>
      </c>
      <c r="B2864">
        <v>5</v>
      </c>
      <c r="C2864">
        <f>'0374 table 5'!E1283</f>
        <v>551580.80000000005</v>
      </c>
      <c r="D2864">
        <f>'0374 table 5'!F1283</f>
        <v>383.15</v>
      </c>
      <c r="E2864">
        <f>'0374 table 5'!G1283</f>
        <v>3.0138199921266966</v>
      </c>
    </row>
    <row r="2865" spans="1:5" x14ac:dyDescent="0.35">
      <c r="A2865">
        <v>374</v>
      </c>
      <c r="B2865">
        <v>5</v>
      </c>
      <c r="C2865">
        <f>'0374 table 5'!E1284</f>
        <v>551580.80000000005</v>
      </c>
      <c r="D2865">
        <f>'0374 table 5'!F1284</f>
        <v>388.70555555555552</v>
      </c>
      <c r="E2865">
        <f>'0374 table 5'!G1284</f>
        <v>2.9674792993985539</v>
      </c>
    </row>
    <row r="2866" spans="1:5" x14ac:dyDescent="0.35">
      <c r="A2866">
        <v>374</v>
      </c>
      <c r="B2866">
        <v>5</v>
      </c>
      <c r="C2866">
        <f>'0374 table 5'!E1285</f>
        <v>551580.80000000005</v>
      </c>
      <c r="D2866">
        <f>'0374 table 5'!F1285</f>
        <v>394.26111111111106</v>
      </c>
      <c r="E2866">
        <f>'0374 table 5'!G1285</f>
        <v>2.9220089854347671</v>
      </c>
    </row>
    <row r="2867" spans="1:5" x14ac:dyDescent="0.35">
      <c r="A2867">
        <v>374</v>
      </c>
      <c r="B2867">
        <v>5</v>
      </c>
      <c r="C2867">
        <f>'0374 table 5'!E1286</f>
        <v>551580.80000000005</v>
      </c>
      <c r="D2867">
        <f>'0374 table 5'!F1286</f>
        <v>399.81666666666666</v>
      </c>
      <c r="E2867">
        <f>'0374 table 5'!G1286</f>
        <v>2.8784282584282828</v>
      </c>
    </row>
    <row r="2868" spans="1:5" x14ac:dyDescent="0.35">
      <c r="A2868">
        <v>374</v>
      </c>
      <c r="B2868">
        <v>5</v>
      </c>
      <c r="C2868">
        <f>'0374 table 5'!E1287</f>
        <v>551580.80000000005</v>
      </c>
      <c r="D2868">
        <f>'0374 table 5'!F1287</f>
        <v>410.92777777777775</v>
      </c>
      <c r="E2868">
        <f>'0374 table 5'!G1287</f>
        <v>2.7955415808295623</v>
      </c>
    </row>
    <row r="2869" spans="1:5" x14ac:dyDescent="0.35">
      <c r="A2869">
        <v>374</v>
      </c>
      <c r="B2869">
        <v>5</v>
      </c>
      <c r="C2869">
        <f>'0374 table 5'!E1288</f>
        <v>551580.80000000005</v>
      </c>
      <c r="D2869">
        <f>'0374 table 5'!F1288</f>
        <v>422.03888888888889</v>
      </c>
      <c r="E2869">
        <f>'0374 table 5'!G1288</f>
        <v>2.7177558972096016</v>
      </c>
    </row>
    <row r="2870" spans="1:5" x14ac:dyDescent="0.35">
      <c r="A2870">
        <v>374</v>
      </c>
      <c r="B2870">
        <v>5</v>
      </c>
      <c r="C2870">
        <f>'0374 table 5'!E1289</f>
        <v>586054.6</v>
      </c>
      <c r="D2870">
        <f>'0374 table 5'!F1289</f>
        <v>283.14999999999998</v>
      </c>
      <c r="E2870">
        <f>'0374 table 5'!G1289</f>
        <v>4.6122813873174184</v>
      </c>
    </row>
    <row r="2871" spans="1:5" x14ac:dyDescent="0.35">
      <c r="A2871">
        <v>374</v>
      </c>
      <c r="B2871">
        <v>5</v>
      </c>
      <c r="C2871">
        <f>'0374 table 5'!E1290</f>
        <v>586054.6</v>
      </c>
      <c r="D2871">
        <f>'0374 table 5'!F1290</f>
        <v>288.70555555555552</v>
      </c>
      <c r="E2871">
        <f>'0374 table 5'!G1290</f>
        <v>4.4882189011357223</v>
      </c>
    </row>
    <row r="2872" spans="1:5" x14ac:dyDescent="0.35">
      <c r="A2872">
        <v>374</v>
      </c>
      <c r="B2872">
        <v>5</v>
      </c>
      <c r="C2872">
        <f>'0374 table 5'!E1291</f>
        <v>586054.6</v>
      </c>
      <c r="D2872">
        <f>'0374 table 5'!F1291</f>
        <v>294.26111111111106</v>
      </c>
      <c r="E2872">
        <f>'0374 table 5'!G1291</f>
        <v>4.3742362802166559</v>
      </c>
    </row>
    <row r="2873" spans="1:5" x14ac:dyDescent="0.35">
      <c r="A2873">
        <v>374</v>
      </c>
      <c r="B2873">
        <v>5</v>
      </c>
      <c r="C2873">
        <f>'0374 table 5'!E1292</f>
        <v>586054.6</v>
      </c>
      <c r="D2873">
        <f>'0374 table 5'!F1292</f>
        <v>299.81666666666666</v>
      </c>
      <c r="E2873">
        <f>'0374 table 5'!G1292</f>
        <v>4.2681729971098834</v>
      </c>
    </row>
    <row r="2874" spans="1:5" x14ac:dyDescent="0.35">
      <c r="A2874">
        <v>374</v>
      </c>
      <c r="B2874">
        <v>5</v>
      </c>
      <c r="C2874">
        <f>'0374 table 5'!E1293</f>
        <v>586054.6</v>
      </c>
      <c r="D2874">
        <f>'0374 table 5'!F1293</f>
        <v>305.37222222222221</v>
      </c>
      <c r="E2874">
        <f>'0374 table 5'!G1293</f>
        <v>4.1693006918670985</v>
      </c>
    </row>
    <row r="2875" spans="1:5" x14ac:dyDescent="0.35">
      <c r="A2875">
        <v>374</v>
      </c>
      <c r="B2875">
        <v>5</v>
      </c>
      <c r="C2875">
        <f>'0374 table 5'!E1294</f>
        <v>586054.6</v>
      </c>
      <c r="D2875">
        <f>'0374 table 5'!F1294</f>
        <v>310.92777777777775</v>
      </c>
      <c r="E2875">
        <f>'0374 table 5'!G1294</f>
        <v>4.075942304873637</v>
      </c>
    </row>
    <row r="2876" spans="1:5" x14ac:dyDescent="0.35">
      <c r="A2876">
        <v>374</v>
      </c>
      <c r="B2876">
        <v>5</v>
      </c>
      <c r="C2876">
        <f>'0374 table 5'!E1295</f>
        <v>586054.6</v>
      </c>
      <c r="D2876">
        <f>'0374 table 5'!F1295</f>
        <v>316.48333333333329</v>
      </c>
      <c r="E2876">
        <f>'0374 table 5'!G1295</f>
        <v>3.9886586798190722</v>
      </c>
    </row>
    <row r="2877" spans="1:5" x14ac:dyDescent="0.35">
      <c r="A2877">
        <v>374</v>
      </c>
      <c r="B2877">
        <v>5</v>
      </c>
      <c r="C2877">
        <f>'0374 table 5'!E1296</f>
        <v>586054.6</v>
      </c>
      <c r="D2877">
        <f>'0374 table 5'!F1296</f>
        <v>322.03888888888889</v>
      </c>
      <c r="E2877">
        <f>'0374 table 5'!G1296</f>
        <v>3.9059871392717369</v>
      </c>
    </row>
    <row r="2878" spans="1:5" x14ac:dyDescent="0.35">
      <c r="A2878">
        <v>374</v>
      </c>
      <c r="B2878">
        <v>5</v>
      </c>
      <c r="C2878">
        <f>'0374 table 5'!E1297</f>
        <v>586054.6</v>
      </c>
      <c r="D2878">
        <f>'0374 table 5'!F1297</f>
        <v>327.59444444444443</v>
      </c>
      <c r="E2878">
        <f>'0374 table 5'!G1297</f>
        <v>3.8266730191479681</v>
      </c>
    </row>
    <row r="2879" spans="1:5" x14ac:dyDescent="0.35">
      <c r="A2879">
        <v>374</v>
      </c>
      <c r="B2879">
        <v>5</v>
      </c>
      <c r="C2879">
        <f>'0374 table 5'!E1298</f>
        <v>586054.6</v>
      </c>
      <c r="D2879">
        <f>'0374 table 5'!F1298</f>
        <v>333.15</v>
      </c>
      <c r="E2879">
        <f>'0374 table 5'!G1298</f>
        <v>3.7522729581057375</v>
      </c>
    </row>
    <row r="2880" spans="1:5" x14ac:dyDescent="0.35">
      <c r="A2880">
        <v>374</v>
      </c>
      <c r="B2880">
        <v>5</v>
      </c>
      <c r="C2880">
        <f>'0374 table 5'!E1299</f>
        <v>586054.6</v>
      </c>
      <c r="D2880">
        <f>'0374 table 5'!F1299</f>
        <v>338.70555555555552</v>
      </c>
      <c r="E2880">
        <f>'0374 table 5'!G1299</f>
        <v>3.6807107670389225</v>
      </c>
    </row>
    <row r="2881" spans="1:5" x14ac:dyDescent="0.35">
      <c r="A2881">
        <v>374</v>
      </c>
      <c r="B2881">
        <v>5</v>
      </c>
      <c r="C2881">
        <f>'0374 table 5'!E1300</f>
        <v>586054.6</v>
      </c>
      <c r="D2881">
        <f>'0374 table 5'!F1300</f>
        <v>344.26111111111106</v>
      </c>
      <c r="E2881">
        <f>'0374 table 5'!G1300</f>
        <v>3.6126416910585006</v>
      </c>
    </row>
    <row r="2882" spans="1:5" x14ac:dyDescent="0.35">
      <c r="A2882">
        <v>374</v>
      </c>
      <c r="B2882">
        <v>5</v>
      </c>
      <c r="C2882">
        <f>'0374 table 5'!E1301</f>
        <v>586054.6</v>
      </c>
      <c r="D2882">
        <f>'0374 table 5'!F1301</f>
        <v>349.81666666666666</v>
      </c>
      <c r="E2882">
        <f>'0374 table 5'!G1301</f>
        <v>3.5478301789930002</v>
      </c>
    </row>
    <row r="2883" spans="1:5" x14ac:dyDescent="0.35">
      <c r="A2883">
        <v>374</v>
      </c>
      <c r="B2883">
        <v>5</v>
      </c>
      <c r="C2883">
        <f>'0374 table 5'!E1302</f>
        <v>586054.6</v>
      </c>
      <c r="D2883">
        <f>'0374 table 5'!F1302</f>
        <v>355.37222222222221</v>
      </c>
      <c r="E2883">
        <f>'0374 table 5'!G1302</f>
        <v>3.4853031458123138</v>
      </c>
    </row>
    <row r="2884" spans="1:5" x14ac:dyDescent="0.35">
      <c r="A2884">
        <v>374</v>
      </c>
      <c r="B2884">
        <v>5</v>
      </c>
      <c r="C2884">
        <f>'0374 table 5'!E1303</f>
        <v>586054.6</v>
      </c>
      <c r="D2884">
        <f>'0374 table 5'!F1303</f>
        <v>360.92777777777775</v>
      </c>
      <c r="E2884">
        <f>'0374 table 5'!G1303</f>
        <v>3.4249418982581559</v>
      </c>
    </row>
    <row r="2885" spans="1:5" x14ac:dyDescent="0.35">
      <c r="A2885">
        <v>374</v>
      </c>
      <c r="B2885">
        <v>5</v>
      </c>
      <c r="C2885">
        <f>'0374 table 5'!E1304</f>
        <v>586054.6</v>
      </c>
      <c r="D2885">
        <f>'0374 table 5'!F1304</f>
        <v>366.48333333333329</v>
      </c>
      <c r="E2885">
        <f>'0374 table 5'!G1304</f>
        <v>3.3673435480667218</v>
      </c>
    </row>
    <row r="2886" spans="1:5" x14ac:dyDescent="0.35">
      <c r="A2886">
        <v>374</v>
      </c>
      <c r="B2886">
        <v>5</v>
      </c>
      <c r="C2886">
        <f>'0374 table 5'!E1305</f>
        <v>586054.6</v>
      </c>
      <c r="D2886">
        <f>'0374 table 5'!F1305</f>
        <v>372.03888888888889</v>
      </c>
      <c r="E2886">
        <f>'0374 table 5'!G1305</f>
        <v>3.3123352477571117</v>
      </c>
    </row>
    <row r="2887" spans="1:5" x14ac:dyDescent="0.35">
      <c r="A2887">
        <v>374</v>
      </c>
      <c r="B2887">
        <v>5</v>
      </c>
      <c r="C2887">
        <f>'0374 table 5'!E1306</f>
        <v>586054.6</v>
      </c>
      <c r="D2887">
        <f>'0374 table 5'!F1306</f>
        <v>377.59444444444443</v>
      </c>
      <c r="E2887">
        <f>'0374 table 5'!G1306</f>
        <v>3.258432314514522</v>
      </c>
    </row>
    <row r="2888" spans="1:5" x14ac:dyDescent="0.35">
      <c r="A2888">
        <v>374</v>
      </c>
      <c r="B2888">
        <v>5</v>
      </c>
      <c r="C2888">
        <f>'0374 table 5'!E1307</f>
        <v>586054.6</v>
      </c>
      <c r="D2888">
        <f>'0374 table 5'!F1307</f>
        <v>383.15</v>
      </c>
      <c r="E2888">
        <f>'0374 table 5'!G1307</f>
        <v>3.2068975491798581</v>
      </c>
    </row>
    <row r="2889" spans="1:5" x14ac:dyDescent="0.35">
      <c r="A2889">
        <v>374</v>
      </c>
      <c r="B2889">
        <v>5</v>
      </c>
      <c r="C2889">
        <f>'0374 table 5'!E1308</f>
        <v>586054.6</v>
      </c>
      <c r="D2889">
        <f>'0374 table 5'!F1308</f>
        <v>388.70555555555552</v>
      </c>
      <c r="E2889">
        <f>'0374 table 5'!G1308</f>
        <v>3.1569675321547876</v>
      </c>
    </row>
    <row r="2890" spans="1:5" x14ac:dyDescent="0.35">
      <c r="A2890">
        <v>374</v>
      </c>
      <c r="B2890">
        <v>5</v>
      </c>
      <c r="C2890">
        <f>'0374 table 5'!E1309</f>
        <v>586054.6</v>
      </c>
      <c r="D2890">
        <f>'0374 table 5'!F1309</f>
        <v>394.26111111111106</v>
      </c>
      <c r="E2890">
        <f>'0374 table 5'!G1309</f>
        <v>3.1091718280577241</v>
      </c>
    </row>
    <row r="2891" spans="1:5" x14ac:dyDescent="0.35">
      <c r="A2891">
        <v>374</v>
      </c>
      <c r="B2891">
        <v>5</v>
      </c>
      <c r="C2891">
        <f>'0374 table 5'!E1310</f>
        <v>586054.6</v>
      </c>
      <c r="D2891">
        <f>'0374 table 5'!F1310</f>
        <v>399.81666666666666</v>
      </c>
      <c r="E2891">
        <f>'0374 table 5'!G1310</f>
        <v>3.0628017702014136</v>
      </c>
    </row>
    <row r="2892" spans="1:5" x14ac:dyDescent="0.35">
      <c r="A2892">
        <v>374</v>
      </c>
      <c r="B2892">
        <v>5</v>
      </c>
      <c r="C2892">
        <f>'0374 table 5'!E1311</f>
        <v>586054.6</v>
      </c>
      <c r="D2892">
        <f>'0374 table 5'!F1311</f>
        <v>410.92777777777775</v>
      </c>
      <c r="E2892">
        <f>'0374 table 5'!G1311</f>
        <v>2.9740908388699205</v>
      </c>
    </row>
    <row r="2893" spans="1:5" x14ac:dyDescent="0.35">
      <c r="A2893">
        <v>374</v>
      </c>
      <c r="B2893">
        <v>5</v>
      </c>
      <c r="C2893">
        <f>'0374 table 5'!E1312</f>
        <v>586054.6</v>
      </c>
      <c r="D2893">
        <f>'0374 table 5'!F1312</f>
        <v>422.03888888888889</v>
      </c>
      <c r="E2893">
        <f>'0374 table 5'!G1312</f>
        <v>2.8908957332888274</v>
      </c>
    </row>
    <row r="2894" spans="1:5" x14ac:dyDescent="0.35">
      <c r="A2894">
        <v>374</v>
      </c>
      <c r="B2894">
        <v>5</v>
      </c>
      <c r="C2894">
        <f>'0374 table 5'!E1313</f>
        <v>620528.4</v>
      </c>
      <c r="D2894">
        <f>'0374 table 5'!F1313</f>
        <v>288.70555555555552</v>
      </c>
      <c r="E2894">
        <f>'0374 table 5'!G1313</f>
        <v>4.7773496147191752</v>
      </c>
    </row>
    <row r="2895" spans="1:5" x14ac:dyDescent="0.35">
      <c r="A2895">
        <v>374</v>
      </c>
      <c r="B2895">
        <v>5</v>
      </c>
      <c r="C2895">
        <f>'0374 table 5'!E1314</f>
        <v>620528.4</v>
      </c>
      <c r="D2895">
        <f>'0374 table 5'!F1314</f>
        <v>294.26111111111106</v>
      </c>
      <c r="E2895">
        <f>'0374 table 5'!G1314</f>
        <v>4.6538213998121423</v>
      </c>
    </row>
    <row r="2896" spans="1:5" x14ac:dyDescent="0.35">
      <c r="A2896">
        <v>374</v>
      </c>
      <c r="B2896">
        <v>5</v>
      </c>
      <c r="C2896">
        <f>'0374 table 5'!E1315</f>
        <v>620528.4</v>
      </c>
      <c r="D2896">
        <f>'0374 table 5'!F1315</f>
        <v>299.81666666666666</v>
      </c>
      <c r="E2896">
        <f>'0374 table 5'!G1315</f>
        <v>4.5390913171304605</v>
      </c>
    </row>
    <row r="2897" spans="1:5" x14ac:dyDescent="0.35">
      <c r="A2897">
        <v>374</v>
      </c>
      <c r="B2897">
        <v>5</v>
      </c>
      <c r="C2897">
        <f>'0374 table 5'!E1316</f>
        <v>620528.4</v>
      </c>
      <c r="D2897">
        <f>'0374 table 5'!F1316</f>
        <v>305.37222222222221</v>
      </c>
      <c r="E2897">
        <f>'0374 table 5'!G1316</f>
        <v>4.4323334969987256</v>
      </c>
    </row>
    <row r="2898" spans="1:5" x14ac:dyDescent="0.35">
      <c r="A2898">
        <v>374</v>
      </c>
      <c r="B2898">
        <v>5</v>
      </c>
      <c r="C2898">
        <f>'0374 table 5'!E1317</f>
        <v>620528.4</v>
      </c>
      <c r="D2898">
        <f>'0374 table 5'!F1317</f>
        <v>310.92777777777775</v>
      </c>
      <c r="E2898">
        <f>'0374 table 5'!G1317</f>
        <v>4.331653125514709</v>
      </c>
    </row>
    <row r="2899" spans="1:5" x14ac:dyDescent="0.35">
      <c r="A2899">
        <v>374</v>
      </c>
      <c r="B2899">
        <v>5</v>
      </c>
      <c r="C2899">
        <f>'0374 table 5'!E1318</f>
        <v>620528.4</v>
      </c>
      <c r="D2899">
        <f>'0374 table 5'!F1318</f>
        <v>316.48333333333329</v>
      </c>
      <c r="E2899">
        <f>'0374 table 5'!G1318</f>
        <v>4.237686047130528</v>
      </c>
    </row>
    <row r="2900" spans="1:5" x14ac:dyDescent="0.35">
      <c r="A2900">
        <v>374</v>
      </c>
      <c r="B2900">
        <v>5</v>
      </c>
      <c r="C2900">
        <f>'0374 table 5'!E1319</f>
        <v>620528.4</v>
      </c>
      <c r="D2900">
        <f>'0374 table 5'!F1319</f>
        <v>322.03888888888889</v>
      </c>
      <c r="E2900">
        <f>'0374 table 5'!G1319</f>
        <v>4.1477092848662336</v>
      </c>
    </row>
    <row r="2901" spans="1:5" x14ac:dyDescent="0.35">
      <c r="A2901">
        <v>374</v>
      </c>
      <c r="B2901">
        <v>5</v>
      </c>
      <c r="C2901">
        <f>'0374 table 5'!E1320</f>
        <v>620528.4</v>
      </c>
      <c r="D2901">
        <f>'0374 table 5'!F1320</f>
        <v>327.59444444444443</v>
      </c>
      <c r="E2901">
        <f>'0374 table 5'!G1320</f>
        <v>4.0635345657416018</v>
      </c>
    </row>
    <row r="2902" spans="1:5" x14ac:dyDescent="0.35">
      <c r="A2902">
        <v>374</v>
      </c>
      <c r="B2902">
        <v>5</v>
      </c>
      <c r="C2902">
        <f>'0374 table 5'!E1321</f>
        <v>620528.4</v>
      </c>
      <c r="D2902">
        <f>'0374 table 5'!F1321</f>
        <v>333.15</v>
      </c>
      <c r="E2902">
        <f>'0374 table 5'!G1321</f>
        <v>3.9836988953378247</v>
      </c>
    </row>
    <row r="2903" spans="1:5" x14ac:dyDescent="0.35">
      <c r="A2903">
        <v>374</v>
      </c>
      <c r="B2903">
        <v>5</v>
      </c>
      <c r="C2903">
        <f>'0374 table 5'!E1322</f>
        <v>620528.4</v>
      </c>
      <c r="D2903">
        <f>'0374 table 5'!F1322</f>
        <v>338.70555555555552</v>
      </c>
      <c r="E2903">
        <f>'0374 table 5'!G1322</f>
        <v>3.9069398190618032</v>
      </c>
    </row>
    <row r="2904" spans="1:5" x14ac:dyDescent="0.35">
      <c r="A2904">
        <v>374</v>
      </c>
      <c r="B2904">
        <v>5</v>
      </c>
      <c r="C2904">
        <f>'0374 table 5'!E1323</f>
        <v>620528.4</v>
      </c>
      <c r="D2904">
        <f>'0374 table 5'!F1323</f>
        <v>344.26111111111106</v>
      </c>
      <c r="E2904">
        <f>'0374 table 5'!G1323</f>
        <v>3.8340003011377202</v>
      </c>
    </row>
    <row r="2905" spans="1:5" x14ac:dyDescent="0.35">
      <c r="A2905">
        <v>374</v>
      </c>
      <c r="B2905">
        <v>5</v>
      </c>
      <c r="C2905">
        <f>'0374 table 5'!E1324</f>
        <v>620528.4</v>
      </c>
      <c r="D2905">
        <f>'0374 table 5'!F1324</f>
        <v>349.81666666666666</v>
      </c>
      <c r="E2905">
        <f>'0374 table 5'!G1324</f>
        <v>3.7646188620807037</v>
      </c>
    </row>
    <row r="2906" spans="1:5" x14ac:dyDescent="0.35">
      <c r="A2906">
        <v>374</v>
      </c>
      <c r="B2906">
        <v>5</v>
      </c>
      <c r="C2906">
        <f>'0374 table 5'!E1325</f>
        <v>620528.4</v>
      </c>
      <c r="D2906">
        <f>'0374 table 5'!F1325</f>
        <v>355.37222222222221</v>
      </c>
      <c r="E2906">
        <f>'0374 table 5'!G1325</f>
        <v>3.6977038915404883</v>
      </c>
    </row>
    <row r="2907" spans="1:5" x14ac:dyDescent="0.35">
      <c r="A2907">
        <v>374</v>
      </c>
      <c r="B2907">
        <v>5</v>
      </c>
      <c r="C2907">
        <f>'0374 table 5'!E1326</f>
        <v>620528.4</v>
      </c>
      <c r="D2907">
        <f>'0374 table 5'!F1326</f>
        <v>360.92777777777775</v>
      </c>
      <c r="E2907">
        <f>'0374 table 5'!G1326</f>
        <v>3.6339503761691003</v>
      </c>
    </row>
    <row r="2908" spans="1:5" x14ac:dyDescent="0.35">
      <c r="A2908">
        <v>374</v>
      </c>
      <c r="B2908">
        <v>5</v>
      </c>
      <c r="C2908">
        <f>'0374 table 5'!E1327</f>
        <v>620528.4</v>
      </c>
      <c r="D2908">
        <f>'0374 table 5'!F1327</f>
        <v>366.48333333333329</v>
      </c>
      <c r="E2908">
        <f>'0374 table 5'!G1327</f>
        <v>3.5723579969119963</v>
      </c>
    </row>
    <row r="2909" spans="1:5" x14ac:dyDescent="0.35">
      <c r="A2909">
        <v>374</v>
      </c>
      <c r="B2909">
        <v>5</v>
      </c>
      <c r="C2909">
        <f>'0374 table 5'!E1328</f>
        <v>620528.4</v>
      </c>
      <c r="D2909">
        <f>'0374 table 5'!F1328</f>
        <v>372.03888888888889</v>
      </c>
      <c r="E2909">
        <f>'0374 table 5'!G1328</f>
        <v>3.5128186969634636</v>
      </c>
    </row>
    <row r="2910" spans="1:5" x14ac:dyDescent="0.35">
      <c r="A2910">
        <v>374</v>
      </c>
      <c r="B2910">
        <v>5</v>
      </c>
      <c r="C2910">
        <f>'0374 table 5'!E1329</f>
        <v>620528.4</v>
      </c>
      <c r="D2910">
        <f>'0374 table 5'!F1329</f>
        <v>377.59444444444443</v>
      </c>
      <c r="E2910">
        <f>'0374 table 5'!G1329</f>
        <v>3.455976970475382</v>
      </c>
    </row>
    <row r="2911" spans="1:5" x14ac:dyDescent="0.35">
      <c r="A2911">
        <v>374</v>
      </c>
      <c r="B2911">
        <v>5</v>
      </c>
      <c r="C2911">
        <f>'0374 table 5'!E1330</f>
        <v>620528.4</v>
      </c>
      <c r="D2911">
        <f>'0374 table 5'!F1330</f>
        <v>383.15</v>
      </c>
      <c r="E2911">
        <f>'0374 table 5'!G1330</f>
        <v>3.4009454900537994</v>
      </c>
    </row>
    <row r="2912" spans="1:5" x14ac:dyDescent="0.35">
      <c r="A2912">
        <v>374</v>
      </c>
      <c r="B2912">
        <v>5</v>
      </c>
      <c r="C2912">
        <f>'0374 table 5'!E1331</f>
        <v>620528.4</v>
      </c>
      <c r="D2912">
        <f>'0374 table 5'!F1331</f>
        <v>388.70555555555552</v>
      </c>
      <c r="E2912">
        <f>'0374 table 5'!G1331</f>
        <v>3.3476391344103225</v>
      </c>
    </row>
    <row r="2913" spans="1:5" x14ac:dyDescent="0.35">
      <c r="A2913">
        <v>374</v>
      </c>
      <c r="B2913">
        <v>5</v>
      </c>
      <c r="C2913">
        <f>'0374 table 5'!E1332</f>
        <v>620528.4</v>
      </c>
      <c r="D2913">
        <f>'0374 table 5'!F1332</f>
        <v>394.26111111111106</v>
      </c>
      <c r="E2913">
        <f>'0374 table 5'!G1332</f>
        <v>3.2966563610111939</v>
      </c>
    </row>
    <row r="2914" spans="1:5" x14ac:dyDescent="0.35">
      <c r="A2914">
        <v>374</v>
      </c>
      <c r="B2914">
        <v>5</v>
      </c>
      <c r="C2914">
        <f>'0374 table 5'!E1333</f>
        <v>620528.4</v>
      </c>
      <c r="D2914">
        <f>'0374 table 5'!F1333</f>
        <v>399.81666666666666</v>
      </c>
      <c r="E2914">
        <f>'0374 table 5'!G1333</f>
        <v>3.2472031741644827</v>
      </c>
    </row>
    <row r="2915" spans="1:5" x14ac:dyDescent="0.35">
      <c r="A2915">
        <v>374</v>
      </c>
      <c r="B2915">
        <v>5</v>
      </c>
      <c r="C2915">
        <f>'0374 table 5'!E1334</f>
        <v>620528.4</v>
      </c>
      <c r="D2915">
        <f>'0374 table 5'!F1334</f>
        <v>410.92777777777775</v>
      </c>
      <c r="E2915">
        <f>'0374 table 5'!G1334</f>
        <v>3.1526182362041708</v>
      </c>
    </row>
    <row r="2916" spans="1:5" x14ac:dyDescent="0.35">
      <c r="A2916">
        <v>374</v>
      </c>
      <c r="B2916">
        <v>5</v>
      </c>
      <c r="C2916">
        <f>'0374 table 5'!E1335</f>
        <v>620528.4</v>
      </c>
      <c r="D2916">
        <f>'0374 table 5'!F1335</f>
        <v>422.03888888888889</v>
      </c>
      <c r="E2916">
        <f>'0374 table 5'!G1335</f>
        <v>3.0639734617737937</v>
      </c>
    </row>
    <row r="2917" spans="1:5" x14ac:dyDescent="0.35">
      <c r="A2917">
        <v>374</v>
      </c>
      <c r="B2917">
        <v>5</v>
      </c>
      <c r="C2917">
        <f>'0374 table 5'!E1336</f>
        <v>655002.20000000007</v>
      </c>
      <c r="D2917">
        <f>'0374 table 5'!F1336</f>
        <v>288.70555555555552</v>
      </c>
      <c r="E2917">
        <f>'0374 table 5'!G1336</f>
        <v>5.0691307778966435</v>
      </c>
    </row>
    <row r="2918" spans="1:5" x14ac:dyDescent="0.35">
      <c r="A2918">
        <v>374</v>
      </c>
      <c r="B2918">
        <v>5</v>
      </c>
      <c r="C2918">
        <f>'0374 table 5'!E1337</f>
        <v>655002.20000000007</v>
      </c>
      <c r="D2918">
        <f>'0374 table 5'!F1337</f>
        <v>294.26111111111106</v>
      </c>
      <c r="E2918">
        <f>'0374 table 5'!G1337</f>
        <v>4.9363492320965774</v>
      </c>
    </row>
    <row r="2919" spans="1:5" x14ac:dyDescent="0.35">
      <c r="A2919">
        <v>374</v>
      </c>
      <c r="B2919">
        <v>5</v>
      </c>
      <c r="C2919">
        <f>'0374 table 5'!E1338</f>
        <v>655002.20000000007</v>
      </c>
      <c r="D2919">
        <f>'0374 table 5'!F1338</f>
        <v>299.81666666666666</v>
      </c>
      <c r="E2919">
        <f>'0374 table 5'!G1338</f>
        <v>4.8117913061440047</v>
      </c>
    </row>
    <row r="2920" spans="1:5" x14ac:dyDescent="0.35">
      <c r="A2920">
        <v>374</v>
      </c>
      <c r="B2920">
        <v>5</v>
      </c>
      <c r="C2920">
        <f>'0374 table 5'!E1339</f>
        <v>655002.20000000007</v>
      </c>
      <c r="D2920">
        <f>'0374 table 5'!F1339</f>
        <v>305.37222222222221</v>
      </c>
      <c r="E2920">
        <f>'0374 table 5'!G1339</f>
        <v>4.6961164638385791</v>
      </c>
    </row>
    <row r="2921" spans="1:5" x14ac:dyDescent="0.35">
      <c r="A2921">
        <v>374</v>
      </c>
      <c r="B2921">
        <v>5</v>
      </c>
      <c r="C2921">
        <f>'0374 table 5'!E1340</f>
        <v>655002.20000000007</v>
      </c>
      <c r="D2921">
        <f>'0374 table 5'!F1340</f>
        <v>310.92777777777775</v>
      </c>
      <c r="E2921">
        <f>'0374 table 5'!G1340</f>
        <v>4.5884999307228282</v>
      </c>
    </row>
    <row r="2922" spans="1:5" x14ac:dyDescent="0.35">
      <c r="A2922">
        <v>374</v>
      </c>
      <c r="B2922">
        <v>5</v>
      </c>
      <c r="C2922">
        <f>'0374 table 5'!E1341</f>
        <v>655002.20000000007</v>
      </c>
      <c r="D2922">
        <f>'0374 table 5'!F1341</f>
        <v>316.48333333333329</v>
      </c>
      <c r="E2922">
        <f>'0374 table 5'!G1341</f>
        <v>4.4869616969617354</v>
      </c>
    </row>
    <row r="2923" spans="1:5" x14ac:dyDescent="0.35">
      <c r="A2923">
        <v>374</v>
      </c>
      <c r="B2923">
        <v>5</v>
      </c>
      <c r="C2923">
        <f>'0374 table 5'!E1342</f>
        <v>655002.20000000007</v>
      </c>
      <c r="D2923">
        <f>'0374 table 5'!F1342</f>
        <v>322.03888888888889</v>
      </c>
      <c r="E2923">
        <f>'0374 table 5'!G1342</f>
        <v>4.3922273809030417</v>
      </c>
    </row>
    <row r="2924" spans="1:5" x14ac:dyDescent="0.35">
      <c r="A2924">
        <v>374</v>
      </c>
      <c r="B2924">
        <v>5</v>
      </c>
      <c r="C2924">
        <f>'0374 table 5'!E1343</f>
        <v>655002.20000000007</v>
      </c>
      <c r="D2924">
        <f>'0374 table 5'!F1343</f>
        <v>327.59444444444443</v>
      </c>
      <c r="E2924">
        <f>'0374 table 5'!G1343</f>
        <v>4.3014106493430164</v>
      </c>
    </row>
    <row r="2925" spans="1:5" x14ac:dyDescent="0.35">
      <c r="A2925">
        <v>374</v>
      </c>
      <c r="B2925">
        <v>5</v>
      </c>
      <c r="C2925">
        <f>'0374 table 5'!E1344</f>
        <v>655002.20000000007</v>
      </c>
      <c r="D2925">
        <f>'0374 table 5'!F1344</f>
        <v>333.15</v>
      </c>
      <c r="E2925">
        <f>'0374 table 5'!G1344</f>
        <v>4.2164920395244527</v>
      </c>
    </row>
    <row r="2926" spans="1:5" x14ac:dyDescent="0.35">
      <c r="A2926">
        <v>374</v>
      </c>
      <c r="B2926">
        <v>5</v>
      </c>
      <c r="C2926">
        <f>'0374 table 5'!E1345</f>
        <v>655002.20000000007</v>
      </c>
      <c r="D2926">
        <f>'0374 table 5'!F1345</f>
        <v>338.70555555555552</v>
      </c>
      <c r="E2926">
        <f>'0374 table 5'!G1345</f>
        <v>4.1348614502202876</v>
      </c>
    </row>
    <row r="2927" spans="1:5" x14ac:dyDescent="0.35">
      <c r="A2927">
        <v>374</v>
      </c>
      <c r="B2927">
        <v>5</v>
      </c>
      <c r="C2927">
        <f>'0374 table 5'!E1346</f>
        <v>655002.20000000007</v>
      </c>
      <c r="D2927">
        <f>'0374 table 5'!F1346</f>
        <v>344.26111111111106</v>
      </c>
      <c r="E2927">
        <f>'0374 table 5'!G1346</f>
        <v>4.0563315416949592</v>
      </c>
    </row>
    <row r="2928" spans="1:5" x14ac:dyDescent="0.35">
      <c r="A2928">
        <v>374</v>
      </c>
      <c r="B2928">
        <v>5</v>
      </c>
      <c r="C2928">
        <f>'0374 table 5'!E1347</f>
        <v>655002.20000000007</v>
      </c>
      <c r="D2928">
        <f>'0374 table 5'!F1347</f>
        <v>349.81666666666666</v>
      </c>
      <c r="E2928">
        <f>'0374 table 5'!G1347</f>
        <v>3.982708418238039</v>
      </c>
    </row>
    <row r="2929" spans="1:5" x14ac:dyDescent="0.35">
      <c r="A2929">
        <v>374</v>
      </c>
      <c r="B2929">
        <v>5</v>
      </c>
      <c r="C2929">
        <f>'0374 table 5'!E1348</f>
        <v>655002.20000000007</v>
      </c>
      <c r="D2929">
        <f>'0374 table 5'!F1348</f>
        <v>355.37222222222221</v>
      </c>
      <c r="E2929">
        <f>'0374 table 5'!G1348</f>
        <v>3.9107551899788562</v>
      </c>
    </row>
    <row r="2930" spans="1:5" x14ac:dyDescent="0.35">
      <c r="A2930">
        <v>374</v>
      </c>
      <c r="B2930">
        <v>5</v>
      </c>
      <c r="C2930">
        <f>'0374 table 5'!E1349</f>
        <v>655002.20000000007</v>
      </c>
      <c r="D2930">
        <f>'0374 table 5'!F1349</f>
        <v>360.92777777777775</v>
      </c>
      <c r="E2930">
        <f>'0374 table 5'!G1349</f>
        <v>3.8431989582901616</v>
      </c>
    </row>
    <row r="2931" spans="1:5" x14ac:dyDescent="0.35">
      <c r="A2931">
        <v>374</v>
      </c>
      <c r="B2931">
        <v>5</v>
      </c>
      <c r="C2931">
        <f>'0374 table 5'!E1350</f>
        <v>655002.20000000007</v>
      </c>
      <c r="D2931">
        <f>'0374 table 5'!F1350</f>
        <v>366.48333333333329</v>
      </c>
      <c r="E2931">
        <f>'0374 table 5'!G1350</f>
        <v>3.7770462763860873</v>
      </c>
    </row>
    <row r="2932" spans="1:5" x14ac:dyDescent="0.35">
      <c r="A2932">
        <v>374</v>
      </c>
      <c r="B2932">
        <v>5</v>
      </c>
      <c r="C2932">
        <f>'0374 table 5'!E1351</f>
        <v>655002.20000000007</v>
      </c>
      <c r="D2932">
        <f>'0374 table 5'!F1351</f>
        <v>372.03888888888889</v>
      </c>
      <c r="E2932">
        <f>'0374 table 5'!G1351</f>
        <v>3.713993335996614</v>
      </c>
    </row>
    <row r="2933" spans="1:5" x14ac:dyDescent="0.35">
      <c r="A2933">
        <v>374</v>
      </c>
      <c r="B2933">
        <v>5</v>
      </c>
      <c r="C2933">
        <f>'0374 table 5'!E1352</f>
        <v>655002.20000000007</v>
      </c>
      <c r="D2933">
        <f>'0374 table 5'!F1352</f>
        <v>377.59444444444443</v>
      </c>
      <c r="E2933">
        <f>'0374 table 5'!G1352</f>
        <v>3.6538442650897336</v>
      </c>
    </row>
    <row r="2934" spans="1:5" x14ac:dyDescent="0.35">
      <c r="A2934">
        <v>374</v>
      </c>
      <c r="B2934">
        <v>5</v>
      </c>
      <c r="C2934">
        <f>'0374 table 5'!E1353</f>
        <v>655002.20000000007</v>
      </c>
      <c r="D2934">
        <f>'0374 table 5'!F1353</f>
        <v>383.15</v>
      </c>
      <c r="E2934">
        <f>'0374 table 5'!G1353</f>
        <v>3.5956124036259021</v>
      </c>
    </row>
    <row r="2935" spans="1:5" x14ac:dyDescent="0.35">
      <c r="A2935">
        <v>374</v>
      </c>
      <c r="B2935">
        <v>5</v>
      </c>
      <c r="C2935">
        <f>'0374 table 5'!E1354</f>
        <v>655002.20000000007</v>
      </c>
      <c r="D2935">
        <f>'0374 table 5'!F1354</f>
        <v>388.70555555555552</v>
      </c>
      <c r="E2935">
        <f>'0374 table 5'!G1354</f>
        <v>3.5392075250007498</v>
      </c>
    </row>
    <row r="2936" spans="1:5" x14ac:dyDescent="0.35">
      <c r="A2936">
        <v>374</v>
      </c>
      <c r="B2936">
        <v>5</v>
      </c>
      <c r="C2936">
        <f>'0374 table 5'!E1355</f>
        <v>655002.20000000007</v>
      </c>
      <c r="D2936">
        <f>'0374 table 5'!F1355</f>
        <v>394.26111111111106</v>
      </c>
      <c r="E2936">
        <f>'0374 table 5'!G1355</f>
        <v>3.4845449767573187</v>
      </c>
    </row>
    <row r="2937" spans="1:5" x14ac:dyDescent="0.35">
      <c r="A2937">
        <v>374</v>
      </c>
      <c r="B2937">
        <v>5</v>
      </c>
      <c r="C2937">
        <f>'0374 table 5'!E1356</f>
        <v>655002.20000000007</v>
      </c>
      <c r="D2937">
        <f>'0374 table 5'!F1356</f>
        <v>399.81666666666666</v>
      </c>
      <c r="E2937">
        <f>'0374 table 5'!G1356</f>
        <v>3.4315452566738203</v>
      </c>
    </row>
    <row r="2938" spans="1:5" x14ac:dyDescent="0.35">
      <c r="A2938">
        <v>374</v>
      </c>
      <c r="B2938">
        <v>5</v>
      </c>
      <c r="C2938">
        <f>'0374 table 5'!E1357</f>
        <v>655002.20000000007</v>
      </c>
      <c r="D2938">
        <f>'0374 table 5'!F1357</f>
        <v>410.92777777777775</v>
      </c>
      <c r="E2938">
        <f>'0374 table 5'!G1357</f>
        <v>3.3316250536924699</v>
      </c>
    </row>
    <row r="2939" spans="1:5" x14ac:dyDescent="0.35">
      <c r="A2939">
        <v>374</v>
      </c>
      <c r="B2939">
        <v>5</v>
      </c>
      <c r="C2939">
        <f>'0374 table 5'!E1358</f>
        <v>655002.20000000007</v>
      </c>
      <c r="D2939">
        <f>'0374 table 5'!F1358</f>
        <v>422.03888888888889</v>
      </c>
      <c r="E2939">
        <f>'0374 table 5'!G1358</f>
        <v>3.2380135957455822</v>
      </c>
    </row>
    <row r="2940" spans="1:5" x14ac:dyDescent="0.35">
      <c r="A2940">
        <v>374</v>
      </c>
      <c r="B2940">
        <v>5</v>
      </c>
      <c r="C2940">
        <f>'0374 table 5'!E1359</f>
        <v>689476</v>
      </c>
      <c r="D2940">
        <f>'0374 table 5'!F1359</f>
        <v>288.70555555555552</v>
      </c>
      <c r="E2940">
        <f>'0374 table 5'!G1359</f>
        <v>5.3663159993813716</v>
      </c>
    </row>
    <row r="2941" spans="1:5" x14ac:dyDescent="0.35">
      <c r="A2941">
        <v>374</v>
      </c>
      <c r="B2941">
        <v>5</v>
      </c>
      <c r="C2941">
        <f>'0374 table 5'!E1360</f>
        <v>689476</v>
      </c>
      <c r="D2941">
        <f>'0374 table 5'!F1360</f>
        <v>294.26111111111106</v>
      </c>
      <c r="E2941">
        <f>'0374 table 5'!G1360</f>
        <v>5.2211386108713791</v>
      </c>
    </row>
    <row r="2942" spans="1:5" x14ac:dyDescent="0.35">
      <c r="A2942">
        <v>374</v>
      </c>
      <c r="B2942">
        <v>5</v>
      </c>
      <c r="C2942">
        <f>'0374 table 5'!E1361</f>
        <v>689476</v>
      </c>
      <c r="D2942">
        <f>'0374 table 5'!F1361</f>
        <v>299.81666666666666</v>
      </c>
      <c r="E2942">
        <f>'0374 table 5'!G1361</f>
        <v>5.0868381258029194</v>
      </c>
    </row>
    <row r="2943" spans="1:5" x14ac:dyDescent="0.35">
      <c r="A2943">
        <v>374</v>
      </c>
      <c r="B2943">
        <v>5</v>
      </c>
      <c r="C2943">
        <f>'0374 table 5'!E1362</f>
        <v>689476</v>
      </c>
      <c r="D2943">
        <f>'0374 table 5'!F1362</f>
        <v>305.37222222222221</v>
      </c>
      <c r="E2943">
        <f>'0374 table 5'!G1362</f>
        <v>4.9638838729945443</v>
      </c>
    </row>
    <row r="2944" spans="1:5" x14ac:dyDescent="0.35">
      <c r="A2944">
        <v>374</v>
      </c>
      <c r="B2944">
        <v>5</v>
      </c>
      <c r="C2944">
        <f>'0374 table 5'!E1363</f>
        <v>689476</v>
      </c>
      <c r="D2944">
        <f>'0374 table 5'!F1363</f>
        <v>310.92777777777775</v>
      </c>
      <c r="E2944">
        <f>'0374 table 5'!G1363</f>
        <v>4.8482001386662814</v>
      </c>
    </row>
    <row r="2945" spans="1:5" x14ac:dyDescent="0.35">
      <c r="A2945">
        <v>374</v>
      </c>
      <c r="B2945">
        <v>5</v>
      </c>
      <c r="C2945">
        <f>'0374 table 5'!E1364</f>
        <v>689476</v>
      </c>
      <c r="D2945">
        <f>'0374 table 5'!F1364</f>
        <v>316.48333333333329</v>
      </c>
      <c r="E2945">
        <f>'0374 table 5'!G1364</f>
        <v>4.7391873544832528</v>
      </c>
    </row>
    <row r="2946" spans="1:5" x14ac:dyDescent="0.35">
      <c r="A2946">
        <v>374</v>
      </c>
      <c r="B2946">
        <v>5</v>
      </c>
      <c r="C2946">
        <f>'0374 table 5'!E1365</f>
        <v>689476</v>
      </c>
      <c r="D2946">
        <f>'0374 table 5'!F1365</f>
        <v>322.03888888888889</v>
      </c>
      <c r="E2946">
        <f>'0374 table 5'!G1365</f>
        <v>4.637652940982453</v>
      </c>
    </row>
    <row r="2947" spans="1:5" x14ac:dyDescent="0.35">
      <c r="A2947">
        <v>374</v>
      </c>
      <c r="B2947">
        <v>5</v>
      </c>
      <c r="C2947">
        <f>'0374 table 5'!E1366</f>
        <v>689476</v>
      </c>
      <c r="D2947">
        <f>'0374 table 5'!F1366</f>
        <v>327.59444444444443</v>
      </c>
      <c r="E2947">
        <f>'0374 table 5'!G1366</f>
        <v>4.5416652277157334</v>
      </c>
    </row>
    <row r="2948" spans="1:5" x14ac:dyDescent="0.35">
      <c r="A2948">
        <v>374</v>
      </c>
      <c r="B2948">
        <v>5</v>
      </c>
      <c r="C2948">
        <f>'0374 table 5'!E1367</f>
        <v>689476</v>
      </c>
      <c r="D2948">
        <f>'0374 table 5'!F1367</f>
        <v>333.15</v>
      </c>
      <c r="E2948">
        <f>'0374 table 5'!G1367</f>
        <v>4.449570349487054</v>
      </c>
    </row>
    <row r="2949" spans="1:5" x14ac:dyDescent="0.35">
      <c r="A2949">
        <v>374</v>
      </c>
      <c r="B2949">
        <v>5</v>
      </c>
      <c r="C2949">
        <f>'0374 table 5'!E1368</f>
        <v>689476</v>
      </c>
      <c r="D2949">
        <f>'0374 table 5'!F1368</f>
        <v>338.70555555555552</v>
      </c>
      <c r="E2949">
        <f>'0374 table 5'!G1368</f>
        <v>4.3623238720461313</v>
      </c>
    </row>
    <row r="2950" spans="1:5" x14ac:dyDescent="0.35">
      <c r="A2950">
        <v>374</v>
      </c>
      <c r="B2950">
        <v>5</v>
      </c>
      <c r="C2950">
        <f>'0374 table 5'!E1369</f>
        <v>689476</v>
      </c>
      <c r="D2950">
        <f>'0374 table 5'!F1369</f>
        <v>344.26111111111106</v>
      </c>
      <c r="E2950">
        <f>'0374 table 5'!G1369</f>
        <v>4.2795760775189402</v>
      </c>
    </row>
    <row r="2951" spans="1:5" x14ac:dyDescent="0.35">
      <c r="A2951">
        <v>374</v>
      </c>
      <c r="B2951">
        <v>5</v>
      </c>
      <c r="C2951">
        <f>'0374 table 5'!E1370</f>
        <v>689476</v>
      </c>
      <c r="D2951">
        <f>'0374 table 5'!F1370</f>
        <v>349.81666666666666</v>
      </c>
      <c r="E2951">
        <f>'0374 table 5'!G1370</f>
        <v>4.2010105581309709</v>
      </c>
    </row>
    <row r="2952" spans="1:5" x14ac:dyDescent="0.35">
      <c r="A2952">
        <v>374</v>
      </c>
      <c r="B2952">
        <v>5</v>
      </c>
      <c r="C2952">
        <f>'0374 table 5'!E1371</f>
        <v>689476</v>
      </c>
      <c r="D2952">
        <f>'0374 table 5'!F1371</f>
        <v>355.37222222222221</v>
      </c>
      <c r="E2952">
        <f>'0374 table 5'!G1371</f>
        <v>4.125277686879576</v>
      </c>
    </row>
    <row r="2953" spans="1:5" x14ac:dyDescent="0.35">
      <c r="A2953">
        <v>374</v>
      </c>
      <c r="B2953">
        <v>5</v>
      </c>
      <c r="C2953">
        <f>'0374 table 5'!E1372</f>
        <v>689476</v>
      </c>
      <c r="D2953">
        <f>'0374 table 5'!F1372</f>
        <v>360.92777777777775</v>
      </c>
      <c r="E2953">
        <f>'0374 table 5'!G1372</f>
        <v>4.0532523426501497</v>
      </c>
    </row>
    <row r="2954" spans="1:5" x14ac:dyDescent="0.35">
      <c r="A2954">
        <v>374</v>
      </c>
      <c r="B2954">
        <v>5</v>
      </c>
      <c r="C2954">
        <f>'0374 table 5'!E1373</f>
        <v>689476</v>
      </c>
      <c r="D2954">
        <f>'0374 table 5'!F1373</f>
        <v>366.48333333333329</v>
      </c>
      <c r="E2954">
        <f>'0374 table 5'!G1373</f>
        <v>3.9836988953378247</v>
      </c>
    </row>
    <row r="2955" spans="1:5" x14ac:dyDescent="0.35">
      <c r="A2955">
        <v>374</v>
      </c>
      <c r="B2955">
        <v>5</v>
      </c>
      <c r="C2955">
        <f>'0374 table 5'!E1374</f>
        <v>689476</v>
      </c>
      <c r="D2955">
        <f>'0374 table 5'!F1374</f>
        <v>372.03888888888889</v>
      </c>
      <c r="E2955">
        <f>'0374 table 5'!G1374</f>
        <v>3.9164922391573085</v>
      </c>
    </row>
    <row r="2956" spans="1:5" x14ac:dyDescent="0.35">
      <c r="A2956">
        <v>374</v>
      </c>
      <c r="B2956">
        <v>5</v>
      </c>
      <c r="C2956">
        <f>'0374 table 5'!E1375</f>
        <v>689476</v>
      </c>
      <c r="D2956">
        <f>'0374 table 5'!F1375</f>
        <v>377.59444444444443</v>
      </c>
      <c r="E2956">
        <f>'0374 table 5'!G1375</f>
        <v>3.852441861027752</v>
      </c>
    </row>
    <row r="2957" spans="1:5" x14ac:dyDescent="0.35">
      <c r="A2957">
        <v>374</v>
      </c>
      <c r="B2957">
        <v>5</v>
      </c>
      <c r="C2957">
        <f>'0374 table 5'!E1376</f>
        <v>689476</v>
      </c>
      <c r="D2957">
        <f>'0374 table 5'!F1376</f>
        <v>383.15</v>
      </c>
      <c r="E2957">
        <f>'0374 table 5'!G1376</f>
        <v>3.7904527350102679</v>
      </c>
    </row>
    <row r="2958" spans="1:5" x14ac:dyDescent="0.35">
      <c r="A2958">
        <v>374</v>
      </c>
      <c r="B2958">
        <v>5</v>
      </c>
      <c r="C2958">
        <f>'0374 table 5'!E1377</f>
        <v>689476</v>
      </c>
      <c r="D2958">
        <f>'0374 table 5'!F1377</f>
        <v>388.70555555555552</v>
      </c>
      <c r="E2958">
        <f>'0374 table 5'!G1377</f>
        <v>3.7304269348284573</v>
      </c>
    </row>
    <row r="2959" spans="1:5" x14ac:dyDescent="0.35">
      <c r="A2959">
        <v>374</v>
      </c>
      <c r="B2959">
        <v>5</v>
      </c>
      <c r="C2959">
        <f>'0374 table 5'!E1378</f>
        <v>689476</v>
      </c>
      <c r="D2959">
        <f>'0374 table 5'!F1378</f>
        <v>394.26111111111106</v>
      </c>
      <c r="E2959">
        <f>'0374 table 5'!G1378</f>
        <v>3.6731147117985308</v>
      </c>
    </row>
    <row r="2960" spans="1:5" x14ac:dyDescent="0.35">
      <c r="A2960">
        <v>374</v>
      </c>
      <c r="B2960">
        <v>5</v>
      </c>
      <c r="C2960">
        <f>'0374 table 5'!E1379</f>
        <v>689476</v>
      </c>
      <c r="D2960">
        <f>'0374 table 5'!F1379</f>
        <v>399.81666666666666</v>
      </c>
      <c r="E2960">
        <f>'0374 table 5'!G1379</f>
        <v>3.6175368695016696</v>
      </c>
    </row>
    <row r="2961" spans="1:5" x14ac:dyDescent="0.35">
      <c r="A2961">
        <v>374</v>
      </c>
      <c r="B2961">
        <v>5</v>
      </c>
      <c r="C2961">
        <f>'0374 table 5'!E1380</f>
        <v>689476</v>
      </c>
      <c r="D2961">
        <f>'0374 table 5'!F1380</f>
        <v>405.37222222222221</v>
      </c>
      <c r="E2961">
        <f>'0374 table 5'!G1380</f>
        <v>3.5636158527593755</v>
      </c>
    </row>
    <row r="2962" spans="1:5" x14ac:dyDescent="0.35">
      <c r="A2962">
        <v>374</v>
      </c>
      <c r="B2962">
        <v>5</v>
      </c>
      <c r="C2962">
        <f>'0374 table 5'!E1381</f>
        <v>689476</v>
      </c>
      <c r="D2962">
        <f>'0374 table 5'!F1381</f>
        <v>410.92777777777775</v>
      </c>
      <c r="E2962">
        <f>'0374 table 5'!G1381</f>
        <v>3.5112786624623835</v>
      </c>
    </row>
    <row r="2963" spans="1:5" x14ac:dyDescent="0.35">
      <c r="A2963">
        <v>374</v>
      </c>
      <c r="B2963">
        <v>5</v>
      </c>
      <c r="C2963">
        <f>'0374 table 5'!E1382</f>
        <v>689476</v>
      </c>
      <c r="D2963">
        <f>'0374 table 5'!F1382</f>
        <v>416.48333333333335</v>
      </c>
      <c r="E2963">
        <f>'0374 table 5'!G1382</f>
        <v>3.4604565258486484</v>
      </c>
    </row>
    <row r="2964" spans="1:5" x14ac:dyDescent="0.35">
      <c r="A2964">
        <v>374</v>
      </c>
      <c r="B2964">
        <v>5</v>
      </c>
      <c r="C2964">
        <f>'0374 table 5'!E1383</f>
        <v>689476</v>
      </c>
      <c r="D2964">
        <f>'0374 table 5'!F1383</f>
        <v>422.03888888888889</v>
      </c>
      <c r="E2964">
        <f>'0374 table 5'!G1383</f>
        <v>3.4118111305971022</v>
      </c>
    </row>
    <row r="2965" spans="1:5" x14ac:dyDescent="0.35">
      <c r="A2965">
        <v>374</v>
      </c>
      <c r="B2965">
        <v>5</v>
      </c>
      <c r="C2965">
        <f>'0374 table 5'!E1384</f>
        <v>723949.8</v>
      </c>
      <c r="D2965">
        <f>'0374 table 5'!F1384</f>
        <v>294.26111111111106</v>
      </c>
      <c r="E2965">
        <f>'0374 table 5'!G1384</f>
        <v>5.5103038383740603</v>
      </c>
    </row>
    <row r="2966" spans="1:5" x14ac:dyDescent="0.35">
      <c r="A2966">
        <v>374</v>
      </c>
      <c r="B2966">
        <v>5</v>
      </c>
      <c r="C2966">
        <f>'0374 table 5'!E1385</f>
        <v>723949.8</v>
      </c>
      <c r="D2966">
        <f>'0374 table 5'!F1385</f>
        <v>299.81666666666666</v>
      </c>
      <c r="E2966">
        <f>'0374 table 5'!G1385</f>
        <v>5.3663159993813716</v>
      </c>
    </row>
    <row r="2967" spans="1:5" x14ac:dyDescent="0.35">
      <c r="A2967">
        <v>374</v>
      </c>
      <c r="B2967">
        <v>5</v>
      </c>
      <c r="C2967">
        <f>'0374 table 5'!E1386</f>
        <v>723949.8</v>
      </c>
      <c r="D2967">
        <f>'0374 table 5'!F1386</f>
        <v>305.37222222222221</v>
      </c>
      <c r="E2967">
        <f>'0374 table 5'!G1386</f>
        <v>5.2330784900860481</v>
      </c>
    </row>
    <row r="2968" spans="1:5" x14ac:dyDescent="0.35">
      <c r="A2968">
        <v>374</v>
      </c>
      <c r="B2968">
        <v>5</v>
      </c>
      <c r="C2968">
        <f>'0374 table 5'!E1387</f>
        <v>723949.8</v>
      </c>
      <c r="D2968">
        <f>'0374 table 5'!F1387</f>
        <v>310.92777777777775</v>
      </c>
      <c r="E2968">
        <f>'0374 table 5'!G1387</f>
        <v>5.1095544683104928</v>
      </c>
    </row>
    <row r="2969" spans="1:5" x14ac:dyDescent="0.35">
      <c r="A2969">
        <v>374</v>
      </c>
      <c r="B2969">
        <v>5</v>
      </c>
      <c r="C2969">
        <f>'0374 table 5'!E1388</f>
        <v>723949.8</v>
      </c>
      <c r="D2969">
        <f>'0374 table 5'!F1388</f>
        <v>316.48333333333329</v>
      </c>
      <c r="E2969">
        <f>'0374 table 5'!G1388</f>
        <v>4.9932834345864689</v>
      </c>
    </row>
    <row r="2970" spans="1:5" x14ac:dyDescent="0.35">
      <c r="A2970">
        <v>374</v>
      </c>
      <c r="B2970">
        <v>5</v>
      </c>
      <c r="C2970">
        <f>'0374 table 5'!E1389</f>
        <v>723949.8</v>
      </c>
      <c r="D2970">
        <f>'0374 table 5'!F1389</f>
        <v>322.03888888888889</v>
      </c>
      <c r="E2970">
        <f>'0374 table 5'!G1389</f>
        <v>4.8851641531422363</v>
      </c>
    </row>
    <row r="2971" spans="1:5" x14ac:dyDescent="0.35">
      <c r="A2971">
        <v>374</v>
      </c>
      <c r="B2971">
        <v>5</v>
      </c>
      <c r="C2971">
        <f>'0374 table 5'!E1390</f>
        <v>723949.8</v>
      </c>
      <c r="D2971">
        <f>'0374 table 5'!F1390</f>
        <v>327.59444444444443</v>
      </c>
      <c r="E2971">
        <f>'0374 table 5'!G1390</f>
        <v>4.7816278382547441</v>
      </c>
    </row>
    <row r="2972" spans="1:5" x14ac:dyDescent="0.35">
      <c r="A2972">
        <v>374</v>
      </c>
      <c r="B2972">
        <v>5</v>
      </c>
      <c r="C2972">
        <f>'0374 table 5'!E1391</f>
        <v>723949.8</v>
      </c>
      <c r="D2972">
        <f>'0374 table 5'!F1391</f>
        <v>333.15</v>
      </c>
      <c r="E2972">
        <f>'0374 table 5'!G1391</f>
        <v>4.6851281831393372</v>
      </c>
    </row>
    <row r="2973" spans="1:5" x14ac:dyDescent="0.35">
      <c r="A2973">
        <v>374</v>
      </c>
      <c r="B2973">
        <v>5</v>
      </c>
      <c r="C2973">
        <f>'0374 table 5'!E1392</f>
        <v>723949.8</v>
      </c>
      <c r="D2973">
        <f>'0374 table 5'!F1392</f>
        <v>338.70555555555552</v>
      </c>
      <c r="E2973">
        <f>'0374 table 5'!G1392</f>
        <v>4.5924464616265466</v>
      </c>
    </row>
    <row r="2974" spans="1:5" x14ac:dyDescent="0.35">
      <c r="A2974">
        <v>374</v>
      </c>
      <c r="B2974">
        <v>5</v>
      </c>
      <c r="C2974">
        <f>'0374 table 5'!E1393</f>
        <v>723949.8</v>
      </c>
      <c r="D2974">
        <f>'0374 table 5'!F1393</f>
        <v>344.26111111111106</v>
      </c>
      <c r="E2974">
        <f>'0374 table 5'!G1393</f>
        <v>4.5046269004930801</v>
      </c>
    </row>
    <row r="2975" spans="1:5" x14ac:dyDescent="0.35">
      <c r="A2975">
        <v>374</v>
      </c>
      <c r="B2975">
        <v>5</v>
      </c>
      <c r="C2975">
        <f>'0374 table 5'!E1394</f>
        <v>723949.8</v>
      </c>
      <c r="D2975">
        <f>'0374 table 5'!F1394</f>
        <v>349.81666666666666</v>
      </c>
      <c r="E2975">
        <f>'0374 table 5'!G1394</f>
        <v>4.4213230080467545</v>
      </c>
    </row>
    <row r="2976" spans="1:5" x14ac:dyDescent="0.35">
      <c r="A2976">
        <v>374</v>
      </c>
      <c r="B2976">
        <v>5</v>
      </c>
      <c r="C2976">
        <f>'0374 table 5'!E1395</f>
        <v>723949.8</v>
      </c>
      <c r="D2976">
        <f>'0374 table 5'!F1395</f>
        <v>355.37222222222221</v>
      </c>
      <c r="E2976">
        <f>'0374 table 5'!G1395</f>
        <v>4.3410442434020036</v>
      </c>
    </row>
    <row r="2977" spans="1:5" x14ac:dyDescent="0.35">
      <c r="A2977">
        <v>374</v>
      </c>
      <c r="B2977">
        <v>5</v>
      </c>
      <c r="C2977">
        <f>'0374 table 5'!E1396</f>
        <v>723949.8</v>
      </c>
      <c r="D2977">
        <f>'0374 table 5'!F1396</f>
        <v>360.92777777777775</v>
      </c>
      <c r="E2977">
        <f>'0374 table 5'!G1396</f>
        <v>4.2636287618188424</v>
      </c>
    </row>
    <row r="2978" spans="1:5" x14ac:dyDescent="0.35">
      <c r="A2978">
        <v>374</v>
      </c>
      <c r="B2978">
        <v>5</v>
      </c>
      <c r="C2978">
        <f>'0374 table 5'!E1397</f>
        <v>723949.8</v>
      </c>
      <c r="D2978">
        <f>'0374 table 5'!F1397</f>
        <v>366.48333333333329</v>
      </c>
      <c r="E2978">
        <f>'0374 table 5'!G1397</f>
        <v>4.1900217782247955</v>
      </c>
    </row>
    <row r="2979" spans="1:5" x14ac:dyDescent="0.35">
      <c r="A2979">
        <v>374</v>
      </c>
      <c r="B2979">
        <v>5</v>
      </c>
      <c r="C2979">
        <f>'0374 table 5'!E1398</f>
        <v>723949.8</v>
      </c>
      <c r="D2979">
        <f>'0374 table 5'!F1398</f>
        <v>372.03888888888889</v>
      </c>
      <c r="E2979">
        <f>'0374 table 5'!G1398</f>
        <v>4.1199725458213461</v>
      </c>
    </row>
    <row r="2980" spans="1:5" x14ac:dyDescent="0.35">
      <c r="A2980">
        <v>374</v>
      </c>
      <c r="B2980">
        <v>5</v>
      </c>
      <c r="C2980">
        <f>'0374 table 5'!E1399</f>
        <v>723949.8</v>
      </c>
      <c r="D2980">
        <f>'0374 table 5'!F1399</f>
        <v>377.59444444444443</v>
      </c>
      <c r="E2980">
        <f>'0374 table 5'!G1399</f>
        <v>4.0512021391384403</v>
      </c>
    </row>
    <row r="2981" spans="1:5" x14ac:dyDescent="0.35">
      <c r="A2981">
        <v>374</v>
      </c>
      <c r="B2981">
        <v>5</v>
      </c>
      <c r="C2981">
        <f>'0374 table 5'!E1400</f>
        <v>723949.8</v>
      </c>
      <c r="D2981">
        <f>'0374 table 5'!F1400</f>
        <v>383.15</v>
      </c>
      <c r="E2981">
        <f>'0374 table 5'!G1400</f>
        <v>3.9856813282292594</v>
      </c>
    </row>
    <row r="2982" spans="1:5" x14ac:dyDescent="0.35">
      <c r="A2982">
        <v>374</v>
      </c>
      <c r="B2982">
        <v>5</v>
      </c>
      <c r="C2982">
        <f>'0374 table 5'!E1401</f>
        <v>723949.8</v>
      </c>
      <c r="D2982">
        <f>'0374 table 5'!F1401</f>
        <v>388.70555555555552</v>
      </c>
      <c r="E2982">
        <f>'0374 table 5'!G1401</f>
        <v>3.9232067739782988</v>
      </c>
    </row>
    <row r="2983" spans="1:5" x14ac:dyDescent="0.35">
      <c r="A2983">
        <v>374</v>
      </c>
      <c r="B2983">
        <v>5</v>
      </c>
      <c r="C2983">
        <f>'0374 table 5'!E1402</f>
        <v>723949.8</v>
      </c>
      <c r="D2983">
        <f>'0374 table 5'!F1402</f>
        <v>394.26111111111106</v>
      </c>
      <c r="E2983">
        <f>'0374 table 5'!G1402</f>
        <v>3.8617293293523129</v>
      </c>
    </row>
    <row r="2984" spans="1:5" x14ac:dyDescent="0.35">
      <c r="A2984">
        <v>374</v>
      </c>
      <c r="B2984">
        <v>5</v>
      </c>
      <c r="C2984">
        <f>'0374 table 5'!E1403</f>
        <v>723949.8</v>
      </c>
      <c r="D2984">
        <f>'0374 table 5'!F1403</f>
        <v>399.81666666666666</v>
      </c>
      <c r="E2984">
        <f>'0374 table 5'!G1403</f>
        <v>3.803051580758166</v>
      </c>
    </row>
    <row r="2985" spans="1:5" x14ac:dyDescent="0.35">
      <c r="A2985">
        <v>374</v>
      </c>
      <c r="B2985">
        <v>5</v>
      </c>
      <c r="C2985">
        <f>'0374 table 5'!E1404</f>
        <v>723949.8</v>
      </c>
      <c r="D2985">
        <f>'0374 table 5'!F1404</f>
        <v>405.37222222222221</v>
      </c>
      <c r="E2985">
        <f>'0374 table 5'!G1404</f>
        <v>3.7461303222996709</v>
      </c>
    </row>
    <row r="2986" spans="1:5" x14ac:dyDescent="0.35">
      <c r="A2986">
        <v>374</v>
      </c>
      <c r="B2986">
        <v>5</v>
      </c>
      <c r="C2986">
        <f>'0374 table 5'!E1405</f>
        <v>723949.8</v>
      </c>
      <c r="D2986">
        <f>'0374 table 5'!F1405</f>
        <v>410.92777777777775</v>
      </c>
      <c r="E2986">
        <f>'0374 table 5'!G1405</f>
        <v>3.690887847500782</v>
      </c>
    </row>
    <row r="2987" spans="1:5" x14ac:dyDescent="0.35">
      <c r="A2987">
        <v>374</v>
      </c>
      <c r="B2987">
        <v>5</v>
      </c>
      <c r="C2987">
        <f>'0374 table 5'!E1406</f>
        <v>723949.8</v>
      </c>
      <c r="D2987">
        <f>'0374 table 5'!F1406</f>
        <v>416.48333333333335</v>
      </c>
      <c r="E2987">
        <f>'0374 table 5'!G1406</f>
        <v>3.6380770515905962</v>
      </c>
    </row>
    <row r="2988" spans="1:5" x14ac:dyDescent="0.35">
      <c r="A2988">
        <v>374</v>
      </c>
      <c r="B2988">
        <v>5</v>
      </c>
      <c r="C2988">
        <f>'0374 table 5'!E1407</f>
        <v>723949.8</v>
      </c>
      <c r="D2988">
        <f>'0374 table 5'!F1407</f>
        <v>422.03888888888889</v>
      </c>
      <c r="E2988">
        <f>'0374 table 5'!G1407</f>
        <v>3.5867562154396309</v>
      </c>
    </row>
    <row r="2989" spans="1:5" x14ac:dyDescent="0.35">
      <c r="A2989">
        <v>374</v>
      </c>
      <c r="B2989">
        <v>5</v>
      </c>
      <c r="C2989">
        <f>'0374 table 5'!E1408</f>
        <v>758423.6</v>
      </c>
      <c r="D2989">
        <f>'0374 table 5'!F1408</f>
        <v>294.26111111111106</v>
      </c>
      <c r="E2989">
        <f>'0374 table 5'!G1408</f>
        <v>5.8016853524641041</v>
      </c>
    </row>
    <row r="2990" spans="1:5" x14ac:dyDescent="0.35">
      <c r="A2990">
        <v>374</v>
      </c>
      <c r="B2990">
        <v>5</v>
      </c>
      <c r="C2990">
        <f>'0374 table 5'!E1409</f>
        <v>758423.6</v>
      </c>
      <c r="D2990">
        <f>'0374 table 5'!F1409</f>
        <v>299.81666666666666</v>
      </c>
      <c r="E2990">
        <f>'0374 table 5'!G1409</f>
        <v>5.646264807244763</v>
      </c>
    </row>
    <row r="2991" spans="1:5" x14ac:dyDescent="0.35">
      <c r="A2991">
        <v>374</v>
      </c>
      <c r="B2991">
        <v>5</v>
      </c>
      <c r="C2991">
        <f>'0374 table 5'!E1410</f>
        <v>758423.6</v>
      </c>
      <c r="D2991">
        <f>'0374 table 5'!F1410</f>
        <v>305.37222222222221</v>
      </c>
      <c r="E2991">
        <f>'0374 table 5'!G1410</f>
        <v>5.5046231127674892</v>
      </c>
    </row>
    <row r="2992" spans="1:5" x14ac:dyDescent="0.35">
      <c r="A2992">
        <v>374</v>
      </c>
      <c r="B2992">
        <v>5</v>
      </c>
      <c r="C2992">
        <f>'0374 table 5'!E1411</f>
        <v>758423.6</v>
      </c>
      <c r="D2992">
        <f>'0374 table 5'!F1411</f>
        <v>310.92777777777775</v>
      </c>
      <c r="E2992">
        <f>'0374 table 5'!G1411</f>
        <v>5.3735166917656478</v>
      </c>
    </row>
    <row r="2993" spans="1:5" x14ac:dyDescent="0.35">
      <c r="A2993">
        <v>374</v>
      </c>
      <c r="B2993">
        <v>5</v>
      </c>
      <c r="C2993">
        <f>'0374 table 5'!E1412</f>
        <v>758423.6</v>
      </c>
      <c r="D2993">
        <f>'0374 table 5'!F1412</f>
        <v>316.48333333333329</v>
      </c>
      <c r="E2993">
        <f>'0374 table 5'!G1412</f>
        <v>5.2502305008696792</v>
      </c>
    </row>
    <row r="2994" spans="1:5" x14ac:dyDescent="0.35">
      <c r="A2994">
        <v>374</v>
      </c>
      <c r="B2994">
        <v>5</v>
      </c>
      <c r="C2994">
        <f>'0374 table 5'!E1413</f>
        <v>758423.6</v>
      </c>
      <c r="D2994">
        <f>'0374 table 5'!F1413</f>
        <v>322.03888888888889</v>
      </c>
      <c r="E2994">
        <f>'0374 table 5'!G1413</f>
        <v>5.1341196340235227</v>
      </c>
    </row>
    <row r="2995" spans="1:5" x14ac:dyDescent="0.35">
      <c r="A2995">
        <v>374</v>
      </c>
      <c r="B2995">
        <v>5</v>
      </c>
      <c r="C2995">
        <f>'0374 table 5'!E1414</f>
        <v>758423.6</v>
      </c>
      <c r="D2995">
        <f>'0374 table 5'!F1414</f>
        <v>327.59444444444443</v>
      </c>
      <c r="E2995">
        <f>'0374 table 5'!G1414</f>
        <v>5.0246089266478648</v>
      </c>
    </row>
    <row r="2996" spans="1:5" x14ac:dyDescent="0.35">
      <c r="A2996">
        <v>374</v>
      </c>
      <c r="B2996">
        <v>5</v>
      </c>
      <c r="C2996">
        <f>'0374 table 5'!E1415</f>
        <v>758423.6</v>
      </c>
      <c r="D2996">
        <f>'0374 table 5'!F1415</f>
        <v>333.15</v>
      </c>
      <c r="E2996">
        <f>'0374 table 5'!G1415</f>
        <v>4.9211837966677097</v>
      </c>
    </row>
    <row r="2997" spans="1:5" x14ac:dyDescent="0.35">
      <c r="A2997">
        <v>374</v>
      </c>
      <c r="B2997">
        <v>5</v>
      </c>
      <c r="C2997">
        <f>'0374 table 5'!E1416</f>
        <v>758423.6</v>
      </c>
      <c r="D2997">
        <f>'0374 table 5'!F1416</f>
        <v>338.70555555555552</v>
      </c>
      <c r="E2997">
        <f>'0374 table 5'!G1416</f>
        <v>4.8233824926688929</v>
      </c>
    </row>
    <row r="2998" spans="1:5" x14ac:dyDescent="0.35">
      <c r="A2998">
        <v>374</v>
      </c>
      <c r="B2998">
        <v>5</v>
      </c>
      <c r="C2998">
        <f>'0374 table 5'!E1417</f>
        <v>758423.6</v>
      </c>
      <c r="D2998">
        <f>'0374 table 5'!F1417</f>
        <v>344.26111111111106</v>
      </c>
      <c r="E2998">
        <f>'0374 table 5'!G1417</f>
        <v>4.7307895032939733</v>
      </c>
    </row>
    <row r="2999" spans="1:5" x14ac:dyDescent="0.35">
      <c r="A2999">
        <v>374</v>
      </c>
      <c r="B2999">
        <v>5</v>
      </c>
      <c r="C2999">
        <f>'0374 table 5'!E1418</f>
        <v>758423.6</v>
      </c>
      <c r="D2999">
        <f>'0374 table 5'!F1418</f>
        <v>349.81666666666666</v>
      </c>
      <c r="E2999">
        <f>'0374 table 5'!G1418</f>
        <v>4.6416845140983458</v>
      </c>
    </row>
    <row r="3000" spans="1:5" x14ac:dyDescent="0.35">
      <c r="A3000">
        <v>374</v>
      </c>
      <c r="B3000">
        <v>5</v>
      </c>
      <c r="C3000">
        <f>'0374 table 5'!E1419</f>
        <v>758423.6</v>
      </c>
      <c r="D3000">
        <f>'0374 table 5'!F1419</f>
        <v>355.37222222222221</v>
      </c>
      <c r="E3000">
        <f>'0374 table 5'!G1419</f>
        <v>4.5571702014661151</v>
      </c>
    </row>
    <row r="3001" spans="1:5" x14ac:dyDescent="0.35">
      <c r="A3001">
        <v>374</v>
      </c>
      <c r="B3001">
        <v>5</v>
      </c>
      <c r="C3001">
        <f>'0374 table 5'!E1420</f>
        <v>758423.6</v>
      </c>
      <c r="D3001">
        <f>'0374 table 5'!F1420</f>
        <v>360.92777777777775</v>
      </c>
      <c r="E3001">
        <f>'0374 table 5'!G1420</f>
        <v>4.4756784739182436</v>
      </c>
    </row>
    <row r="3002" spans="1:5" x14ac:dyDescent="0.35">
      <c r="A3002">
        <v>374</v>
      </c>
      <c r="B3002">
        <v>5</v>
      </c>
      <c r="C3002">
        <f>'0374 table 5'!E1421</f>
        <v>758423.6</v>
      </c>
      <c r="D3002">
        <f>'0374 table 5'!F1421</f>
        <v>366.48333333333329</v>
      </c>
      <c r="E3002">
        <f>'0374 table 5'!G1421</f>
        <v>4.3982573471041722</v>
      </c>
    </row>
    <row r="3003" spans="1:5" x14ac:dyDescent="0.35">
      <c r="A3003">
        <v>374</v>
      </c>
      <c r="B3003">
        <v>5</v>
      </c>
      <c r="C3003">
        <f>'0374 table 5'!E1422</f>
        <v>758423.6</v>
      </c>
      <c r="D3003">
        <f>'0374 table 5'!F1422</f>
        <v>372.03888888888889</v>
      </c>
      <c r="E3003">
        <f>'0374 table 5'!G1422</f>
        <v>4.3234691654934929</v>
      </c>
    </row>
    <row r="3004" spans="1:5" x14ac:dyDescent="0.35">
      <c r="A3004">
        <v>374</v>
      </c>
      <c r="B3004">
        <v>5</v>
      </c>
      <c r="C3004">
        <f>'0374 table 5'!E1423</f>
        <v>758423.6</v>
      </c>
      <c r="D3004">
        <f>'0374 table 5'!F1423</f>
        <v>377.59444444444443</v>
      </c>
      <c r="E3004">
        <f>'0374 table 5'!G1423</f>
        <v>4.2511818625672486</v>
      </c>
    </row>
    <row r="3005" spans="1:5" x14ac:dyDescent="0.35">
      <c r="A3005">
        <v>374</v>
      </c>
      <c r="B3005">
        <v>5</v>
      </c>
      <c r="C3005">
        <f>'0374 table 5'!E1424</f>
        <v>758423.6</v>
      </c>
      <c r="D3005">
        <f>'0374 table 5'!F1424</f>
        <v>383.15</v>
      </c>
      <c r="E3005">
        <f>'0374 table 5'!G1424</f>
        <v>4.1823637749747764</v>
      </c>
    </row>
    <row r="3006" spans="1:5" x14ac:dyDescent="0.35">
      <c r="A3006">
        <v>374</v>
      </c>
      <c r="B3006">
        <v>5</v>
      </c>
      <c r="C3006">
        <f>'0374 table 5'!E1425</f>
        <v>758423.6</v>
      </c>
      <c r="D3006">
        <f>'0374 table 5'!F1425</f>
        <v>388.70555555555552</v>
      </c>
      <c r="E3006">
        <f>'0374 table 5'!G1425</f>
        <v>4.1157382472131028</v>
      </c>
    </row>
    <row r="3007" spans="1:5" x14ac:dyDescent="0.35">
      <c r="A3007">
        <v>374</v>
      </c>
      <c r="B3007">
        <v>5</v>
      </c>
      <c r="C3007">
        <f>'0374 table 5'!E1426</f>
        <v>758423.6</v>
      </c>
      <c r="D3007">
        <f>'0374 table 5'!F1426</f>
        <v>394.26111111111106</v>
      </c>
      <c r="E3007">
        <f>'0374 table 5'!G1426</f>
        <v>4.0512021391384403</v>
      </c>
    </row>
    <row r="3008" spans="1:5" x14ac:dyDescent="0.35">
      <c r="A3008">
        <v>374</v>
      </c>
      <c r="B3008">
        <v>5</v>
      </c>
      <c r="C3008">
        <f>'0374 table 5'!E1427</f>
        <v>758423.6</v>
      </c>
      <c r="D3008">
        <f>'0374 table 5'!F1427</f>
        <v>399.81666666666666</v>
      </c>
      <c r="E3008">
        <f>'0374 table 5'!G1427</f>
        <v>3.9896521190917542</v>
      </c>
    </row>
    <row r="3009" spans="1:5" x14ac:dyDescent="0.35">
      <c r="A3009">
        <v>374</v>
      </c>
      <c r="B3009">
        <v>5</v>
      </c>
      <c r="C3009">
        <f>'0374 table 5'!E1428</f>
        <v>758423.6</v>
      </c>
      <c r="D3009">
        <f>'0374 table 5'!F1428</f>
        <v>405.37222222222221</v>
      </c>
      <c r="E3009">
        <f>'0374 table 5'!G1428</f>
        <v>3.9299443714802247</v>
      </c>
    </row>
    <row r="3010" spans="1:5" x14ac:dyDescent="0.35">
      <c r="A3010">
        <v>374</v>
      </c>
      <c r="B3010">
        <v>5</v>
      </c>
      <c r="C3010">
        <f>'0374 table 5'!E1429</f>
        <v>758423.6</v>
      </c>
      <c r="D3010">
        <f>'0374 table 5'!F1429</f>
        <v>410.92777777777775</v>
      </c>
      <c r="E3010">
        <f>'0374 table 5'!G1429</f>
        <v>3.8719974034695182</v>
      </c>
    </row>
    <row r="3011" spans="1:5" x14ac:dyDescent="0.35">
      <c r="A3011">
        <v>374</v>
      </c>
      <c r="B3011">
        <v>5</v>
      </c>
      <c r="C3011">
        <f>'0374 table 5'!E1430</f>
        <v>758423.6</v>
      </c>
      <c r="D3011">
        <f>'0374 table 5'!F1430</f>
        <v>416.48333333333335</v>
      </c>
      <c r="E3011">
        <f>'0374 table 5'!G1430</f>
        <v>3.815734458826439</v>
      </c>
    </row>
    <row r="3012" spans="1:5" x14ac:dyDescent="0.35">
      <c r="A3012">
        <v>374</v>
      </c>
      <c r="B3012">
        <v>5</v>
      </c>
      <c r="C3012">
        <f>'0374 table 5'!E1431</f>
        <v>758423.6</v>
      </c>
      <c r="D3012">
        <f>'0374 table 5'!F1431</f>
        <v>422.03888888888889</v>
      </c>
      <c r="E3012">
        <f>'0374 table 5'!G1431</f>
        <v>3.7610831787164574</v>
      </c>
    </row>
    <row r="3013" spans="1:5" x14ac:dyDescent="0.35">
      <c r="A3013">
        <v>374</v>
      </c>
      <c r="B3013">
        <v>5</v>
      </c>
      <c r="C3013">
        <f>'0374 table 5'!E1432</f>
        <v>792897.4</v>
      </c>
      <c r="D3013">
        <f>'0374 table 5'!F1432</f>
        <v>294.26111111111106</v>
      </c>
      <c r="E3013">
        <f>'0374 table 5'!G1432</f>
        <v>6.0953018486124027</v>
      </c>
    </row>
    <row r="3014" spans="1:5" x14ac:dyDescent="0.35">
      <c r="A3014">
        <v>374</v>
      </c>
      <c r="B3014">
        <v>5</v>
      </c>
      <c r="C3014">
        <f>'0374 table 5'!E1433</f>
        <v>792897.4</v>
      </c>
      <c r="D3014">
        <f>'0374 table 5'!F1433</f>
        <v>299.81666666666666</v>
      </c>
      <c r="E3014">
        <f>'0374 table 5'!G1433</f>
        <v>5.9305639608120666</v>
      </c>
    </row>
    <row r="3015" spans="1:5" x14ac:dyDescent="0.35">
      <c r="A3015">
        <v>374</v>
      </c>
      <c r="B3015">
        <v>5</v>
      </c>
      <c r="C3015">
        <f>'0374 table 5'!E1434</f>
        <v>792897.4</v>
      </c>
      <c r="D3015">
        <f>'0374 table 5'!F1434</f>
        <v>305.37222222222221</v>
      </c>
      <c r="E3015">
        <f>'0374 table 5'!G1434</f>
        <v>5.7786627915416284</v>
      </c>
    </row>
    <row r="3016" spans="1:5" x14ac:dyDescent="0.35">
      <c r="A3016">
        <v>374</v>
      </c>
      <c r="B3016">
        <v>5</v>
      </c>
      <c r="C3016">
        <f>'0374 table 5'!E1435</f>
        <v>792897.4</v>
      </c>
      <c r="D3016">
        <f>'0374 table 5'!F1435</f>
        <v>310.92777777777775</v>
      </c>
      <c r="E3016">
        <f>'0374 table 5'!G1435</f>
        <v>5.6383151207861282</v>
      </c>
    </row>
    <row r="3017" spans="1:5" x14ac:dyDescent="0.35">
      <c r="A3017">
        <v>374</v>
      </c>
      <c r="B3017">
        <v>5</v>
      </c>
      <c r="C3017">
        <f>'0374 table 5'!E1436</f>
        <v>792897.4</v>
      </c>
      <c r="D3017">
        <f>'0374 table 5'!F1436</f>
        <v>316.48333333333329</v>
      </c>
      <c r="E3017">
        <f>'0374 table 5'!G1436</f>
        <v>5.5065153860960443</v>
      </c>
    </row>
    <row r="3018" spans="1:5" x14ac:dyDescent="0.35">
      <c r="A3018">
        <v>374</v>
      </c>
      <c r="B3018">
        <v>5</v>
      </c>
      <c r="C3018">
        <f>'0374 table 5'!E1437</f>
        <v>792897.4</v>
      </c>
      <c r="D3018">
        <f>'0374 table 5'!F1437</f>
        <v>322.03888888888889</v>
      </c>
      <c r="E3018">
        <f>'0374 table 5'!G1437</f>
        <v>5.3843540363540816</v>
      </c>
    </row>
    <row r="3019" spans="1:5" x14ac:dyDescent="0.35">
      <c r="A3019">
        <v>374</v>
      </c>
      <c r="B3019">
        <v>5</v>
      </c>
      <c r="C3019">
        <f>'0374 table 5'!E1438</f>
        <v>792897.4</v>
      </c>
      <c r="D3019">
        <f>'0374 table 5'!F1438</f>
        <v>327.59444444444443</v>
      </c>
      <c r="E3019">
        <f>'0374 table 5'!G1438</f>
        <v>5.2692280454451952</v>
      </c>
    </row>
    <row r="3020" spans="1:5" x14ac:dyDescent="0.35">
      <c r="A3020">
        <v>374</v>
      </c>
      <c r="B3020">
        <v>5</v>
      </c>
      <c r="C3020">
        <f>'0374 table 5'!E1439</f>
        <v>792897.4</v>
      </c>
      <c r="D3020">
        <f>'0374 table 5'!F1439</f>
        <v>333.15</v>
      </c>
      <c r="E3020">
        <f>'0374 table 5'!G1439</f>
        <v>5.1589221443328164</v>
      </c>
    </row>
    <row r="3021" spans="1:5" x14ac:dyDescent="0.35">
      <c r="A3021">
        <v>374</v>
      </c>
      <c r="B3021">
        <v>5</v>
      </c>
      <c r="C3021">
        <f>'0374 table 5'!E1440</f>
        <v>792897.4</v>
      </c>
      <c r="D3021">
        <f>'0374 table 5'!F1440</f>
        <v>338.70555555555552</v>
      </c>
      <c r="E3021">
        <f>'0374 table 5'!G1440</f>
        <v>5.0563299425989241</v>
      </c>
    </row>
    <row r="3022" spans="1:5" x14ac:dyDescent="0.35">
      <c r="A3022">
        <v>374</v>
      </c>
      <c r="B3022">
        <v>5</v>
      </c>
      <c r="C3022">
        <f>'0374 table 5'!E1441</f>
        <v>792897.4</v>
      </c>
      <c r="D3022">
        <f>'0374 table 5'!F1441</f>
        <v>344.26111111111106</v>
      </c>
      <c r="E3022">
        <f>'0374 table 5'!G1441</f>
        <v>4.9577385509605056</v>
      </c>
    </row>
    <row r="3023" spans="1:5" x14ac:dyDescent="0.35">
      <c r="A3023">
        <v>374</v>
      </c>
      <c r="B3023">
        <v>5</v>
      </c>
      <c r="C3023">
        <f>'0374 table 5'!E1442</f>
        <v>792897.4</v>
      </c>
      <c r="D3023">
        <f>'0374 table 5'!F1442</f>
        <v>349.81666666666666</v>
      </c>
      <c r="E3023">
        <f>'0374 table 5'!G1442</f>
        <v>4.8629184147399496</v>
      </c>
    </row>
    <row r="3024" spans="1:5" x14ac:dyDescent="0.35">
      <c r="A3024">
        <v>374</v>
      </c>
      <c r="B3024">
        <v>5</v>
      </c>
      <c r="C3024">
        <f>'0374 table 5'!E1443</f>
        <v>792897.4</v>
      </c>
      <c r="D3024">
        <f>'0374 table 5'!F1443</f>
        <v>355.37222222222221</v>
      </c>
      <c r="E3024">
        <f>'0374 table 5'!G1443</f>
        <v>4.774501716290132</v>
      </c>
    </row>
    <row r="3025" spans="1:5" x14ac:dyDescent="0.35">
      <c r="A3025">
        <v>374</v>
      </c>
      <c r="B3025">
        <v>5</v>
      </c>
      <c r="C3025">
        <f>'0374 table 5'!E1444</f>
        <v>792897.4</v>
      </c>
      <c r="D3025">
        <f>'0374 table 5'!F1444</f>
        <v>360.92777777777775</v>
      </c>
      <c r="E3025">
        <f>'0374 table 5'!G1444</f>
        <v>4.6878704296615146</v>
      </c>
    </row>
    <row r="3026" spans="1:5" x14ac:dyDescent="0.35">
      <c r="A3026">
        <v>374</v>
      </c>
      <c r="B3026">
        <v>5</v>
      </c>
      <c r="C3026">
        <f>'0374 table 5'!E1445</f>
        <v>792897.4</v>
      </c>
      <c r="D3026">
        <f>'0374 table 5'!F1445</f>
        <v>366.48333333333329</v>
      </c>
      <c r="E3026">
        <f>'0374 table 5'!G1445</f>
        <v>4.606975340279952</v>
      </c>
    </row>
    <row r="3027" spans="1:5" x14ac:dyDescent="0.35">
      <c r="A3027">
        <v>374</v>
      </c>
      <c r="B3027">
        <v>5</v>
      </c>
      <c r="C3027">
        <f>'0374 table 5'!E1446</f>
        <v>792897.4</v>
      </c>
      <c r="D3027">
        <f>'0374 table 5'!F1446</f>
        <v>372.03888888888889</v>
      </c>
      <c r="E3027">
        <f>'0374 table 5'!G1446</f>
        <v>4.5275447309647809</v>
      </c>
    </row>
    <row r="3028" spans="1:5" x14ac:dyDescent="0.35">
      <c r="A3028">
        <v>374</v>
      </c>
      <c r="B3028">
        <v>5</v>
      </c>
      <c r="C3028">
        <f>'0374 table 5'!E1447</f>
        <v>792897.4</v>
      </c>
      <c r="D3028">
        <f>'0374 table 5'!F1447</f>
        <v>377.59444444444443</v>
      </c>
      <c r="E3028">
        <f>'0374 table 5'!G1447</f>
        <v>4.4520437071021108</v>
      </c>
    </row>
    <row r="3029" spans="1:5" x14ac:dyDescent="0.35">
      <c r="A3029">
        <v>374</v>
      </c>
      <c r="B3029">
        <v>5</v>
      </c>
      <c r="C3029">
        <f>'0374 table 5'!E1448</f>
        <v>792897.4</v>
      </c>
      <c r="D3029">
        <f>'0374 table 5'!F1448</f>
        <v>383.15</v>
      </c>
      <c r="E3029">
        <f>'0374 table 5'!G1448</f>
        <v>4.3790194800856739</v>
      </c>
    </row>
    <row r="3030" spans="1:5" x14ac:dyDescent="0.35">
      <c r="A3030">
        <v>374</v>
      </c>
      <c r="B3030">
        <v>5</v>
      </c>
      <c r="C3030">
        <f>'0374 table 5'!E1449</f>
        <v>792897.4</v>
      </c>
      <c r="D3030">
        <f>'0374 table 5'!F1449</f>
        <v>388.70555555555552</v>
      </c>
      <c r="E3030">
        <f>'0374 table 5'!G1449</f>
        <v>4.3095112343700279</v>
      </c>
    </row>
    <row r="3031" spans="1:5" x14ac:dyDescent="0.35">
      <c r="A3031">
        <v>374</v>
      </c>
      <c r="B3031">
        <v>5</v>
      </c>
      <c r="C3031">
        <f>'0374 table 5'!E1450</f>
        <v>792897.4</v>
      </c>
      <c r="D3031">
        <f>'0374 table 5'!F1450</f>
        <v>394.26111111111106</v>
      </c>
      <c r="E3031">
        <f>'0374 table 5'!G1450</f>
        <v>4.2421751213329966</v>
      </c>
    </row>
    <row r="3032" spans="1:5" x14ac:dyDescent="0.35">
      <c r="A3032">
        <v>374</v>
      </c>
      <c r="B3032">
        <v>5</v>
      </c>
      <c r="C3032">
        <f>'0374 table 5'!E1451</f>
        <v>792897.4</v>
      </c>
      <c r="D3032">
        <f>'0374 table 5'!F1451</f>
        <v>399.81666666666666</v>
      </c>
      <c r="E3032">
        <f>'0374 table 5'!G1451</f>
        <v>4.1769108886971038</v>
      </c>
    </row>
    <row r="3033" spans="1:5" x14ac:dyDescent="0.35">
      <c r="A3033">
        <v>374</v>
      </c>
      <c r="B3033">
        <v>5</v>
      </c>
      <c r="C3033">
        <f>'0374 table 5'!E1452</f>
        <v>792897.4</v>
      </c>
      <c r="D3033">
        <f>'0374 table 5'!F1452</f>
        <v>405.37222222222221</v>
      </c>
      <c r="E3033">
        <f>'0374 table 5'!G1452</f>
        <v>4.1136243600804807</v>
      </c>
    </row>
    <row r="3034" spans="1:5" x14ac:dyDescent="0.35">
      <c r="A3034">
        <v>374</v>
      </c>
      <c r="B3034">
        <v>5</v>
      </c>
      <c r="C3034">
        <f>'0374 table 5'!E1453</f>
        <v>792897.4</v>
      </c>
      <c r="D3034">
        <f>'0374 table 5'!F1453</f>
        <v>410.92777777777775</v>
      </c>
      <c r="E3034">
        <f>'0374 table 5'!G1453</f>
        <v>4.0532523426501497</v>
      </c>
    </row>
    <row r="3035" spans="1:5" x14ac:dyDescent="0.35">
      <c r="A3035">
        <v>374</v>
      </c>
      <c r="B3035">
        <v>5</v>
      </c>
      <c r="C3035">
        <f>'0374 table 5'!E1454</f>
        <v>792897.4</v>
      </c>
      <c r="D3035">
        <f>'0374 table 5'!F1454</f>
        <v>416.48333333333335</v>
      </c>
      <c r="E3035">
        <f>'0374 table 5'!G1454</f>
        <v>3.9936308297565182</v>
      </c>
    </row>
    <row r="3036" spans="1:5" x14ac:dyDescent="0.35">
      <c r="A3036">
        <v>374</v>
      </c>
      <c r="B3036">
        <v>5</v>
      </c>
      <c r="C3036">
        <f>'0374 table 5'!E1455</f>
        <v>792897.4</v>
      </c>
      <c r="D3036">
        <f>'0374 table 5'!F1455</f>
        <v>422.03888888888889</v>
      </c>
      <c r="E3036">
        <f>'0374 table 5'!G1455</f>
        <v>3.9367051506889639</v>
      </c>
    </row>
    <row r="3037" spans="1:5" x14ac:dyDescent="0.35">
      <c r="A3037">
        <v>374</v>
      </c>
      <c r="B3037">
        <v>5</v>
      </c>
      <c r="C3037">
        <f>'0374 table 5'!E1456</f>
        <v>827371.20000000007</v>
      </c>
      <c r="D3037">
        <f>'0374 table 5'!F1456</f>
        <v>294.26111111111106</v>
      </c>
      <c r="E3037">
        <f>'0374 table 5'!G1456</f>
        <v>6.3945921190233115</v>
      </c>
    </row>
    <row r="3038" spans="1:5" x14ac:dyDescent="0.35">
      <c r="A3038">
        <v>374</v>
      </c>
      <c r="B3038">
        <v>5</v>
      </c>
      <c r="C3038">
        <f>'0374 table 5'!E1457</f>
        <v>827371.20000000007</v>
      </c>
      <c r="D3038">
        <f>'0374 table 5'!F1457</f>
        <v>299.81666666666666</v>
      </c>
      <c r="E3038">
        <f>'0374 table 5'!G1457</f>
        <v>6.2183436561154481</v>
      </c>
    </row>
    <row r="3039" spans="1:5" x14ac:dyDescent="0.35">
      <c r="A3039">
        <v>374</v>
      </c>
      <c r="B3039">
        <v>5</v>
      </c>
      <c r="C3039">
        <f>'0374 table 5'!E1458</f>
        <v>827371.20000000007</v>
      </c>
      <c r="D3039">
        <f>'0374 table 5'!F1458</f>
        <v>305.37222222222221</v>
      </c>
      <c r="E3039">
        <f>'0374 table 5'!G1458</f>
        <v>6.056125995521132</v>
      </c>
    </row>
    <row r="3040" spans="1:5" x14ac:dyDescent="0.35">
      <c r="A3040">
        <v>374</v>
      </c>
      <c r="B3040">
        <v>5</v>
      </c>
      <c r="C3040">
        <f>'0374 table 5'!E1459</f>
        <v>827371.20000000007</v>
      </c>
      <c r="D3040">
        <f>'0374 table 5'!F1459</f>
        <v>310.92777777777775</v>
      </c>
      <c r="E3040">
        <f>'0374 table 5'!G1459</f>
        <v>5.9065093134783888</v>
      </c>
    </row>
    <row r="3041" spans="1:5" x14ac:dyDescent="0.35">
      <c r="A3041">
        <v>374</v>
      </c>
      <c r="B3041">
        <v>5</v>
      </c>
      <c r="C3041">
        <f>'0374 table 5'!E1460</f>
        <v>827371.20000000007</v>
      </c>
      <c r="D3041">
        <f>'0374 table 5'!F1460</f>
        <v>316.48333333333329</v>
      </c>
      <c r="E3041">
        <f>'0374 table 5'!G1460</f>
        <v>5.7661818783849501</v>
      </c>
    </row>
    <row r="3042" spans="1:5" x14ac:dyDescent="0.35">
      <c r="A3042">
        <v>374</v>
      </c>
      <c r="B3042">
        <v>5</v>
      </c>
      <c r="C3042">
        <f>'0374 table 5'!E1461</f>
        <v>827371.20000000007</v>
      </c>
      <c r="D3042">
        <f>'0374 table 5'!F1461</f>
        <v>322.03888888888889</v>
      </c>
      <c r="E3042">
        <f>'0374 table 5'!G1461</f>
        <v>5.6363311956908495</v>
      </c>
    </row>
    <row r="3043" spans="1:5" x14ac:dyDescent="0.35">
      <c r="A3043">
        <v>374</v>
      </c>
      <c r="B3043">
        <v>5</v>
      </c>
      <c r="C3043">
        <f>'0374 table 5'!E1462</f>
        <v>827371.20000000007</v>
      </c>
      <c r="D3043">
        <f>'0374 table 5'!F1462</f>
        <v>327.59444444444443</v>
      </c>
      <c r="E3043">
        <f>'0374 table 5'!G1462</f>
        <v>5.5140975071096028</v>
      </c>
    </row>
    <row r="3044" spans="1:5" x14ac:dyDescent="0.35">
      <c r="A3044">
        <v>374</v>
      </c>
      <c r="B3044">
        <v>5</v>
      </c>
      <c r="C3044">
        <f>'0374 table 5'!E1463</f>
        <v>827371.20000000007</v>
      </c>
      <c r="D3044">
        <f>'0374 table 5'!F1463</f>
        <v>333.15</v>
      </c>
      <c r="E3044">
        <f>'0374 table 5'!G1463</f>
        <v>5.3988720115110862</v>
      </c>
    </row>
    <row r="3045" spans="1:5" x14ac:dyDescent="0.35">
      <c r="A3045">
        <v>374</v>
      </c>
      <c r="B3045">
        <v>5</v>
      </c>
      <c r="C3045">
        <f>'0374 table 5'!E1464</f>
        <v>827371.20000000007</v>
      </c>
      <c r="D3045">
        <f>'0374 table 5'!F1464</f>
        <v>338.70555555555552</v>
      </c>
      <c r="E3045">
        <f>'0374 table 5'!G1464</f>
        <v>5.2883635715263759</v>
      </c>
    </row>
    <row r="3046" spans="1:5" x14ac:dyDescent="0.35">
      <c r="A3046">
        <v>374</v>
      </c>
      <c r="B3046">
        <v>5</v>
      </c>
      <c r="C3046">
        <f>'0374 table 5'!E1465</f>
        <v>827371.20000000007</v>
      </c>
      <c r="D3046">
        <f>'0374 table 5'!F1465</f>
        <v>344.26111111111106</v>
      </c>
      <c r="E3046">
        <f>'0374 table 5'!G1465</f>
        <v>5.1856436575439924</v>
      </c>
    </row>
    <row r="3047" spans="1:5" x14ac:dyDescent="0.35">
      <c r="A3047">
        <v>374</v>
      </c>
      <c r="B3047">
        <v>5</v>
      </c>
      <c r="C3047">
        <f>'0374 table 5'!E1466</f>
        <v>827371.20000000007</v>
      </c>
      <c r="D3047">
        <f>'0374 table 5'!F1466</f>
        <v>349.81666666666666</v>
      </c>
      <c r="E3047">
        <f>'0374 table 5'!G1466</f>
        <v>5.0868381258029194</v>
      </c>
    </row>
    <row r="3048" spans="1:5" x14ac:dyDescent="0.35">
      <c r="A3048">
        <v>374</v>
      </c>
      <c r="B3048">
        <v>5</v>
      </c>
      <c r="C3048">
        <f>'0374 table 5'!E1467</f>
        <v>827371.20000000007</v>
      </c>
      <c r="D3048">
        <f>'0374 table 5'!F1467</f>
        <v>355.37222222222221</v>
      </c>
      <c r="E3048">
        <f>'0374 table 5'!G1467</f>
        <v>4.9917274098327811</v>
      </c>
    </row>
    <row r="3049" spans="1:5" x14ac:dyDescent="0.35">
      <c r="A3049">
        <v>374</v>
      </c>
      <c r="B3049">
        <v>5</v>
      </c>
      <c r="C3049">
        <f>'0374 table 5'!E1468</f>
        <v>827371.20000000007</v>
      </c>
      <c r="D3049">
        <f>'0374 table 5'!F1468</f>
        <v>360.92777777777775</v>
      </c>
      <c r="E3049">
        <f>'0374 table 5'!G1468</f>
        <v>4.9016074841350656</v>
      </c>
    </row>
    <row r="3050" spans="1:5" x14ac:dyDescent="0.35">
      <c r="A3050">
        <v>374</v>
      </c>
      <c r="B3050">
        <v>5</v>
      </c>
      <c r="C3050">
        <f>'0374 table 5'!E1469</f>
        <v>827371.20000000007</v>
      </c>
      <c r="D3050">
        <f>'0374 table 5'!F1469</f>
        <v>366.48333333333329</v>
      </c>
      <c r="E3050">
        <f>'0374 table 5'!G1469</f>
        <v>4.8161314666726982</v>
      </c>
    </row>
    <row r="3051" spans="1:5" x14ac:dyDescent="0.35">
      <c r="A3051">
        <v>374</v>
      </c>
      <c r="B3051">
        <v>5</v>
      </c>
      <c r="C3051">
        <f>'0374 table 5'!E1470</f>
        <v>827371.20000000007</v>
      </c>
      <c r="D3051">
        <f>'0374 table 5'!F1470</f>
        <v>372.03888888888889</v>
      </c>
      <c r="E3051">
        <f>'0374 table 5'!G1470</f>
        <v>4.732187077741032</v>
      </c>
    </row>
    <row r="3052" spans="1:5" x14ac:dyDescent="0.35">
      <c r="A3052">
        <v>374</v>
      </c>
      <c r="B3052">
        <v>5</v>
      </c>
      <c r="C3052">
        <f>'0374 table 5'!E1471</f>
        <v>827371.20000000007</v>
      </c>
      <c r="D3052">
        <f>'0374 table 5'!F1471</f>
        <v>377.59444444444443</v>
      </c>
      <c r="E3052">
        <f>'0374 table 5'!G1471</f>
        <v>4.6538213998121423</v>
      </c>
    </row>
    <row r="3053" spans="1:5" x14ac:dyDescent="0.35">
      <c r="A3053">
        <v>374</v>
      </c>
      <c r="B3053">
        <v>5</v>
      </c>
      <c r="C3053">
        <f>'0374 table 5'!E1472</f>
        <v>827371.20000000007</v>
      </c>
      <c r="D3053">
        <f>'0374 table 5'!F1472</f>
        <v>383.15</v>
      </c>
      <c r="E3053">
        <f>'0374 table 5'!G1472</f>
        <v>4.5767009309009694</v>
      </c>
    </row>
    <row r="3054" spans="1:5" x14ac:dyDescent="0.35">
      <c r="A3054">
        <v>374</v>
      </c>
      <c r="B3054">
        <v>5</v>
      </c>
      <c r="C3054">
        <f>'0374 table 5'!E1473</f>
        <v>827371.20000000007</v>
      </c>
      <c r="D3054">
        <f>'0374 table 5'!F1473</f>
        <v>388.70555555555552</v>
      </c>
      <c r="E3054">
        <f>'0374 table 5'!G1473</f>
        <v>4.5033604886571252</v>
      </c>
    </row>
    <row r="3055" spans="1:5" x14ac:dyDescent="0.35">
      <c r="A3055">
        <v>374</v>
      </c>
      <c r="B3055">
        <v>5</v>
      </c>
      <c r="C3055">
        <f>'0374 table 5'!E1474</f>
        <v>827371.20000000007</v>
      </c>
      <c r="D3055">
        <f>'0374 table 5'!F1474</f>
        <v>394.26111111111106</v>
      </c>
      <c r="E3055">
        <f>'0374 table 5'!G1474</f>
        <v>4.4323334969987256</v>
      </c>
    </row>
    <row r="3056" spans="1:5" x14ac:dyDescent="0.35">
      <c r="A3056">
        <v>374</v>
      </c>
      <c r="B3056">
        <v>5</v>
      </c>
      <c r="C3056">
        <f>'0374 table 5'!E1475</f>
        <v>827371.20000000007</v>
      </c>
      <c r="D3056">
        <f>'0374 table 5'!F1475</f>
        <v>399.81666666666666</v>
      </c>
      <c r="E3056">
        <f>'0374 table 5'!G1475</f>
        <v>4.3635121923599547</v>
      </c>
    </row>
    <row r="3057" spans="1:5" x14ac:dyDescent="0.35">
      <c r="A3057">
        <v>374</v>
      </c>
      <c r="B3057">
        <v>5</v>
      </c>
      <c r="C3057">
        <f>'0374 table 5'!E1476</f>
        <v>827371.20000000007</v>
      </c>
      <c r="D3057">
        <f>'0374 table 5'!F1476</f>
        <v>405.37222222222221</v>
      </c>
      <c r="E3057">
        <f>'0374 table 5'!G1476</f>
        <v>4.2979482849888369</v>
      </c>
    </row>
    <row r="3058" spans="1:5" x14ac:dyDescent="0.35">
      <c r="A3058">
        <v>374</v>
      </c>
      <c r="B3058">
        <v>5</v>
      </c>
      <c r="C3058">
        <f>'0374 table 5'!E1477</f>
        <v>827371.20000000007</v>
      </c>
      <c r="D3058">
        <f>'0374 table 5'!F1477</f>
        <v>410.92777777777775</v>
      </c>
      <c r="E3058">
        <f>'0374 table 5'!G1477</f>
        <v>4.2343254713596075</v>
      </c>
    </row>
    <row r="3059" spans="1:5" x14ac:dyDescent="0.35">
      <c r="A3059">
        <v>374</v>
      </c>
      <c r="B3059">
        <v>5</v>
      </c>
      <c r="C3059">
        <f>'0374 table 5'!E1478</f>
        <v>827371.20000000007</v>
      </c>
      <c r="D3059">
        <f>'0374 table 5'!F1478</f>
        <v>416.48333333333335</v>
      </c>
      <c r="E3059">
        <f>'0374 table 5'!G1478</f>
        <v>4.1725588064999721</v>
      </c>
    </row>
    <row r="3060" spans="1:5" x14ac:dyDescent="0.35">
      <c r="A3060">
        <v>374</v>
      </c>
      <c r="B3060">
        <v>5</v>
      </c>
      <c r="C3060">
        <f>'0374 table 5'!E1479</f>
        <v>827371.20000000007</v>
      </c>
      <c r="D3060">
        <f>'0374 table 5'!F1479</f>
        <v>422.03888888888889</v>
      </c>
      <c r="E3060">
        <f>'0374 table 5'!G1479</f>
        <v>4.1125682305913722</v>
      </c>
    </row>
    <row r="3061" spans="1:5" x14ac:dyDescent="0.35">
      <c r="A3061">
        <v>374</v>
      </c>
      <c r="B3061">
        <v>5</v>
      </c>
      <c r="C3061">
        <f>'0374 table 5'!E1480</f>
        <v>861845</v>
      </c>
      <c r="D3061">
        <f>'0374 table 5'!F1480</f>
        <v>294.26111111111106</v>
      </c>
      <c r="E3061">
        <f>'0374 table 5'!G1480</f>
        <v>6.6966777835089433</v>
      </c>
    </row>
    <row r="3062" spans="1:5" x14ac:dyDescent="0.35">
      <c r="A3062">
        <v>374</v>
      </c>
      <c r="B3062">
        <v>5</v>
      </c>
      <c r="C3062">
        <f>'0374 table 5'!E1481</f>
        <v>861845</v>
      </c>
      <c r="D3062">
        <f>'0374 table 5'!F1481</f>
        <v>299.81666666666666</v>
      </c>
      <c r="E3062">
        <f>'0374 table 5'!G1481</f>
        <v>6.5089204624759827</v>
      </c>
    </row>
    <row r="3063" spans="1:5" x14ac:dyDescent="0.35">
      <c r="A3063">
        <v>374</v>
      </c>
      <c r="B3063">
        <v>5</v>
      </c>
      <c r="C3063">
        <f>'0374 table 5'!E1482</f>
        <v>861845</v>
      </c>
      <c r="D3063">
        <f>'0374 table 5'!F1482</f>
        <v>305.37222222222221</v>
      </c>
      <c r="E3063">
        <f>'0374 table 5'!G1482</f>
        <v>6.3364134723708041</v>
      </c>
    </row>
    <row r="3064" spans="1:5" x14ac:dyDescent="0.35">
      <c r="A3064">
        <v>374</v>
      </c>
      <c r="B3064">
        <v>5</v>
      </c>
      <c r="C3064">
        <f>'0374 table 5'!E1483</f>
        <v>861845</v>
      </c>
      <c r="D3064">
        <f>'0374 table 5'!F1483</f>
        <v>310.92777777777775</v>
      </c>
      <c r="E3064">
        <f>'0374 table 5'!G1483</f>
        <v>6.1775754948528325</v>
      </c>
    </row>
    <row r="3065" spans="1:5" x14ac:dyDescent="0.35">
      <c r="A3065">
        <v>374</v>
      </c>
      <c r="B3065">
        <v>5</v>
      </c>
      <c r="C3065">
        <f>'0374 table 5'!E1484</f>
        <v>861845</v>
      </c>
      <c r="D3065">
        <f>'0374 table 5'!F1484</f>
        <v>316.48333333333329</v>
      </c>
      <c r="E3065">
        <f>'0374 table 5'!G1484</f>
        <v>6.0287742785673286</v>
      </c>
    </row>
    <row r="3066" spans="1:5" x14ac:dyDescent="0.35">
      <c r="A3066">
        <v>374</v>
      </c>
      <c r="B3066">
        <v>5</v>
      </c>
      <c r="C3066">
        <f>'0374 table 5'!E1485</f>
        <v>861845</v>
      </c>
      <c r="D3066">
        <f>'0374 table 5'!F1485</f>
        <v>322.03888888888889</v>
      </c>
      <c r="E3066">
        <f>'0374 table 5'!G1485</f>
        <v>5.8913031475371076</v>
      </c>
    </row>
    <row r="3067" spans="1:5" x14ac:dyDescent="0.35">
      <c r="A3067">
        <v>374</v>
      </c>
      <c r="B3067">
        <v>5</v>
      </c>
      <c r="C3067">
        <f>'0374 table 5'!E1486</f>
        <v>861845</v>
      </c>
      <c r="D3067">
        <f>'0374 table 5'!F1486</f>
        <v>327.59444444444443</v>
      </c>
      <c r="E3067">
        <f>'0374 table 5'!G1486</f>
        <v>5.7620335460983432</v>
      </c>
    </row>
    <row r="3068" spans="1:5" x14ac:dyDescent="0.35">
      <c r="A3068">
        <v>374</v>
      </c>
      <c r="B3068">
        <v>5</v>
      </c>
      <c r="C3068">
        <f>'0374 table 5'!E1487</f>
        <v>861845</v>
      </c>
      <c r="D3068">
        <f>'0374 table 5'!F1487</f>
        <v>333.15</v>
      </c>
      <c r="E3068">
        <f>'0374 table 5'!G1487</f>
        <v>5.6403004430117587</v>
      </c>
    </row>
    <row r="3069" spans="1:5" x14ac:dyDescent="0.35">
      <c r="A3069">
        <v>374</v>
      </c>
      <c r="B3069">
        <v>5</v>
      </c>
      <c r="C3069">
        <f>'0374 table 5'!E1488</f>
        <v>861845</v>
      </c>
      <c r="D3069">
        <f>'0374 table 5'!F1488</f>
        <v>338.70555555555552</v>
      </c>
      <c r="E3069">
        <f>'0374 table 5'!G1488</f>
        <v>5.5236045717770326</v>
      </c>
    </row>
    <row r="3070" spans="1:5" x14ac:dyDescent="0.35">
      <c r="A3070">
        <v>374</v>
      </c>
      <c r="B3070">
        <v>5</v>
      </c>
      <c r="C3070">
        <f>'0374 table 5'!E1489</f>
        <v>861845</v>
      </c>
      <c r="D3070">
        <f>'0374 table 5'!F1489</f>
        <v>344.26111111111106</v>
      </c>
      <c r="E3070">
        <f>'0374 table 5'!G1489</f>
        <v>5.415298599781404</v>
      </c>
    </row>
    <row r="3071" spans="1:5" x14ac:dyDescent="0.35">
      <c r="A3071">
        <v>374</v>
      </c>
      <c r="B3071">
        <v>5</v>
      </c>
      <c r="C3071">
        <f>'0374 table 5'!E1490</f>
        <v>861845</v>
      </c>
      <c r="D3071">
        <f>'0374 table 5'!F1490</f>
        <v>349.81666666666666</v>
      </c>
      <c r="E3071">
        <f>'0374 table 5'!G1490</f>
        <v>5.3111582420932999</v>
      </c>
    </row>
    <row r="3072" spans="1:5" x14ac:dyDescent="0.35">
      <c r="A3072">
        <v>374</v>
      </c>
      <c r="B3072">
        <v>5</v>
      </c>
      <c r="C3072">
        <f>'0374 table 5'!E1491</f>
        <v>861845</v>
      </c>
      <c r="D3072">
        <f>'0374 table 5'!F1491</f>
        <v>355.37222222222221</v>
      </c>
      <c r="E3072">
        <f>'0374 table 5'!G1491</f>
        <v>5.2109477092236158</v>
      </c>
    </row>
    <row r="3073" spans="1:5" x14ac:dyDescent="0.35">
      <c r="A3073">
        <v>374</v>
      </c>
      <c r="B3073">
        <v>5</v>
      </c>
      <c r="C3073">
        <f>'0374 table 5'!E1492</f>
        <v>861845</v>
      </c>
      <c r="D3073">
        <f>'0374 table 5'!F1492</f>
        <v>360.92777777777775</v>
      </c>
      <c r="E3073">
        <f>'0374 table 5'!G1492</f>
        <v>5.1160821648525694</v>
      </c>
    </row>
    <row r="3074" spans="1:5" x14ac:dyDescent="0.35">
      <c r="A3074">
        <v>374</v>
      </c>
      <c r="B3074">
        <v>5</v>
      </c>
      <c r="C3074">
        <f>'0374 table 5'!E1493</f>
        <v>861845</v>
      </c>
      <c r="D3074">
        <f>'0374 table 5'!F1493</f>
        <v>366.48333333333329</v>
      </c>
      <c r="E3074">
        <f>'0374 table 5'!G1493</f>
        <v>5.0261855218554734</v>
      </c>
    </row>
    <row r="3075" spans="1:5" x14ac:dyDescent="0.35">
      <c r="A3075">
        <v>374</v>
      </c>
      <c r="B3075">
        <v>5</v>
      </c>
      <c r="C3075">
        <f>'0374 table 5'!E1494</f>
        <v>861845</v>
      </c>
      <c r="D3075">
        <f>'0374 table 5'!F1494</f>
        <v>372.03888888888889</v>
      </c>
      <c r="E3075">
        <f>'0374 table 5'!G1494</f>
        <v>4.9393935424463127</v>
      </c>
    </row>
    <row r="3076" spans="1:5" x14ac:dyDescent="0.35">
      <c r="A3076">
        <v>374</v>
      </c>
      <c r="B3076">
        <v>5</v>
      </c>
      <c r="C3076">
        <f>'0374 table 5'!E1495</f>
        <v>861845</v>
      </c>
      <c r="D3076">
        <f>'0374 table 5'!F1495</f>
        <v>377.59444444444443</v>
      </c>
      <c r="E3076">
        <f>'0374 table 5'!G1495</f>
        <v>4.8555481231140938</v>
      </c>
    </row>
    <row r="3077" spans="1:5" x14ac:dyDescent="0.35">
      <c r="A3077">
        <v>374</v>
      </c>
      <c r="B3077">
        <v>5</v>
      </c>
      <c r="C3077">
        <f>'0374 table 5'!E1496</f>
        <v>861845</v>
      </c>
      <c r="D3077">
        <f>'0374 table 5'!F1496</f>
        <v>383.15</v>
      </c>
      <c r="E3077">
        <f>'0374 table 5'!G1496</f>
        <v>4.7759252409521151</v>
      </c>
    </row>
    <row r="3078" spans="1:5" x14ac:dyDescent="0.35">
      <c r="A3078">
        <v>374</v>
      </c>
      <c r="B3078">
        <v>5</v>
      </c>
      <c r="C3078">
        <f>'0374 table 5'!E1497</f>
        <v>861845</v>
      </c>
      <c r="D3078">
        <f>'0374 table 5'!F1497</f>
        <v>388.70555555555552</v>
      </c>
      <c r="E3078">
        <f>'0374 table 5'!G1497</f>
        <v>4.6988715923007902</v>
      </c>
    </row>
    <row r="3079" spans="1:5" x14ac:dyDescent="0.35">
      <c r="A3079">
        <v>374</v>
      </c>
      <c r="B3079">
        <v>5</v>
      </c>
      <c r="C3079">
        <f>'0374 table 5'!E1498</f>
        <v>861845</v>
      </c>
      <c r="D3079">
        <f>'0374 table 5'!F1498</f>
        <v>394.26111111111106</v>
      </c>
      <c r="E3079">
        <f>'0374 table 5'!G1498</f>
        <v>4.6242647973883928</v>
      </c>
    </row>
    <row r="3080" spans="1:5" x14ac:dyDescent="0.35">
      <c r="A3080">
        <v>374</v>
      </c>
      <c r="B3080">
        <v>5</v>
      </c>
      <c r="C3080">
        <f>'0374 table 5'!E1499</f>
        <v>861845</v>
      </c>
      <c r="D3080">
        <f>'0374 table 5'!F1499</f>
        <v>399.81666666666666</v>
      </c>
      <c r="E3080">
        <f>'0374 table 5'!G1499</f>
        <v>4.5519901273524841</v>
      </c>
    </row>
    <row r="3081" spans="1:5" x14ac:dyDescent="0.35">
      <c r="A3081">
        <v>374</v>
      </c>
      <c r="B3081">
        <v>5</v>
      </c>
      <c r="C3081">
        <f>'0374 table 5'!E1500</f>
        <v>861845</v>
      </c>
      <c r="D3081">
        <f>'0374 table 5'!F1500</f>
        <v>405.37222222222221</v>
      </c>
      <c r="E3081">
        <f>'0374 table 5'!G1500</f>
        <v>4.4831943067879632</v>
      </c>
    </row>
    <row r="3082" spans="1:5" x14ac:dyDescent="0.35">
      <c r="A3082">
        <v>374</v>
      </c>
      <c r="B3082">
        <v>5</v>
      </c>
      <c r="C3082">
        <f>'0374 table 5'!E1501</f>
        <v>861845</v>
      </c>
      <c r="D3082">
        <f>'0374 table 5'!F1501</f>
        <v>410.92777777777775</v>
      </c>
      <c r="E3082">
        <f>'0374 table 5'!G1501</f>
        <v>4.4164469970094826</v>
      </c>
    </row>
    <row r="3083" spans="1:5" x14ac:dyDescent="0.35">
      <c r="A3083">
        <v>374</v>
      </c>
      <c r="B3083">
        <v>5</v>
      </c>
      <c r="C3083">
        <f>'0374 table 5'!E1502</f>
        <v>861845</v>
      </c>
      <c r="D3083">
        <f>'0374 table 5'!F1502</f>
        <v>416.48333333333335</v>
      </c>
      <c r="E3083">
        <f>'0374 table 5'!G1502</f>
        <v>4.3516580435081211</v>
      </c>
    </row>
    <row r="3084" spans="1:5" x14ac:dyDescent="0.35">
      <c r="A3084">
        <v>374</v>
      </c>
      <c r="B3084">
        <v>5</v>
      </c>
      <c r="C3084">
        <f>'0374 table 5'!E1503</f>
        <v>861845</v>
      </c>
      <c r="D3084">
        <f>'0374 table 5'!F1503</f>
        <v>422.03888888888889</v>
      </c>
      <c r="E3084">
        <f>'0374 table 5'!G1503</f>
        <v>4.2887425055296902</v>
      </c>
    </row>
    <row r="3085" spans="1:5" x14ac:dyDescent="0.35">
      <c r="A3085">
        <v>374</v>
      </c>
      <c r="B3085">
        <v>5</v>
      </c>
      <c r="C3085">
        <f>'0374 table 5'!E1504</f>
        <v>861845</v>
      </c>
      <c r="D3085">
        <f>'0374 table 5'!F1504</f>
        <v>433.15</v>
      </c>
      <c r="E3085">
        <f>'0374 table 5'!G1504</f>
        <v>4.1693006918670985</v>
      </c>
    </row>
    <row r="3086" spans="1:5" x14ac:dyDescent="0.35">
      <c r="A3086">
        <v>374</v>
      </c>
      <c r="B3086">
        <v>5</v>
      </c>
      <c r="C3086">
        <f>'0374 table 5'!E1505</f>
        <v>896318.8</v>
      </c>
      <c r="D3086">
        <f>'0374 table 5'!F1505</f>
        <v>299.81666666666666</v>
      </c>
      <c r="E3086">
        <f>'0374 table 5'!G1505</f>
        <v>6.8018909801075988</v>
      </c>
    </row>
    <row r="3087" spans="1:5" x14ac:dyDescent="0.35">
      <c r="A3087">
        <v>374</v>
      </c>
      <c r="B3087">
        <v>5</v>
      </c>
      <c r="C3087">
        <f>'0374 table 5'!E1506</f>
        <v>896318.8</v>
      </c>
      <c r="D3087">
        <f>'0374 table 5'!F1506</f>
        <v>305.37222222222221</v>
      </c>
      <c r="E3087">
        <f>'0374 table 5'!G1506</f>
        <v>6.6164614862261031</v>
      </c>
    </row>
    <row r="3088" spans="1:5" x14ac:dyDescent="0.35">
      <c r="A3088">
        <v>374</v>
      </c>
      <c r="B3088">
        <v>5</v>
      </c>
      <c r="C3088">
        <f>'0374 table 5'!E1507</f>
        <v>896318.8</v>
      </c>
      <c r="D3088">
        <f>'0374 table 5'!F1507</f>
        <v>310.92777777777775</v>
      </c>
      <c r="E3088">
        <f>'0374 table 5'!G1507</f>
        <v>6.4486526804160205</v>
      </c>
    </row>
    <row r="3089" spans="1:5" x14ac:dyDescent="0.35">
      <c r="A3089">
        <v>374</v>
      </c>
      <c r="B3089">
        <v>5</v>
      </c>
      <c r="C3089">
        <f>'0374 table 5'!E1508</f>
        <v>896318.8</v>
      </c>
      <c r="D3089">
        <f>'0374 table 5'!F1508</f>
        <v>316.48333333333329</v>
      </c>
      <c r="E3089">
        <f>'0374 table 5'!G1508</f>
        <v>6.2916155766509805</v>
      </c>
    </row>
    <row r="3090" spans="1:5" x14ac:dyDescent="0.35">
      <c r="A3090">
        <v>374</v>
      </c>
      <c r="B3090">
        <v>5</v>
      </c>
      <c r="C3090">
        <f>'0374 table 5'!E1509</f>
        <v>896318.8</v>
      </c>
      <c r="D3090">
        <f>'0374 table 5'!F1509</f>
        <v>322.03888888888889</v>
      </c>
      <c r="E3090">
        <f>'0374 table 5'!G1509</f>
        <v>6.1467587329828826</v>
      </c>
    </row>
    <row r="3091" spans="1:5" x14ac:dyDescent="0.35">
      <c r="A3091">
        <v>374</v>
      </c>
      <c r="B3091">
        <v>5</v>
      </c>
      <c r="C3091">
        <f>'0374 table 5'!E1510</f>
        <v>896318.8</v>
      </c>
      <c r="D3091">
        <f>'0374 table 5'!F1510</f>
        <v>327.59444444444443</v>
      </c>
      <c r="E3091">
        <f>'0374 table 5'!G1510</f>
        <v>6.0106766447104665</v>
      </c>
    </row>
    <row r="3092" spans="1:5" x14ac:dyDescent="0.35">
      <c r="A3092">
        <v>374</v>
      </c>
      <c r="B3092">
        <v>5</v>
      </c>
      <c r="C3092">
        <f>'0374 table 5'!E1511</f>
        <v>896318.8</v>
      </c>
      <c r="D3092">
        <f>'0374 table 5'!F1511</f>
        <v>333.15</v>
      </c>
      <c r="E3092">
        <f>'0374 table 5'!G1511</f>
        <v>5.8804894486613044</v>
      </c>
    </row>
    <row r="3093" spans="1:5" x14ac:dyDescent="0.35">
      <c r="A3093">
        <v>374</v>
      </c>
      <c r="B3093">
        <v>5</v>
      </c>
      <c r="C3093">
        <f>'0374 table 5'!E1512</f>
        <v>896318.8</v>
      </c>
      <c r="D3093">
        <f>'0374 table 5'!F1512</f>
        <v>338.70555555555552</v>
      </c>
      <c r="E3093">
        <f>'0374 table 5'!G1512</f>
        <v>5.7599616174589681</v>
      </c>
    </row>
    <row r="3094" spans="1:5" x14ac:dyDescent="0.35">
      <c r="A3094">
        <v>374</v>
      </c>
      <c r="B3094">
        <v>5</v>
      </c>
      <c r="C3094">
        <f>'0374 table 5'!E1513</f>
        <v>896318.8</v>
      </c>
      <c r="D3094">
        <f>'0374 table 5'!F1513</f>
        <v>344.26111111111106</v>
      </c>
      <c r="E3094">
        <f>'0374 table 5'!G1513</f>
        <v>5.6442752847615898</v>
      </c>
    </row>
    <row r="3095" spans="1:5" x14ac:dyDescent="0.35">
      <c r="A3095">
        <v>374</v>
      </c>
      <c r="B3095">
        <v>5</v>
      </c>
      <c r="C3095">
        <f>'0374 table 5'!E1514</f>
        <v>896318.8</v>
      </c>
      <c r="D3095">
        <f>'0374 table 5'!F1514</f>
        <v>349.81666666666666</v>
      </c>
      <c r="E3095">
        <f>'0374 table 5'!G1514</f>
        <v>5.5350564126307509</v>
      </c>
    </row>
    <row r="3096" spans="1:5" x14ac:dyDescent="0.35">
      <c r="A3096">
        <v>374</v>
      </c>
      <c r="B3096">
        <v>5</v>
      </c>
      <c r="C3096">
        <f>'0374 table 5'!E1515</f>
        <v>896318.8</v>
      </c>
      <c r="D3096">
        <f>'0374 table 5'!F1515</f>
        <v>355.37222222222221</v>
      </c>
      <c r="E3096">
        <f>'0374 table 5'!G1515</f>
        <v>5.4318254520696492</v>
      </c>
    </row>
    <row r="3097" spans="1:5" x14ac:dyDescent="0.35">
      <c r="A3097">
        <v>374</v>
      </c>
      <c r="B3097">
        <v>5</v>
      </c>
      <c r="C3097">
        <f>'0374 table 5'!E1516</f>
        <v>896318.8</v>
      </c>
      <c r="D3097">
        <f>'0374 table 5'!F1516</f>
        <v>360.92777777777775</v>
      </c>
      <c r="E3097">
        <f>'0374 table 5'!G1516</f>
        <v>5.3323745866023282</v>
      </c>
    </row>
    <row r="3098" spans="1:5" x14ac:dyDescent="0.35">
      <c r="A3098">
        <v>374</v>
      </c>
      <c r="B3098">
        <v>5</v>
      </c>
      <c r="C3098">
        <f>'0374 table 5'!E1517</f>
        <v>896318.8</v>
      </c>
      <c r="D3098">
        <f>'0374 table 5'!F1517</f>
        <v>366.48333333333329</v>
      </c>
      <c r="E3098">
        <f>'0374 table 5'!G1517</f>
        <v>5.2364999209393241</v>
      </c>
    </row>
    <row r="3099" spans="1:5" x14ac:dyDescent="0.35">
      <c r="A3099">
        <v>374</v>
      </c>
      <c r="B3099">
        <v>5</v>
      </c>
      <c r="C3099">
        <f>'0374 table 5'!E1518</f>
        <v>896318.8</v>
      </c>
      <c r="D3099">
        <f>'0374 table 5'!F1518</f>
        <v>372.03888888888889</v>
      </c>
      <c r="E3099">
        <f>'0374 table 5'!G1518</f>
        <v>5.1456643938815914</v>
      </c>
    </row>
    <row r="3100" spans="1:5" x14ac:dyDescent="0.35">
      <c r="A3100">
        <v>374</v>
      </c>
      <c r="B3100">
        <v>5</v>
      </c>
      <c r="C3100">
        <f>'0374 table 5'!E1519</f>
        <v>896318.8</v>
      </c>
      <c r="D3100">
        <f>'0374 table 5'!F1519</f>
        <v>377.59444444444443</v>
      </c>
      <c r="E3100">
        <f>'0374 table 5'!G1519</f>
        <v>5.0579265103105131</v>
      </c>
    </row>
    <row r="3101" spans="1:5" x14ac:dyDescent="0.35">
      <c r="A3101">
        <v>374</v>
      </c>
      <c r="B3101">
        <v>5</v>
      </c>
      <c r="C3101">
        <f>'0374 table 5'!E1520</f>
        <v>896318.8</v>
      </c>
      <c r="D3101">
        <f>'0374 table 5'!F1520</f>
        <v>383.15</v>
      </c>
      <c r="E3101">
        <f>'0374 table 5'!G1520</f>
        <v>4.9746749248923576</v>
      </c>
    </row>
    <row r="3102" spans="1:5" x14ac:dyDescent="0.35">
      <c r="A3102">
        <v>374</v>
      </c>
      <c r="B3102">
        <v>5</v>
      </c>
      <c r="C3102">
        <f>'0374 table 5'!E1521</f>
        <v>896318.8</v>
      </c>
      <c r="D3102">
        <f>'0374 table 5'!F1521</f>
        <v>388.70555555555552</v>
      </c>
      <c r="E3102">
        <f>'0374 table 5'!G1521</f>
        <v>4.8941195411406637</v>
      </c>
    </row>
    <row r="3103" spans="1:5" x14ac:dyDescent="0.35">
      <c r="A3103">
        <v>374</v>
      </c>
      <c r="B3103">
        <v>5</v>
      </c>
      <c r="C3103">
        <f>'0374 table 5'!E1522</f>
        <v>896318.8</v>
      </c>
      <c r="D3103">
        <f>'0374 table 5'!F1522</f>
        <v>394.26111111111106</v>
      </c>
      <c r="E3103">
        <f>'0374 table 5'!G1522</f>
        <v>4.8161314666726982</v>
      </c>
    </row>
    <row r="3104" spans="1:5" x14ac:dyDescent="0.35">
      <c r="A3104">
        <v>374</v>
      </c>
      <c r="B3104">
        <v>5</v>
      </c>
      <c r="C3104">
        <f>'0374 table 5'!E1523</f>
        <v>896318.8</v>
      </c>
      <c r="D3104">
        <f>'0374 table 5'!F1523</f>
        <v>399.81666666666666</v>
      </c>
      <c r="E3104">
        <f>'0374 table 5'!G1523</f>
        <v>4.7405898958725636</v>
      </c>
    </row>
    <row r="3105" spans="1:5" x14ac:dyDescent="0.35">
      <c r="A3105">
        <v>374</v>
      </c>
      <c r="B3105">
        <v>5</v>
      </c>
      <c r="C3105">
        <f>'0374 table 5'!E1524</f>
        <v>896318.8</v>
      </c>
      <c r="D3105">
        <f>'0374 table 5'!F1524</f>
        <v>405.37222222222221</v>
      </c>
      <c r="E3105">
        <f>'0374 table 5'!G1524</f>
        <v>4.668741841490351</v>
      </c>
    </row>
    <row r="3106" spans="1:5" x14ac:dyDescent="0.35">
      <c r="A3106">
        <v>374</v>
      </c>
      <c r="B3106">
        <v>5</v>
      </c>
      <c r="C3106">
        <f>'0374 table 5'!E1525</f>
        <v>896318.8</v>
      </c>
      <c r="D3106">
        <f>'0374 table 5'!F1525</f>
        <v>410.92777777777775</v>
      </c>
      <c r="E3106">
        <f>'0374 table 5'!G1525</f>
        <v>4.5990391209168511</v>
      </c>
    </row>
    <row r="3107" spans="1:5" x14ac:dyDescent="0.35">
      <c r="A3107">
        <v>374</v>
      </c>
      <c r="B3107">
        <v>5</v>
      </c>
      <c r="C3107">
        <f>'0374 table 5'!E1526</f>
        <v>896318.8</v>
      </c>
      <c r="D3107">
        <f>'0374 table 5'!F1526</f>
        <v>416.48333333333335</v>
      </c>
      <c r="E3107">
        <f>'0374 table 5'!G1526</f>
        <v>4.5313870602979893</v>
      </c>
    </row>
    <row r="3108" spans="1:5" x14ac:dyDescent="0.35">
      <c r="A3108">
        <v>374</v>
      </c>
      <c r="B3108">
        <v>5</v>
      </c>
      <c r="C3108">
        <f>'0374 table 5'!E1527</f>
        <v>896318.8</v>
      </c>
      <c r="D3108">
        <f>'0374 table 5'!F1527</f>
        <v>422.03888888888889</v>
      </c>
      <c r="E3108">
        <f>'0374 table 5'!G1527</f>
        <v>4.4656964756491195</v>
      </c>
    </row>
    <row r="3109" spans="1:5" x14ac:dyDescent="0.35">
      <c r="A3109">
        <v>374</v>
      </c>
      <c r="B3109">
        <v>5</v>
      </c>
      <c r="C3109">
        <f>'0374 table 5'!E1528</f>
        <v>896318.8</v>
      </c>
      <c r="D3109">
        <f>'0374 table 5'!F1528</f>
        <v>433.15</v>
      </c>
      <c r="E3109">
        <f>'0374 table 5'!G1528</f>
        <v>4.3410442434020036</v>
      </c>
    </row>
    <row r="3110" spans="1:5" x14ac:dyDescent="0.35">
      <c r="A3110">
        <v>374</v>
      </c>
      <c r="B3110">
        <v>5</v>
      </c>
      <c r="C3110">
        <f>'0374 table 5'!E1529</f>
        <v>930792.6</v>
      </c>
      <c r="D3110">
        <f>'0374 table 5'!F1529</f>
        <v>299.81666666666666</v>
      </c>
      <c r="E3110">
        <f>'0374 table 5'!G1529</f>
        <v>7.0972322809718174</v>
      </c>
    </row>
    <row r="3111" spans="1:5" x14ac:dyDescent="0.35">
      <c r="A3111">
        <v>374</v>
      </c>
      <c r="B3111">
        <v>5</v>
      </c>
      <c r="C3111">
        <f>'0374 table 5'!E1530</f>
        <v>930792.6</v>
      </c>
      <c r="D3111">
        <f>'0374 table 5'!F1530</f>
        <v>305.37222222222221</v>
      </c>
      <c r="E3111">
        <f>'0374 table 5'!G1530</f>
        <v>6.9015309169122752</v>
      </c>
    </row>
    <row r="3112" spans="1:5" x14ac:dyDescent="0.35">
      <c r="A3112">
        <v>374</v>
      </c>
      <c r="B3112">
        <v>5</v>
      </c>
      <c r="C3112">
        <f>'0374 table 5'!E1531</f>
        <v>930792.6</v>
      </c>
      <c r="D3112">
        <f>'0374 table 5'!F1531</f>
        <v>310.92777777777775</v>
      </c>
      <c r="E3112">
        <f>'0374 table 5'!G1531</f>
        <v>6.7247914601819456</v>
      </c>
    </row>
    <row r="3113" spans="1:5" x14ac:dyDescent="0.35">
      <c r="A3113">
        <v>374</v>
      </c>
      <c r="B3113">
        <v>5</v>
      </c>
      <c r="C3113">
        <f>'0374 table 5'!E1532</f>
        <v>930792.6</v>
      </c>
      <c r="D3113">
        <f>'0374 table 5'!F1532</f>
        <v>316.48333333333329</v>
      </c>
      <c r="E3113">
        <f>'0374 table 5'!G1532</f>
        <v>6.5595631687769833</v>
      </c>
    </row>
    <row r="3114" spans="1:5" x14ac:dyDescent="0.35">
      <c r="A3114">
        <v>374</v>
      </c>
      <c r="B3114">
        <v>5</v>
      </c>
      <c r="C3114">
        <f>'0374 table 5'!E1533</f>
        <v>930792.6</v>
      </c>
      <c r="D3114">
        <f>'0374 table 5'!F1533</f>
        <v>322.03888888888889</v>
      </c>
      <c r="E3114">
        <f>'0374 table 5'!G1533</f>
        <v>6.4048193755111527</v>
      </c>
    </row>
    <row r="3115" spans="1:5" x14ac:dyDescent="0.35">
      <c r="A3115">
        <v>374</v>
      </c>
      <c r="B3115">
        <v>5</v>
      </c>
      <c r="C3115">
        <f>'0374 table 5'!E1534</f>
        <v>930792.6</v>
      </c>
      <c r="D3115">
        <f>'0374 table 5'!F1534</f>
        <v>327.59444444444443</v>
      </c>
      <c r="E3115">
        <f>'0374 table 5'!G1534</f>
        <v>6.2596534811072262</v>
      </c>
    </row>
    <row r="3116" spans="1:5" x14ac:dyDescent="0.35">
      <c r="A3116">
        <v>374</v>
      </c>
      <c r="B3116">
        <v>5</v>
      </c>
      <c r="C3116">
        <f>'0374 table 5'!E1535</f>
        <v>930792.6</v>
      </c>
      <c r="D3116">
        <f>'0374 table 5'!F1535</f>
        <v>333.15</v>
      </c>
      <c r="E3116">
        <f>'0374 table 5'!G1535</f>
        <v>6.1256035404028273</v>
      </c>
    </row>
    <row r="3117" spans="1:5" x14ac:dyDescent="0.35">
      <c r="A3117">
        <v>374</v>
      </c>
      <c r="B3117">
        <v>5</v>
      </c>
      <c r="C3117">
        <f>'0374 table 5'!E1536</f>
        <v>930792.6</v>
      </c>
      <c r="D3117">
        <f>'0374 table 5'!F1536</f>
        <v>338.70555555555552</v>
      </c>
      <c r="E3117">
        <f>'0374 table 5'!G1536</f>
        <v>5.9971745631424165</v>
      </c>
    </row>
    <row r="3118" spans="1:5" x14ac:dyDescent="0.35">
      <c r="A3118">
        <v>374</v>
      </c>
      <c r="B3118">
        <v>5</v>
      </c>
      <c r="C3118">
        <f>'0374 table 5'!E1537</f>
        <v>930792.6</v>
      </c>
      <c r="D3118">
        <f>'0374 table 5'!F1537</f>
        <v>344.26111111111106</v>
      </c>
      <c r="E3118">
        <f>'0374 table 5'!G1537</f>
        <v>5.8761750763585443</v>
      </c>
    </row>
    <row r="3119" spans="1:5" x14ac:dyDescent="0.35">
      <c r="A3119">
        <v>374</v>
      </c>
      <c r="B3119">
        <v>5</v>
      </c>
      <c r="C3119">
        <f>'0374 table 5'!E1538</f>
        <v>930792.6</v>
      </c>
      <c r="D3119">
        <f>'0374 table 5'!F1538</f>
        <v>349.81666666666666</v>
      </c>
      <c r="E3119">
        <f>'0374 table 5'!G1538</f>
        <v>5.7620335460983432</v>
      </c>
    </row>
    <row r="3120" spans="1:5" x14ac:dyDescent="0.35">
      <c r="A3120">
        <v>374</v>
      </c>
      <c r="B3120">
        <v>5</v>
      </c>
      <c r="C3120">
        <f>'0374 table 5'!E1539</f>
        <v>930792.6</v>
      </c>
      <c r="D3120">
        <f>'0374 table 5'!F1539</f>
        <v>355.37222222222221</v>
      </c>
      <c r="E3120">
        <f>'0374 table 5'!G1539</f>
        <v>5.6522417989249805</v>
      </c>
    </row>
    <row r="3121" spans="1:5" x14ac:dyDescent="0.35">
      <c r="A3121">
        <v>374</v>
      </c>
      <c r="B3121">
        <v>5</v>
      </c>
      <c r="C3121">
        <f>'0374 table 5'!E1540</f>
        <v>930792.6</v>
      </c>
      <c r="D3121">
        <f>'0374 table 5'!F1540</f>
        <v>360.92777777777775</v>
      </c>
      <c r="E3121">
        <f>'0374 table 5'!G1540</f>
        <v>5.5484770551276039</v>
      </c>
    </row>
    <row r="3122" spans="1:5" x14ac:dyDescent="0.35">
      <c r="A3122">
        <v>374</v>
      </c>
      <c r="B3122">
        <v>5</v>
      </c>
      <c r="C3122">
        <f>'0374 table 5'!E1541</f>
        <v>930792.6</v>
      </c>
      <c r="D3122">
        <f>'0374 table 5'!F1541</f>
        <v>366.48333333333329</v>
      </c>
      <c r="E3122">
        <f>'0374 table 5'!G1541</f>
        <v>5.4484534891678216</v>
      </c>
    </row>
    <row r="3123" spans="1:5" x14ac:dyDescent="0.35">
      <c r="A3123">
        <v>374</v>
      </c>
      <c r="B3123">
        <v>5</v>
      </c>
      <c r="C3123">
        <f>'0374 table 5'!E1542</f>
        <v>930792.6</v>
      </c>
      <c r="D3123">
        <f>'0374 table 5'!F1542</f>
        <v>372.03888888888889</v>
      </c>
      <c r="E3123">
        <f>'0374 table 5'!G1542</f>
        <v>5.3537611156929792</v>
      </c>
    </row>
    <row r="3124" spans="1:5" x14ac:dyDescent="0.35">
      <c r="A3124">
        <v>374</v>
      </c>
      <c r="B3124">
        <v>5</v>
      </c>
      <c r="C3124">
        <f>'0374 table 5'!E1543</f>
        <v>930792.6</v>
      </c>
      <c r="D3124">
        <f>'0374 table 5'!F1543</f>
        <v>377.59444444444443</v>
      </c>
      <c r="E3124">
        <f>'0374 table 5'!G1543</f>
        <v>5.2623039612856095</v>
      </c>
    </row>
    <row r="3125" spans="1:5" x14ac:dyDescent="0.35">
      <c r="A3125">
        <v>374</v>
      </c>
      <c r="B3125">
        <v>5</v>
      </c>
      <c r="C3125">
        <f>'0374 table 5'!E1544</f>
        <v>930792.6</v>
      </c>
      <c r="D3125">
        <f>'0374 table 5'!F1544</f>
        <v>383.15</v>
      </c>
      <c r="E3125">
        <f>'0374 table 5'!G1544</f>
        <v>5.1739190110314581</v>
      </c>
    </row>
    <row r="3126" spans="1:5" x14ac:dyDescent="0.35">
      <c r="A3126">
        <v>374</v>
      </c>
      <c r="B3126">
        <v>5</v>
      </c>
      <c r="C3126">
        <f>'0374 table 5'!E1545</f>
        <v>930792.6</v>
      </c>
      <c r="D3126">
        <f>'0374 table 5'!F1545</f>
        <v>388.70555555555552</v>
      </c>
      <c r="E3126">
        <f>'0374 table 5'!G1545</f>
        <v>5.0900709431691746</v>
      </c>
    </row>
    <row r="3127" spans="1:5" x14ac:dyDescent="0.35">
      <c r="A3127">
        <v>374</v>
      </c>
      <c r="B3127">
        <v>5</v>
      </c>
      <c r="C3127">
        <f>'0374 table 5'!E1546</f>
        <v>930792.6</v>
      </c>
      <c r="D3127">
        <f>'0374 table 5'!F1546</f>
        <v>394.26111111111106</v>
      </c>
      <c r="E3127">
        <f>'0374 table 5'!G1546</f>
        <v>5.0088972039253887</v>
      </c>
    </row>
    <row r="3128" spans="1:5" x14ac:dyDescent="0.35">
      <c r="A3128">
        <v>374</v>
      </c>
      <c r="B3128">
        <v>5</v>
      </c>
      <c r="C3128">
        <f>'0374 table 5'!E1547</f>
        <v>930792.6</v>
      </c>
      <c r="D3128">
        <f>'0374 table 5'!F1547</f>
        <v>399.81666666666666</v>
      </c>
      <c r="E3128">
        <f>'0374 table 5'!G1547</f>
        <v>4.9302718553873177</v>
      </c>
    </row>
    <row r="3129" spans="1:5" x14ac:dyDescent="0.35">
      <c r="A3129">
        <v>374</v>
      </c>
      <c r="B3129">
        <v>5</v>
      </c>
      <c r="C3129">
        <f>'0374 table 5'!E1548</f>
        <v>930792.6</v>
      </c>
      <c r="D3129">
        <f>'0374 table 5'!F1548</f>
        <v>405.37222222222221</v>
      </c>
      <c r="E3129">
        <f>'0374 table 5'!G1548</f>
        <v>4.854076744894968</v>
      </c>
    </row>
    <row r="3130" spans="1:5" x14ac:dyDescent="0.35">
      <c r="A3130">
        <v>374</v>
      </c>
      <c r="B3130">
        <v>5</v>
      </c>
      <c r="C3130">
        <f>'0374 table 5'!E1549</f>
        <v>930792.6</v>
      </c>
      <c r="D3130">
        <f>'0374 table 5'!F1549</f>
        <v>410.92777777777775</v>
      </c>
      <c r="E3130">
        <f>'0374 table 5'!G1549</f>
        <v>4.7816278382547441</v>
      </c>
    </row>
    <row r="3131" spans="1:5" x14ac:dyDescent="0.35">
      <c r="A3131">
        <v>374</v>
      </c>
      <c r="B3131">
        <v>5</v>
      </c>
      <c r="C3131">
        <f>'0374 table 5'!E1550</f>
        <v>930792.6</v>
      </c>
      <c r="D3131">
        <f>'0374 table 5'!F1550</f>
        <v>416.48333333333335</v>
      </c>
      <c r="E3131">
        <f>'0374 table 5'!G1550</f>
        <v>4.7113097818098222</v>
      </c>
    </row>
    <row r="3132" spans="1:5" x14ac:dyDescent="0.35">
      <c r="A3132">
        <v>374</v>
      </c>
      <c r="B3132">
        <v>5</v>
      </c>
      <c r="C3132">
        <f>'0374 table 5'!E1551</f>
        <v>930792.6</v>
      </c>
      <c r="D3132">
        <f>'0374 table 5'!F1551</f>
        <v>422.03888888888889</v>
      </c>
      <c r="E3132">
        <f>'0374 table 5'!G1551</f>
        <v>4.6430299298995337</v>
      </c>
    </row>
    <row r="3133" spans="1:5" x14ac:dyDescent="0.35">
      <c r="A3133">
        <v>374</v>
      </c>
      <c r="B3133">
        <v>5</v>
      </c>
      <c r="C3133">
        <f>'0374 table 5'!E1552</f>
        <v>930792.6</v>
      </c>
      <c r="D3133">
        <f>'0374 table 5'!F1552</f>
        <v>433.15</v>
      </c>
      <c r="E3133">
        <f>'0374 table 5'!G1552</f>
        <v>4.512240354409407</v>
      </c>
    </row>
    <row r="3134" spans="1:5" x14ac:dyDescent="0.35">
      <c r="A3134">
        <v>374</v>
      </c>
      <c r="B3134">
        <v>5</v>
      </c>
      <c r="C3134">
        <f>'0374 table 5'!E1553</f>
        <v>965266.4</v>
      </c>
      <c r="D3134">
        <f>'0374 table 5'!F1553</f>
        <v>299.81666666666666</v>
      </c>
      <c r="E3134">
        <f>'0374 table 5'!G1553</f>
        <v>7.3954077830809766</v>
      </c>
    </row>
    <row r="3135" spans="1:5" x14ac:dyDescent="0.35">
      <c r="A3135">
        <v>374</v>
      </c>
      <c r="B3135">
        <v>5</v>
      </c>
      <c r="C3135">
        <f>'0374 table 5'!E1554</f>
        <v>965266.4</v>
      </c>
      <c r="D3135">
        <f>'0374 table 5'!F1554</f>
        <v>305.37222222222221</v>
      </c>
      <c r="E3135">
        <f>'0374 table 5'!G1554</f>
        <v>7.1896109776271953</v>
      </c>
    </row>
    <row r="3136" spans="1:5" x14ac:dyDescent="0.35">
      <c r="A3136">
        <v>374</v>
      </c>
      <c r="B3136">
        <v>5</v>
      </c>
      <c r="C3136">
        <f>'0374 table 5'!E1555</f>
        <v>965266.4</v>
      </c>
      <c r="D3136">
        <f>'0374 table 5'!F1555</f>
        <v>310.92777777777775</v>
      </c>
      <c r="E3136">
        <f>'0374 table 5'!G1555</f>
        <v>7.0010722282138955</v>
      </c>
    </row>
    <row r="3137" spans="1:5" x14ac:dyDescent="0.35">
      <c r="A3137">
        <v>374</v>
      </c>
      <c r="B3137">
        <v>5</v>
      </c>
      <c r="C3137">
        <f>'0374 table 5'!E1556</f>
        <v>965266.4</v>
      </c>
      <c r="D3137">
        <f>'0374 table 5'!F1556</f>
        <v>316.48333333333329</v>
      </c>
      <c r="E3137">
        <f>'0374 table 5'!G1556</f>
        <v>6.8250759514927113</v>
      </c>
    </row>
    <row r="3138" spans="1:5" x14ac:dyDescent="0.35">
      <c r="A3138">
        <v>374</v>
      </c>
      <c r="B3138">
        <v>5</v>
      </c>
      <c r="C3138">
        <f>'0374 table 5'!E1557</f>
        <v>965266.4</v>
      </c>
      <c r="D3138">
        <f>'0374 table 5'!F1557</f>
        <v>322.03888888888889</v>
      </c>
      <c r="E3138">
        <f>'0374 table 5'!G1557</f>
        <v>6.6632501073849397</v>
      </c>
    </row>
    <row r="3139" spans="1:5" x14ac:dyDescent="0.35">
      <c r="A3139">
        <v>374</v>
      </c>
      <c r="B3139">
        <v>5</v>
      </c>
      <c r="C3139">
        <f>'0374 table 5'!E1558</f>
        <v>965266.4</v>
      </c>
      <c r="D3139">
        <f>'0374 table 5'!F1558</f>
        <v>327.59444444444443</v>
      </c>
      <c r="E3139">
        <f>'0374 table 5'!G1558</f>
        <v>6.5115663651030058</v>
      </c>
    </row>
    <row r="3140" spans="1:5" x14ac:dyDescent="0.35">
      <c r="A3140">
        <v>374</v>
      </c>
      <c r="B3140">
        <v>5</v>
      </c>
      <c r="C3140">
        <f>'0374 table 5'!E1559</f>
        <v>965266.4</v>
      </c>
      <c r="D3140">
        <f>'0374 table 5'!F1559</f>
        <v>333.15</v>
      </c>
      <c r="E3140">
        <f>'0374 table 5'!G1559</f>
        <v>6.3691663054287844</v>
      </c>
    </row>
    <row r="3141" spans="1:5" x14ac:dyDescent="0.35">
      <c r="A3141">
        <v>374</v>
      </c>
      <c r="B3141">
        <v>5</v>
      </c>
      <c r="C3141">
        <f>'0374 table 5'!E1560</f>
        <v>965266.4</v>
      </c>
      <c r="D3141">
        <f>'0374 table 5'!F1560</f>
        <v>338.70555555555552</v>
      </c>
      <c r="E3141">
        <f>'0374 table 5'!G1560</f>
        <v>6.2352873717996857</v>
      </c>
    </row>
    <row r="3142" spans="1:5" x14ac:dyDescent="0.35">
      <c r="A3142">
        <v>374</v>
      </c>
      <c r="B3142">
        <v>5</v>
      </c>
      <c r="C3142">
        <f>'0374 table 5'!E1561</f>
        <v>965266.4</v>
      </c>
      <c r="D3142">
        <f>'0374 table 5'!F1561</f>
        <v>344.26111111111106</v>
      </c>
      <c r="E3142">
        <f>'0374 table 5'!G1561</f>
        <v>6.1092499077625453</v>
      </c>
    </row>
    <row r="3143" spans="1:5" x14ac:dyDescent="0.35">
      <c r="A3143">
        <v>374</v>
      </c>
      <c r="B3143">
        <v>5</v>
      </c>
      <c r="C3143">
        <f>'0374 table 5'!E1562</f>
        <v>965266.4</v>
      </c>
      <c r="D3143">
        <f>'0374 table 5'!F1562</f>
        <v>349.81666666666666</v>
      </c>
      <c r="E3143">
        <f>'0374 table 5'!G1562</f>
        <v>5.9882068254779046</v>
      </c>
    </row>
    <row r="3144" spans="1:5" x14ac:dyDescent="0.35">
      <c r="A3144">
        <v>374</v>
      </c>
      <c r="B3144">
        <v>5</v>
      </c>
      <c r="C3144">
        <f>'0374 table 5'!E1563</f>
        <v>965266.4</v>
      </c>
      <c r="D3144">
        <f>'0374 table 5'!F1563</f>
        <v>355.37222222222221</v>
      </c>
      <c r="E3144">
        <f>'0374 table 5'!G1563</f>
        <v>5.8740202633492462</v>
      </c>
    </row>
    <row r="3145" spans="1:5" x14ac:dyDescent="0.35">
      <c r="A3145">
        <v>374</v>
      </c>
      <c r="B3145">
        <v>5</v>
      </c>
      <c r="C3145">
        <f>'0374 table 5'!E1564</f>
        <v>965266.4</v>
      </c>
      <c r="D3145">
        <f>'0374 table 5'!F1564</f>
        <v>360.92777777777775</v>
      </c>
      <c r="E3145">
        <f>'0374 table 5'!G1564</f>
        <v>5.7641069658702389</v>
      </c>
    </row>
    <row r="3146" spans="1:5" x14ac:dyDescent="0.35">
      <c r="A3146">
        <v>374</v>
      </c>
      <c r="B3146">
        <v>5</v>
      </c>
      <c r="C3146">
        <f>'0374 table 5'!E1565</f>
        <v>965266.4</v>
      </c>
      <c r="D3146">
        <f>'0374 table 5'!F1565</f>
        <v>366.48333333333329</v>
      </c>
      <c r="E3146">
        <f>'0374 table 5'!G1565</f>
        <v>5.6602308332697495</v>
      </c>
    </row>
    <row r="3147" spans="1:5" x14ac:dyDescent="0.35">
      <c r="A3147">
        <v>374</v>
      </c>
      <c r="B3147">
        <v>5</v>
      </c>
      <c r="C3147">
        <f>'0374 table 5'!E1566</f>
        <v>965266.4</v>
      </c>
      <c r="D3147">
        <f>'0374 table 5'!F1566</f>
        <v>372.03888888888889</v>
      </c>
      <c r="E3147">
        <f>'0374 table 5'!G1566</f>
        <v>5.5619629368588175</v>
      </c>
    </row>
    <row r="3148" spans="1:5" x14ac:dyDescent="0.35">
      <c r="A3148">
        <v>374</v>
      </c>
      <c r="B3148">
        <v>5</v>
      </c>
      <c r="C3148">
        <f>'0374 table 5'!E1567</f>
        <v>965266.4</v>
      </c>
      <c r="D3148">
        <f>'0374 table 5'!F1567</f>
        <v>377.59444444444443</v>
      </c>
      <c r="E3148">
        <f>'0374 table 5'!G1567</f>
        <v>5.4651836431775473</v>
      </c>
    </row>
    <row r="3149" spans="1:5" x14ac:dyDescent="0.35">
      <c r="A3149">
        <v>374</v>
      </c>
      <c r="B3149">
        <v>5</v>
      </c>
      <c r="C3149">
        <f>'0374 table 5'!E1568</f>
        <v>965266.4</v>
      </c>
      <c r="D3149">
        <f>'0374 table 5'!F1568</f>
        <v>383.15</v>
      </c>
      <c r="E3149">
        <f>'0374 table 5'!G1568</f>
        <v>5.3735166917656478</v>
      </c>
    </row>
    <row r="3150" spans="1:5" x14ac:dyDescent="0.35">
      <c r="A3150">
        <v>374</v>
      </c>
      <c r="B3150">
        <v>5</v>
      </c>
      <c r="C3150">
        <f>'0374 table 5'!E1569</f>
        <v>965266.4</v>
      </c>
      <c r="D3150">
        <f>'0374 table 5'!F1569</f>
        <v>388.70555555555552</v>
      </c>
      <c r="E3150">
        <f>'0374 table 5'!G1569</f>
        <v>5.2866182370143209</v>
      </c>
    </row>
    <row r="3151" spans="1:5" x14ac:dyDescent="0.35">
      <c r="A3151">
        <v>374</v>
      </c>
      <c r="B3151">
        <v>5</v>
      </c>
      <c r="C3151">
        <f>'0374 table 5'!E1570</f>
        <v>965266.4</v>
      </c>
      <c r="D3151">
        <f>'0374 table 5'!F1570</f>
        <v>394.26111111111106</v>
      </c>
      <c r="E3151">
        <f>'0374 table 5'!G1570</f>
        <v>5.2007965123874653</v>
      </c>
    </row>
    <row r="3152" spans="1:5" x14ac:dyDescent="0.35">
      <c r="A3152">
        <v>374</v>
      </c>
      <c r="B3152">
        <v>5</v>
      </c>
      <c r="C3152">
        <f>'0374 table 5'!E1571</f>
        <v>965266.4</v>
      </c>
      <c r="D3152">
        <f>'0374 table 5'!F1571</f>
        <v>399.81666666666666</v>
      </c>
      <c r="E3152">
        <f>'0374 table 5'!G1571</f>
        <v>5.1193522717013087</v>
      </c>
    </row>
    <row r="3153" spans="1:5" x14ac:dyDescent="0.35">
      <c r="A3153">
        <v>374</v>
      </c>
      <c r="B3153">
        <v>5</v>
      </c>
      <c r="C3153">
        <f>'0374 table 5'!E1572</f>
        <v>965266.4</v>
      </c>
      <c r="D3153">
        <f>'0374 table 5'!F1572</f>
        <v>405.37222222222221</v>
      </c>
      <c r="E3153">
        <f>'0374 table 5'!G1572</f>
        <v>5.0388339912404509</v>
      </c>
    </row>
    <row r="3154" spans="1:5" x14ac:dyDescent="0.35">
      <c r="A3154">
        <v>374</v>
      </c>
      <c r="B3154">
        <v>5</v>
      </c>
      <c r="C3154">
        <f>'0374 table 5'!E1573</f>
        <v>965266.4</v>
      </c>
      <c r="D3154">
        <f>'0374 table 5'!F1573</f>
        <v>410.92777777777775</v>
      </c>
      <c r="E3154">
        <f>'0374 table 5'!G1573</f>
        <v>4.9638838729945443</v>
      </c>
    </row>
    <row r="3155" spans="1:5" x14ac:dyDescent="0.35">
      <c r="A3155">
        <v>374</v>
      </c>
      <c r="B3155">
        <v>5</v>
      </c>
      <c r="C3155">
        <f>'0374 table 5'!E1574</f>
        <v>965266.4</v>
      </c>
      <c r="D3155">
        <f>'0374 table 5'!F1574</f>
        <v>416.48333333333335</v>
      </c>
      <c r="E3155">
        <f>'0374 table 5'!G1574</f>
        <v>4.8911307658483647</v>
      </c>
    </row>
    <row r="3156" spans="1:5" x14ac:dyDescent="0.35">
      <c r="A3156">
        <v>374</v>
      </c>
      <c r="B3156">
        <v>5</v>
      </c>
      <c r="C3156">
        <f>'0374 table 5'!E1575</f>
        <v>965266.4</v>
      </c>
      <c r="D3156">
        <f>'0374 table 5'!F1575</f>
        <v>422.03888888888889</v>
      </c>
      <c r="E3156">
        <f>'0374 table 5'!G1575</f>
        <v>4.820479463783748</v>
      </c>
    </row>
    <row r="3157" spans="1:5" x14ac:dyDescent="0.35">
      <c r="A3157">
        <v>374</v>
      </c>
      <c r="B3157">
        <v>5</v>
      </c>
      <c r="C3157">
        <f>'0374 table 5'!E1576</f>
        <v>965266.4</v>
      </c>
      <c r="D3157">
        <f>'0374 table 5'!F1576</f>
        <v>433.15</v>
      </c>
      <c r="E3157">
        <f>'0374 table 5'!G1576</f>
        <v>4.6837582626179515</v>
      </c>
    </row>
    <row r="3158" spans="1:5" x14ac:dyDescent="0.35">
      <c r="A3158">
        <v>374</v>
      </c>
      <c r="B3158">
        <v>5</v>
      </c>
      <c r="C3158">
        <f>'0374 table 5'!E1577</f>
        <v>999740.20000000007</v>
      </c>
      <c r="D3158">
        <f>'0374 table 5'!F1577</f>
        <v>299.81666666666666</v>
      </c>
      <c r="E3158">
        <f>'0374 table 5'!G1577</f>
        <v>7.7011794510352845</v>
      </c>
    </row>
    <row r="3159" spans="1:5" x14ac:dyDescent="0.35">
      <c r="A3159">
        <v>374</v>
      </c>
      <c r="B3159">
        <v>5</v>
      </c>
      <c r="C3159">
        <f>'0374 table 5'!E1578</f>
        <v>999740.20000000007</v>
      </c>
      <c r="D3159">
        <f>'0374 table 5'!F1578</f>
        <v>305.37222222222221</v>
      </c>
      <c r="E3159">
        <f>'0374 table 5'!G1578</f>
        <v>7.4817623812019596</v>
      </c>
    </row>
    <row r="3160" spans="1:5" x14ac:dyDescent="0.35">
      <c r="A3160">
        <v>374</v>
      </c>
      <c r="B3160">
        <v>5</v>
      </c>
      <c r="C3160">
        <f>'0374 table 5'!E1579</f>
        <v>999740.20000000007</v>
      </c>
      <c r="D3160">
        <f>'0374 table 5'!F1579</f>
        <v>310.92777777777775</v>
      </c>
      <c r="E3160">
        <f>'0374 table 5'!G1579</f>
        <v>7.2811151173424511</v>
      </c>
    </row>
    <row r="3161" spans="1:5" x14ac:dyDescent="0.35">
      <c r="A3161">
        <v>374</v>
      </c>
      <c r="B3161">
        <v>5</v>
      </c>
      <c r="C3161">
        <f>'0374 table 5'!E1580</f>
        <v>999740.20000000007</v>
      </c>
      <c r="D3161">
        <f>'0374 table 5'!F1580</f>
        <v>316.48333333333329</v>
      </c>
      <c r="E3161">
        <f>'0374 table 5'!G1580</f>
        <v>7.0972322809718174</v>
      </c>
    </row>
    <row r="3162" spans="1:5" x14ac:dyDescent="0.35">
      <c r="A3162">
        <v>374</v>
      </c>
      <c r="B3162">
        <v>5</v>
      </c>
      <c r="C3162">
        <f>'0374 table 5'!E1581</f>
        <v>999740.20000000007</v>
      </c>
      <c r="D3162">
        <f>'0374 table 5'!F1581</f>
        <v>322.03888888888889</v>
      </c>
      <c r="E3162">
        <f>'0374 table 5'!G1581</f>
        <v>6.9254013221588373</v>
      </c>
    </row>
    <row r="3163" spans="1:5" x14ac:dyDescent="0.35">
      <c r="A3163">
        <v>374</v>
      </c>
      <c r="B3163">
        <v>5</v>
      </c>
      <c r="C3163">
        <f>'0374 table 5'!E1582</f>
        <v>999740.20000000007</v>
      </c>
      <c r="D3163">
        <f>'0374 table 5'!F1582</f>
        <v>327.59444444444443</v>
      </c>
      <c r="E3163">
        <f>'0374 table 5'!G1582</f>
        <v>6.7645495178012647</v>
      </c>
    </row>
    <row r="3164" spans="1:5" x14ac:dyDescent="0.35">
      <c r="A3164">
        <v>374</v>
      </c>
      <c r="B3164">
        <v>5</v>
      </c>
      <c r="C3164">
        <f>'0374 table 5'!E1583</f>
        <v>999740.20000000007</v>
      </c>
      <c r="D3164">
        <f>'0374 table 5'!F1583</f>
        <v>333.15</v>
      </c>
      <c r="E3164">
        <f>'0374 table 5'!G1583</f>
        <v>6.6164614862261031</v>
      </c>
    </row>
    <row r="3165" spans="1:5" x14ac:dyDescent="0.35">
      <c r="A3165">
        <v>374</v>
      </c>
      <c r="B3165">
        <v>5</v>
      </c>
      <c r="C3165">
        <f>'0374 table 5'!E1584</f>
        <v>999740.20000000007</v>
      </c>
      <c r="D3165">
        <f>'0374 table 5'!F1584</f>
        <v>338.70555555555552</v>
      </c>
      <c r="E3165">
        <f>'0374 table 5'!G1584</f>
        <v>6.4747183743546453</v>
      </c>
    </row>
    <row r="3166" spans="1:5" x14ac:dyDescent="0.35">
      <c r="A3166">
        <v>374</v>
      </c>
      <c r="B3166">
        <v>5</v>
      </c>
      <c r="C3166">
        <f>'0374 table 5'!E1585</f>
        <v>999740.20000000007</v>
      </c>
      <c r="D3166">
        <f>'0374 table 5'!F1585</f>
        <v>344.26111111111106</v>
      </c>
      <c r="E3166">
        <f>'0374 table 5'!G1585</f>
        <v>6.3414304268224049</v>
      </c>
    </row>
    <row r="3167" spans="1:5" x14ac:dyDescent="0.35">
      <c r="A3167">
        <v>374</v>
      </c>
      <c r="B3167">
        <v>5</v>
      </c>
      <c r="C3167">
        <f>'0374 table 5'!E1586</f>
        <v>999740.20000000007</v>
      </c>
      <c r="D3167">
        <f>'0374 table 5'!F1586</f>
        <v>349.81666666666666</v>
      </c>
      <c r="E3167">
        <f>'0374 table 5'!G1586</f>
        <v>6.2159306395628224</v>
      </c>
    </row>
    <row r="3168" spans="1:5" x14ac:dyDescent="0.35">
      <c r="A3168">
        <v>374</v>
      </c>
      <c r="B3168">
        <v>5</v>
      </c>
      <c r="C3168">
        <f>'0374 table 5'!E1587</f>
        <v>999740.20000000007</v>
      </c>
      <c r="D3168">
        <f>'0374 table 5'!F1587</f>
        <v>355.37222222222221</v>
      </c>
      <c r="E3168">
        <f>'0374 table 5'!G1587</f>
        <v>6.0976221005532523</v>
      </c>
    </row>
    <row r="3169" spans="1:5" x14ac:dyDescent="0.35">
      <c r="A3169">
        <v>374</v>
      </c>
      <c r="B3169">
        <v>5</v>
      </c>
      <c r="C3169">
        <f>'0374 table 5'!E1588</f>
        <v>999740.20000000007</v>
      </c>
      <c r="D3169">
        <f>'0374 table 5'!F1588</f>
        <v>360.92777777777775</v>
      </c>
      <c r="E3169">
        <f>'0374 table 5'!G1588</f>
        <v>5.9837330064076921</v>
      </c>
    </row>
    <row r="3170" spans="1:5" x14ac:dyDescent="0.35">
      <c r="A3170">
        <v>374</v>
      </c>
      <c r="B3170">
        <v>5</v>
      </c>
      <c r="C3170">
        <f>'0374 table 5'!E1589</f>
        <v>999740.20000000007</v>
      </c>
      <c r="D3170">
        <f>'0374 table 5'!F1589</f>
        <v>366.48333333333329</v>
      </c>
      <c r="E3170">
        <f>'0374 table 5'!G1589</f>
        <v>5.8740202633492462</v>
      </c>
    </row>
    <row r="3171" spans="1:5" x14ac:dyDescent="0.35">
      <c r="A3171">
        <v>374</v>
      </c>
      <c r="B3171">
        <v>5</v>
      </c>
      <c r="C3171">
        <f>'0374 table 5'!E1590</f>
        <v>999740.20000000007</v>
      </c>
      <c r="D3171">
        <f>'0374 table 5'!F1590</f>
        <v>372.03888888888889</v>
      </c>
      <c r="E3171">
        <f>'0374 table 5'!G1590</f>
        <v>5.7703361880956034</v>
      </c>
    </row>
    <row r="3172" spans="1:5" x14ac:dyDescent="0.35">
      <c r="A3172">
        <v>374</v>
      </c>
      <c r="B3172">
        <v>5</v>
      </c>
      <c r="C3172">
        <f>'0374 table 5'!E1591</f>
        <v>999740.20000000007</v>
      </c>
      <c r="D3172">
        <f>'0374 table 5'!F1591</f>
        <v>377.59444444444443</v>
      </c>
      <c r="E3172">
        <f>'0374 table 5'!G1591</f>
        <v>5.6702489409392545</v>
      </c>
    </row>
    <row r="3173" spans="1:5" x14ac:dyDescent="0.35">
      <c r="A3173">
        <v>374</v>
      </c>
      <c r="B3173">
        <v>5</v>
      </c>
      <c r="C3173">
        <f>'0374 table 5'!E1592</f>
        <v>999740.20000000007</v>
      </c>
      <c r="D3173">
        <f>'0374 table 5'!F1592</f>
        <v>383.15</v>
      </c>
      <c r="E3173">
        <f>'0374 table 5'!G1592</f>
        <v>5.575514534686179</v>
      </c>
    </row>
    <row r="3174" spans="1:5" x14ac:dyDescent="0.35">
      <c r="A3174">
        <v>374</v>
      </c>
      <c r="B3174">
        <v>5</v>
      </c>
      <c r="C3174">
        <f>'0374 table 5'!E1593</f>
        <v>999740.20000000007</v>
      </c>
      <c r="D3174">
        <f>'0374 table 5'!F1593</f>
        <v>388.70555555555552</v>
      </c>
      <c r="E3174">
        <f>'0374 table 5'!G1593</f>
        <v>5.4838936179915763</v>
      </c>
    </row>
    <row r="3175" spans="1:5" x14ac:dyDescent="0.35">
      <c r="A3175">
        <v>374</v>
      </c>
      <c r="B3175">
        <v>5</v>
      </c>
      <c r="C3175">
        <f>'0374 table 5'!E1594</f>
        <v>999740.20000000007</v>
      </c>
      <c r="D3175">
        <f>'0374 table 5'!F1594</f>
        <v>394.26111111111106</v>
      </c>
      <c r="E3175">
        <f>'0374 table 5'!G1594</f>
        <v>5.3952351829415273</v>
      </c>
    </row>
    <row r="3176" spans="1:5" x14ac:dyDescent="0.35">
      <c r="A3176">
        <v>374</v>
      </c>
      <c r="B3176">
        <v>5</v>
      </c>
      <c r="C3176">
        <f>'0374 table 5'!E1595</f>
        <v>999740.20000000007</v>
      </c>
      <c r="D3176">
        <f>'0374 table 5'!F1595</f>
        <v>399.81666666666666</v>
      </c>
      <c r="E3176">
        <f>'0374 table 5'!G1595</f>
        <v>5.3093978316716584</v>
      </c>
    </row>
    <row r="3177" spans="1:5" x14ac:dyDescent="0.35">
      <c r="A3177">
        <v>374</v>
      </c>
      <c r="B3177">
        <v>5</v>
      </c>
      <c r="C3177">
        <f>'0374 table 5'!E1596</f>
        <v>999740.20000000007</v>
      </c>
      <c r="D3177">
        <f>'0374 table 5'!F1596</f>
        <v>405.37222222222221</v>
      </c>
      <c r="E3177">
        <f>'0374 table 5'!G1596</f>
        <v>5.2279547187184701</v>
      </c>
    </row>
    <row r="3178" spans="1:5" x14ac:dyDescent="0.35">
      <c r="A3178">
        <v>374</v>
      </c>
      <c r="B3178">
        <v>5</v>
      </c>
      <c r="C3178">
        <f>'0374 table 5'!E1597</f>
        <v>999740.20000000007</v>
      </c>
      <c r="D3178">
        <f>'0374 table 5'!F1597</f>
        <v>410.92777777777775</v>
      </c>
      <c r="E3178">
        <f>'0374 table 5'!G1597</f>
        <v>5.1489724391364167</v>
      </c>
    </row>
    <row r="3179" spans="1:5" x14ac:dyDescent="0.35">
      <c r="A3179">
        <v>374</v>
      </c>
      <c r="B3179">
        <v>5</v>
      </c>
      <c r="C3179">
        <f>'0374 table 5'!E1598</f>
        <v>999740.20000000007</v>
      </c>
      <c r="D3179">
        <f>'0374 table 5'!F1598</f>
        <v>416.48333333333335</v>
      </c>
      <c r="E3179">
        <f>'0374 table 5'!G1598</f>
        <v>5.072341120377895</v>
      </c>
    </row>
    <row r="3180" spans="1:5" x14ac:dyDescent="0.35">
      <c r="A3180">
        <v>374</v>
      </c>
      <c r="B3180">
        <v>5</v>
      </c>
      <c r="C3180">
        <f>'0374 table 5'!E1599</f>
        <v>999740.20000000007</v>
      </c>
      <c r="D3180">
        <f>'0374 table 5'!F1599</f>
        <v>422.03888888888889</v>
      </c>
      <c r="E3180">
        <f>'0374 table 5'!G1599</f>
        <v>4.9979573348372517</v>
      </c>
    </row>
    <row r="3181" spans="1:5" x14ac:dyDescent="0.35">
      <c r="A3181">
        <v>374</v>
      </c>
      <c r="B3181">
        <v>5</v>
      </c>
      <c r="C3181">
        <f>'0374 table 5'!E1600</f>
        <v>999740.20000000007</v>
      </c>
      <c r="D3181">
        <f>'0374 table 5'!F1600</f>
        <v>433.15</v>
      </c>
      <c r="E3181">
        <f>'0374 table 5'!G1600</f>
        <v>4.857020393618372</v>
      </c>
    </row>
    <row r="3182" spans="1:5" x14ac:dyDescent="0.35">
      <c r="A3182">
        <v>374</v>
      </c>
      <c r="B3182">
        <v>5</v>
      </c>
      <c r="C3182">
        <f>'0374 table 5'!E1601</f>
        <v>1034214</v>
      </c>
      <c r="D3182">
        <f>'0374 table 5'!F1601</f>
        <v>299.81666666666666</v>
      </c>
      <c r="E3182">
        <f>'0374 table 5'!G1601</f>
        <v>8.0052240170681639</v>
      </c>
    </row>
    <row r="3183" spans="1:5" x14ac:dyDescent="0.35">
      <c r="A3183">
        <v>374</v>
      </c>
      <c r="B3183">
        <v>5</v>
      </c>
      <c r="C3183">
        <f>'0374 table 5'!E1602</f>
        <v>1034214</v>
      </c>
      <c r="D3183">
        <f>'0374 table 5'!F1602</f>
        <v>305.37222222222221</v>
      </c>
      <c r="E3183">
        <f>'0374 table 5'!G1602</f>
        <v>7.7721752829468187</v>
      </c>
    </row>
    <row r="3184" spans="1:5" x14ac:dyDescent="0.35">
      <c r="A3184">
        <v>374</v>
      </c>
      <c r="B3184">
        <v>5</v>
      </c>
      <c r="C3184">
        <f>'0374 table 5'!E1603</f>
        <v>1034214</v>
      </c>
      <c r="D3184">
        <f>'0374 table 5'!F1603</f>
        <v>310.92777777777775</v>
      </c>
      <c r="E3184">
        <f>'0374 table 5'!G1603</f>
        <v>7.5630090926125559</v>
      </c>
    </row>
    <row r="3185" spans="1:5" x14ac:dyDescent="0.35">
      <c r="A3185">
        <v>374</v>
      </c>
      <c r="B3185">
        <v>5</v>
      </c>
      <c r="C3185">
        <f>'0374 table 5'!E1604</f>
        <v>1034214</v>
      </c>
      <c r="D3185">
        <f>'0374 table 5'!F1604</f>
        <v>316.48333333333329</v>
      </c>
      <c r="E3185">
        <f>'0374 table 5'!G1604</f>
        <v>7.3681937709997216</v>
      </c>
    </row>
    <row r="3186" spans="1:5" x14ac:dyDescent="0.35">
      <c r="A3186">
        <v>374</v>
      </c>
      <c r="B3186">
        <v>5</v>
      </c>
      <c r="C3186">
        <f>'0374 table 5'!E1605</f>
        <v>1034214</v>
      </c>
      <c r="D3186">
        <f>'0374 table 5'!F1605</f>
        <v>322.03888888888889</v>
      </c>
      <c r="E3186">
        <f>'0374 table 5'!G1605</f>
        <v>7.1896109776271953</v>
      </c>
    </row>
    <row r="3187" spans="1:5" x14ac:dyDescent="0.35">
      <c r="A3187">
        <v>374</v>
      </c>
      <c r="B3187">
        <v>5</v>
      </c>
      <c r="C3187">
        <f>'0374 table 5'!E1606</f>
        <v>1034214</v>
      </c>
      <c r="D3187">
        <f>'0374 table 5'!F1606</f>
        <v>327.59444444444443</v>
      </c>
      <c r="E3187">
        <f>'0374 table 5'!G1606</f>
        <v>7.022557324924767</v>
      </c>
    </row>
    <row r="3188" spans="1:5" x14ac:dyDescent="0.35">
      <c r="A3188">
        <v>374</v>
      </c>
      <c r="B3188">
        <v>5</v>
      </c>
      <c r="C3188">
        <f>'0374 table 5'!E1607</f>
        <v>1034214</v>
      </c>
      <c r="D3188">
        <f>'0374 table 5'!F1607</f>
        <v>333.15</v>
      </c>
      <c r="E3188">
        <f>'0374 table 5'!G1607</f>
        <v>6.8630905133476405</v>
      </c>
    </row>
    <row r="3189" spans="1:5" x14ac:dyDescent="0.35">
      <c r="A3189">
        <v>374</v>
      </c>
      <c r="B3189">
        <v>5</v>
      </c>
      <c r="C3189">
        <f>'0374 table 5'!E1608</f>
        <v>1034214</v>
      </c>
      <c r="D3189">
        <f>'0374 table 5'!F1608</f>
        <v>338.70555555555552</v>
      </c>
      <c r="E3189">
        <f>'0374 table 5'!G1608</f>
        <v>6.7163326029993273</v>
      </c>
    </row>
    <row r="3190" spans="1:5" x14ac:dyDescent="0.35">
      <c r="A3190">
        <v>374</v>
      </c>
      <c r="B3190">
        <v>5</v>
      </c>
      <c r="C3190">
        <f>'0374 table 5'!E1609</f>
        <v>1034214</v>
      </c>
      <c r="D3190">
        <f>'0374 table 5'!F1609</f>
        <v>344.26111111111106</v>
      </c>
      <c r="E3190">
        <f>'0374 table 5'!G1609</f>
        <v>6.5784202292211056</v>
      </c>
    </row>
    <row r="3191" spans="1:5" x14ac:dyDescent="0.35">
      <c r="A3191">
        <v>374</v>
      </c>
      <c r="B3191">
        <v>5</v>
      </c>
      <c r="C3191">
        <f>'0374 table 5'!E1610</f>
        <v>1034214</v>
      </c>
      <c r="D3191">
        <f>'0374 table 5'!F1610</f>
        <v>349.81666666666666</v>
      </c>
      <c r="E3191">
        <f>'0374 table 5'!G1610</f>
        <v>6.4460576491562955</v>
      </c>
    </row>
    <row r="3192" spans="1:5" x14ac:dyDescent="0.35">
      <c r="A3192">
        <v>374</v>
      </c>
      <c r="B3192">
        <v>5</v>
      </c>
      <c r="C3192">
        <f>'0374 table 5'!E1611</f>
        <v>1034214</v>
      </c>
      <c r="D3192">
        <f>'0374 table 5'!F1611</f>
        <v>355.37222222222221</v>
      </c>
      <c r="E3192">
        <f>'0374 table 5'!G1611</f>
        <v>6.3214101255538253</v>
      </c>
    </row>
    <row r="3193" spans="1:5" x14ac:dyDescent="0.35">
      <c r="A3193">
        <v>374</v>
      </c>
      <c r="B3193">
        <v>5</v>
      </c>
      <c r="C3193">
        <f>'0374 table 5'!E1612</f>
        <v>1034214</v>
      </c>
      <c r="D3193">
        <f>'0374 table 5'!F1612</f>
        <v>360.92777777777775</v>
      </c>
      <c r="E3193">
        <f>'0374 table 5'!G1612</f>
        <v>6.2014917762885764</v>
      </c>
    </row>
    <row r="3194" spans="1:5" x14ac:dyDescent="0.35">
      <c r="A3194">
        <v>374</v>
      </c>
      <c r="B3194">
        <v>5</v>
      </c>
      <c r="C3194">
        <f>'0374 table 5'!E1613</f>
        <v>1034214</v>
      </c>
      <c r="D3194">
        <f>'0374 table 5'!F1613</f>
        <v>366.48333333333329</v>
      </c>
      <c r="E3194">
        <f>'0374 table 5'!G1613</f>
        <v>6.0883516754668934</v>
      </c>
    </row>
    <row r="3195" spans="1:5" x14ac:dyDescent="0.35">
      <c r="A3195">
        <v>374</v>
      </c>
      <c r="B3195">
        <v>5</v>
      </c>
      <c r="C3195">
        <f>'0374 table 5'!E1614</f>
        <v>1034214</v>
      </c>
      <c r="D3195">
        <f>'0374 table 5'!F1614</f>
        <v>372.03888888888889</v>
      </c>
      <c r="E3195">
        <f>'0374 table 5'!G1614</f>
        <v>5.9792658671718533</v>
      </c>
    </row>
    <row r="3196" spans="1:5" x14ac:dyDescent="0.35">
      <c r="A3196">
        <v>374</v>
      </c>
      <c r="B3196">
        <v>5</v>
      </c>
      <c r="C3196">
        <f>'0374 table 5'!E1615</f>
        <v>1034214</v>
      </c>
      <c r="D3196">
        <f>'0374 table 5'!F1615</f>
        <v>377.59444444444443</v>
      </c>
      <c r="E3196">
        <f>'0374 table 5'!G1615</f>
        <v>5.8761750763585443</v>
      </c>
    </row>
    <row r="3197" spans="1:5" x14ac:dyDescent="0.35">
      <c r="A3197">
        <v>374</v>
      </c>
      <c r="B3197">
        <v>5</v>
      </c>
      <c r="C3197">
        <f>'0374 table 5'!E1616</f>
        <v>1034214</v>
      </c>
      <c r="D3197">
        <f>'0374 table 5'!F1616</f>
        <v>383.15</v>
      </c>
      <c r="E3197">
        <f>'0374 table 5'!G1616</f>
        <v>5.7765788886236544</v>
      </c>
    </row>
    <row r="3198" spans="1:5" x14ac:dyDescent="0.35">
      <c r="A3198">
        <v>374</v>
      </c>
      <c r="B3198">
        <v>5</v>
      </c>
      <c r="C3198">
        <f>'0374 table 5'!E1617</f>
        <v>1034214</v>
      </c>
      <c r="D3198">
        <f>'0374 table 5'!F1617</f>
        <v>388.70555555555552</v>
      </c>
      <c r="E3198">
        <f>'0374 table 5'!G1617</f>
        <v>5.6803025738132602</v>
      </c>
    </row>
    <row r="3199" spans="1:5" x14ac:dyDescent="0.35">
      <c r="A3199">
        <v>374</v>
      </c>
      <c r="B3199">
        <v>5</v>
      </c>
      <c r="C3199">
        <f>'0374 table 5'!E1618</f>
        <v>1034214</v>
      </c>
      <c r="D3199">
        <f>'0374 table 5'!F1618</f>
        <v>394.26111111111106</v>
      </c>
      <c r="E3199">
        <f>'0374 table 5'!G1618</f>
        <v>5.5891323301302842</v>
      </c>
    </row>
    <row r="3200" spans="1:5" x14ac:dyDescent="0.35">
      <c r="A3200">
        <v>374</v>
      </c>
      <c r="B3200">
        <v>5</v>
      </c>
      <c r="C3200">
        <f>'0374 table 5'!E1619</f>
        <v>1034214</v>
      </c>
      <c r="D3200">
        <f>'0374 table 5'!F1619</f>
        <v>399.81666666666666</v>
      </c>
      <c r="E3200">
        <f>'0374 table 5'!G1619</f>
        <v>5.5008424650252037</v>
      </c>
    </row>
    <row r="3201" spans="1:5" x14ac:dyDescent="0.35">
      <c r="A3201">
        <v>374</v>
      </c>
      <c r="B3201">
        <v>5</v>
      </c>
      <c r="C3201">
        <f>'0374 table 5'!E1620</f>
        <v>1034214</v>
      </c>
      <c r="D3201">
        <f>'0374 table 5'!F1620</f>
        <v>405.37222222222221</v>
      </c>
      <c r="E3201">
        <f>'0374 table 5'!G1620</f>
        <v>5.415298599781404</v>
      </c>
    </row>
    <row r="3202" spans="1:5" x14ac:dyDescent="0.35">
      <c r="A3202">
        <v>374</v>
      </c>
      <c r="B3202">
        <v>5</v>
      </c>
      <c r="C3202">
        <f>'0374 table 5'!E1621</f>
        <v>1034214</v>
      </c>
      <c r="D3202">
        <f>'0374 table 5'!F1621</f>
        <v>410.92777777777775</v>
      </c>
      <c r="E3202">
        <f>'0374 table 5'!G1621</f>
        <v>5.3323745866023282</v>
      </c>
    </row>
    <row r="3203" spans="1:5" x14ac:dyDescent="0.35">
      <c r="A3203">
        <v>374</v>
      </c>
      <c r="B3203">
        <v>5</v>
      </c>
      <c r="C3203">
        <f>'0374 table 5'!E1622</f>
        <v>1034214</v>
      </c>
      <c r="D3203">
        <f>'0374 table 5'!F1622</f>
        <v>416.48333333333335</v>
      </c>
      <c r="E3203">
        <f>'0374 table 5'!G1622</f>
        <v>5.2536744041172163</v>
      </c>
    </row>
    <row r="3204" spans="1:5" x14ac:dyDescent="0.35">
      <c r="A3204">
        <v>374</v>
      </c>
      <c r="B3204">
        <v>5</v>
      </c>
      <c r="C3204">
        <f>'0374 table 5'!E1623</f>
        <v>1034214</v>
      </c>
      <c r="D3204">
        <f>'0374 table 5'!F1623</f>
        <v>422.03888888888889</v>
      </c>
      <c r="E3204">
        <f>'0374 table 5'!G1623</f>
        <v>5.175590713458285</v>
      </c>
    </row>
    <row r="3205" spans="1:5" x14ac:dyDescent="0.35">
      <c r="A3205">
        <v>374</v>
      </c>
      <c r="B3205">
        <v>5</v>
      </c>
      <c r="C3205">
        <f>'0374 table 5'!E1624</f>
        <v>1034214</v>
      </c>
      <c r="D3205">
        <f>'0374 table 5'!F1624</f>
        <v>433.15</v>
      </c>
      <c r="E3205">
        <f>'0374 table 5'!G1624</f>
        <v>5.0293416823087576</v>
      </c>
    </row>
    <row r="3206" spans="1:5" x14ac:dyDescent="0.35">
      <c r="A3206">
        <v>374</v>
      </c>
      <c r="B3206">
        <v>5</v>
      </c>
      <c r="C3206">
        <f>'0374 table 5'!E1625</f>
        <v>1034214</v>
      </c>
      <c r="D3206">
        <f>'0374 table 5'!F1625</f>
        <v>444.26111111111106</v>
      </c>
      <c r="E3206">
        <f>'0374 table 5'!G1625</f>
        <v>4.8926246970535718</v>
      </c>
    </row>
    <row r="3207" spans="1:5" x14ac:dyDescent="0.35">
      <c r="A3207">
        <v>374</v>
      </c>
      <c r="B3207">
        <v>5</v>
      </c>
      <c r="C3207">
        <f>'0374 table 5'!E1626</f>
        <v>1103161.6000000001</v>
      </c>
      <c r="D3207">
        <f>'0374 table 5'!F1626</f>
        <v>305.37222222222221</v>
      </c>
      <c r="E3207">
        <f>'0374 table 5'!G1626</f>
        <v>8.3690978360258068</v>
      </c>
    </row>
    <row r="3208" spans="1:5" x14ac:dyDescent="0.35">
      <c r="A3208">
        <v>374</v>
      </c>
      <c r="B3208">
        <v>5</v>
      </c>
      <c r="C3208">
        <f>'0374 table 5'!E1627</f>
        <v>1103161.6000000001</v>
      </c>
      <c r="D3208">
        <f>'0374 table 5'!F1627</f>
        <v>310.92777777777775</v>
      </c>
      <c r="E3208">
        <f>'0374 table 5'!G1627</f>
        <v>8.1353241534552527</v>
      </c>
    </row>
    <row r="3209" spans="1:5" x14ac:dyDescent="0.35">
      <c r="A3209">
        <v>374</v>
      </c>
      <c r="B3209">
        <v>5</v>
      </c>
      <c r="C3209">
        <f>'0374 table 5'!E1628</f>
        <v>1103161.6000000001</v>
      </c>
      <c r="D3209">
        <f>'0374 table 5'!F1628</f>
        <v>316.48333333333329</v>
      </c>
      <c r="E3209">
        <f>'0374 table 5'!G1628</f>
        <v>7.9181677005207076</v>
      </c>
    </row>
    <row r="3210" spans="1:5" x14ac:dyDescent="0.35">
      <c r="A3210">
        <v>374</v>
      </c>
      <c r="B3210">
        <v>5</v>
      </c>
      <c r="C3210">
        <f>'0374 table 5'!E1629</f>
        <v>1103161.6000000001</v>
      </c>
      <c r="D3210">
        <f>'0374 table 5'!F1629</f>
        <v>322.03888888888889</v>
      </c>
      <c r="E3210">
        <f>'0374 table 5'!G1629</f>
        <v>7.7197365099534414</v>
      </c>
    </row>
    <row r="3211" spans="1:5" x14ac:dyDescent="0.35">
      <c r="A3211">
        <v>374</v>
      </c>
      <c r="B3211">
        <v>5</v>
      </c>
      <c r="C3211">
        <f>'0374 table 5'!E1630</f>
        <v>1103161.6000000001</v>
      </c>
      <c r="D3211">
        <f>'0374 table 5'!F1630</f>
        <v>327.59444444444443</v>
      </c>
      <c r="E3211">
        <f>'0374 table 5'!G1630</f>
        <v>7.5380956508957153</v>
      </c>
    </row>
    <row r="3212" spans="1:5" x14ac:dyDescent="0.35">
      <c r="A3212">
        <v>374</v>
      </c>
      <c r="B3212">
        <v>5</v>
      </c>
      <c r="C3212">
        <f>'0374 table 5'!E1631</f>
        <v>1103161.6000000001</v>
      </c>
      <c r="D3212">
        <f>'0374 table 5'!F1631</f>
        <v>333.15</v>
      </c>
      <c r="E3212">
        <f>'0374 table 5'!G1631</f>
        <v>7.3648060957027104</v>
      </c>
    </row>
    <row r="3213" spans="1:5" x14ac:dyDescent="0.35">
      <c r="A3213">
        <v>374</v>
      </c>
      <c r="B3213">
        <v>5</v>
      </c>
      <c r="C3213">
        <f>'0374 table 5'!E1632</f>
        <v>1103161.6000000001</v>
      </c>
      <c r="D3213">
        <f>'0374 table 5'!F1632</f>
        <v>338.70555555555552</v>
      </c>
      <c r="E3213">
        <f>'0374 table 5'!G1632</f>
        <v>7.2025419326229283</v>
      </c>
    </row>
    <row r="3214" spans="1:5" x14ac:dyDescent="0.35">
      <c r="A3214">
        <v>374</v>
      </c>
      <c r="B3214">
        <v>5</v>
      </c>
      <c r="C3214">
        <f>'0374 table 5'!E1633</f>
        <v>1103161.6000000001</v>
      </c>
      <c r="D3214">
        <f>'0374 table 5'!F1633</f>
        <v>344.26111111111106</v>
      </c>
      <c r="E3214">
        <f>'0374 table 5'!G1633</f>
        <v>7.0503755537646979</v>
      </c>
    </row>
    <row r="3215" spans="1:5" x14ac:dyDescent="0.35">
      <c r="A3215">
        <v>374</v>
      </c>
      <c r="B3215">
        <v>5</v>
      </c>
      <c r="C3215">
        <f>'0374 table 5'!E1634</f>
        <v>1103161.6000000001</v>
      </c>
      <c r="D3215">
        <f>'0374 table 5'!F1634</f>
        <v>349.81666666666666</v>
      </c>
      <c r="E3215">
        <f>'0374 table 5'!G1634</f>
        <v>6.9074830781170311</v>
      </c>
    </row>
    <row r="3216" spans="1:5" x14ac:dyDescent="0.35">
      <c r="A3216">
        <v>374</v>
      </c>
      <c r="B3216">
        <v>5</v>
      </c>
      <c r="C3216">
        <f>'0374 table 5'!E1635</f>
        <v>1103161.6000000001</v>
      </c>
      <c r="D3216">
        <f>'0374 table 5'!F1635</f>
        <v>355.37222222222221</v>
      </c>
      <c r="E3216">
        <f>'0374 table 5'!G1635</f>
        <v>6.773130341713907</v>
      </c>
    </row>
    <row r="3217" spans="1:5" x14ac:dyDescent="0.35">
      <c r="A3217">
        <v>374</v>
      </c>
      <c r="B3217">
        <v>5</v>
      </c>
      <c r="C3217">
        <f>'0374 table 5'!E1636</f>
        <v>1103161.6000000001</v>
      </c>
      <c r="D3217">
        <f>'0374 table 5'!F1636</f>
        <v>360.92777777777775</v>
      </c>
      <c r="E3217">
        <f>'0374 table 5'!G1636</f>
        <v>6.6439042962063013</v>
      </c>
    </row>
    <row r="3218" spans="1:5" x14ac:dyDescent="0.35">
      <c r="A3218">
        <v>374</v>
      </c>
      <c r="B3218">
        <v>5</v>
      </c>
      <c r="C3218">
        <f>'0374 table 5'!E1637</f>
        <v>1103161.6000000001</v>
      </c>
      <c r="D3218">
        <f>'0374 table 5'!F1637</f>
        <v>366.48333333333329</v>
      </c>
      <c r="E3218">
        <f>'0374 table 5'!G1637</f>
        <v>6.5195169955854269</v>
      </c>
    </row>
    <row r="3219" spans="1:5" x14ac:dyDescent="0.35">
      <c r="A3219">
        <v>374</v>
      </c>
      <c r="B3219">
        <v>5</v>
      </c>
      <c r="C3219">
        <f>'0374 table 5'!E1638</f>
        <v>1103161.6000000001</v>
      </c>
      <c r="D3219">
        <f>'0374 table 5'!F1638</f>
        <v>372.03888888888889</v>
      </c>
      <c r="E3219">
        <f>'0374 table 5'!G1638</f>
        <v>6.4022594956648256</v>
      </c>
    </row>
    <row r="3220" spans="1:5" x14ac:dyDescent="0.35">
      <c r="A3220">
        <v>374</v>
      </c>
      <c r="B3220">
        <v>5</v>
      </c>
      <c r="C3220">
        <f>'0374 table 5'!E1639</f>
        <v>1103161.6000000001</v>
      </c>
      <c r="D3220">
        <f>'0374 table 5'!F1639</f>
        <v>377.59444444444443</v>
      </c>
      <c r="E3220">
        <f>'0374 table 5'!G1639</f>
        <v>6.289145370299722</v>
      </c>
    </row>
    <row r="3221" spans="1:5" x14ac:dyDescent="0.35">
      <c r="A3221">
        <v>374</v>
      </c>
      <c r="B3221">
        <v>5</v>
      </c>
      <c r="C3221">
        <f>'0374 table 5'!E1640</f>
        <v>1103161.6000000001</v>
      </c>
      <c r="D3221">
        <f>'0374 table 5'!F1640</f>
        <v>383.15</v>
      </c>
      <c r="E3221">
        <f>'0374 table 5'!G1640</f>
        <v>6.1823439823054391</v>
      </c>
    </row>
    <row r="3222" spans="1:5" x14ac:dyDescent="0.35">
      <c r="A3222">
        <v>374</v>
      </c>
      <c r="B3222">
        <v>5</v>
      </c>
      <c r="C3222">
        <f>'0374 table 5'!E1641</f>
        <v>1103161.6000000001</v>
      </c>
      <c r="D3222">
        <f>'0374 table 5'!F1641</f>
        <v>388.70555555555552</v>
      </c>
      <c r="E3222">
        <f>'0374 table 5'!G1641</f>
        <v>6.0791093958836413</v>
      </c>
    </row>
    <row r="3223" spans="1:5" x14ac:dyDescent="0.35">
      <c r="A3223">
        <v>374</v>
      </c>
      <c r="B3223">
        <v>5</v>
      </c>
      <c r="C3223">
        <f>'0374 table 5'!E1642</f>
        <v>1103161.6000000001</v>
      </c>
      <c r="D3223">
        <f>'0374 table 5'!F1642</f>
        <v>394.26111111111106</v>
      </c>
      <c r="E3223">
        <f>'0374 table 5'!G1642</f>
        <v>5.9792658671718533</v>
      </c>
    </row>
    <row r="3224" spans="1:5" x14ac:dyDescent="0.35">
      <c r="A3224">
        <v>374</v>
      </c>
      <c r="B3224">
        <v>5</v>
      </c>
      <c r="C3224">
        <f>'0374 table 5'!E1643</f>
        <v>1103161.6000000001</v>
      </c>
      <c r="D3224">
        <f>'0374 table 5'!F1643</f>
        <v>399.81666666666666</v>
      </c>
      <c r="E3224">
        <f>'0374 table 5'!G1643</f>
        <v>5.8826490114408347</v>
      </c>
    </row>
    <row r="3225" spans="1:5" x14ac:dyDescent="0.35">
      <c r="A3225">
        <v>374</v>
      </c>
      <c r="B3225">
        <v>5</v>
      </c>
      <c r="C3225">
        <f>'0374 table 5'!E1644</f>
        <v>1103161.6000000001</v>
      </c>
      <c r="D3225">
        <f>'0374 table 5'!F1644</f>
        <v>405.37222222222221</v>
      </c>
      <c r="E3225">
        <f>'0374 table 5'!G1644</f>
        <v>5.7911978518269676</v>
      </c>
    </row>
    <row r="3226" spans="1:5" x14ac:dyDescent="0.35">
      <c r="A3226">
        <v>374</v>
      </c>
      <c r="B3226">
        <v>5</v>
      </c>
      <c r="C3226">
        <f>'0374 table 5'!E1645</f>
        <v>1103161.6000000001</v>
      </c>
      <c r="D3226">
        <f>'0374 table 5'!F1645</f>
        <v>410.92777777777775</v>
      </c>
      <c r="E3226">
        <f>'0374 table 5'!G1645</f>
        <v>5.7025465497164092</v>
      </c>
    </row>
    <row r="3227" spans="1:5" x14ac:dyDescent="0.35">
      <c r="A3227">
        <v>374</v>
      </c>
      <c r="B3227">
        <v>5</v>
      </c>
      <c r="C3227">
        <f>'0374 table 5'!E1646</f>
        <v>1103161.6000000001</v>
      </c>
      <c r="D3227">
        <f>'0374 table 5'!F1646</f>
        <v>416.48333333333335</v>
      </c>
      <c r="E3227">
        <f>'0374 table 5'!G1646</f>
        <v>5.6165684635881465</v>
      </c>
    </row>
    <row r="3228" spans="1:5" x14ac:dyDescent="0.35">
      <c r="A3228">
        <v>374</v>
      </c>
      <c r="B3228">
        <v>5</v>
      </c>
      <c r="C3228">
        <f>'0374 table 5'!E1647</f>
        <v>1103161.6000000001</v>
      </c>
      <c r="D3228">
        <f>'0374 table 5'!F1647</f>
        <v>422.03888888888889</v>
      </c>
      <c r="E3228">
        <f>'0374 table 5'!G1647</f>
        <v>5.5331444760460773</v>
      </c>
    </row>
    <row r="3229" spans="1:5" x14ac:dyDescent="0.35">
      <c r="A3229">
        <v>374</v>
      </c>
      <c r="B3229">
        <v>5</v>
      </c>
      <c r="C3229">
        <f>'0374 table 5'!E1648</f>
        <v>1103161.6000000001</v>
      </c>
      <c r="D3229">
        <f>'0374 table 5'!F1648</f>
        <v>433.15</v>
      </c>
      <c r="E3229">
        <f>'0374 table 5'!G1648</f>
        <v>5.3753198852863733</v>
      </c>
    </row>
    <row r="3230" spans="1:5" x14ac:dyDescent="0.35">
      <c r="A3230">
        <v>374</v>
      </c>
      <c r="B3230">
        <v>5</v>
      </c>
      <c r="C3230">
        <f>'0374 table 5'!E1649</f>
        <v>1103161.6000000001</v>
      </c>
      <c r="D3230">
        <f>'0374 table 5'!F1649</f>
        <v>444.26111111111106</v>
      </c>
      <c r="E3230">
        <f>'0374 table 5'!G1649</f>
        <v>5.2279547187184701</v>
      </c>
    </row>
    <row r="3231" spans="1:5" x14ac:dyDescent="0.35">
      <c r="A3231">
        <v>374</v>
      </c>
      <c r="B3231">
        <v>5</v>
      </c>
      <c r="C3231">
        <f>'0374 table 5'!E1650</f>
        <v>1172109.2</v>
      </c>
      <c r="D3231">
        <f>'0374 table 5'!F1650</f>
        <v>305.37222222222221</v>
      </c>
      <c r="E3231">
        <f>'0374 table 5'!G1650</f>
        <v>8.9789536200411391</v>
      </c>
    </row>
    <row r="3232" spans="1:5" x14ac:dyDescent="0.35">
      <c r="A3232">
        <v>374</v>
      </c>
      <c r="B3232">
        <v>5</v>
      </c>
      <c r="C3232">
        <f>'0374 table 5'!E1651</f>
        <v>1172109.2</v>
      </c>
      <c r="D3232">
        <f>'0374 table 5'!F1651</f>
        <v>310.92777777777775</v>
      </c>
      <c r="E3232">
        <f>'0374 table 5'!G1651</f>
        <v>8.7198983441226972</v>
      </c>
    </row>
    <row r="3233" spans="1:5" x14ac:dyDescent="0.35">
      <c r="A3233">
        <v>374</v>
      </c>
      <c r="B3233">
        <v>5</v>
      </c>
      <c r="C3233">
        <f>'0374 table 5'!E1652</f>
        <v>1172109.2</v>
      </c>
      <c r="D3233">
        <f>'0374 table 5'!F1652</f>
        <v>316.48333333333329</v>
      </c>
      <c r="E3233">
        <f>'0374 table 5'!G1652</f>
        <v>8.4798587920346176</v>
      </c>
    </row>
    <row r="3234" spans="1:5" x14ac:dyDescent="0.35">
      <c r="A3234">
        <v>374</v>
      </c>
      <c r="B3234">
        <v>5</v>
      </c>
      <c r="C3234">
        <f>'0374 table 5'!E1653</f>
        <v>1172109.2</v>
      </c>
      <c r="D3234">
        <f>'0374 table 5'!F1653</f>
        <v>322.03888888888889</v>
      </c>
      <c r="E3234">
        <f>'0374 table 5'!G1653</f>
        <v>8.2611930160667306</v>
      </c>
    </row>
    <row r="3235" spans="1:5" x14ac:dyDescent="0.35">
      <c r="A3235">
        <v>374</v>
      </c>
      <c r="B3235">
        <v>5</v>
      </c>
      <c r="C3235">
        <f>'0374 table 5'!E1654</f>
        <v>1172109.2</v>
      </c>
      <c r="D3235">
        <f>'0374 table 5'!F1654</f>
        <v>327.59444444444443</v>
      </c>
      <c r="E3235">
        <f>'0374 table 5'!G1654</f>
        <v>8.0575720614453683</v>
      </c>
    </row>
    <row r="3236" spans="1:5" x14ac:dyDescent="0.35">
      <c r="A3236">
        <v>374</v>
      </c>
      <c r="B3236">
        <v>5</v>
      </c>
      <c r="C3236">
        <f>'0374 table 5'!E1655</f>
        <v>1172109.2</v>
      </c>
      <c r="D3236">
        <f>'0374 table 5'!F1655</f>
        <v>333.15</v>
      </c>
      <c r="E3236">
        <f>'0374 table 5'!G1655</f>
        <v>7.8714758025323794</v>
      </c>
    </row>
    <row r="3237" spans="1:5" x14ac:dyDescent="0.35">
      <c r="A3237">
        <v>374</v>
      </c>
      <c r="B3237">
        <v>5</v>
      </c>
      <c r="C3237">
        <f>'0374 table 5'!E1656</f>
        <v>1172109.2</v>
      </c>
      <c r="D3237">
        <f>'0374 table 5'!F1656</f>
        <v>338.70555555555552</v>
      </c>
      <c r="E3237">
        <f>'0374 table 5'!G1656</f>
        <v>7.6974787401025448</v>
      </c>
    </row>
    <row r="3238" spans="1:5" x14ac:dyDescent="0.35">
      <c r="A3238">
        <v>374</v>
      </c>
      <c r="B3238">
        <v>5</v>
      </c>
      <c r="C3238">
        <f>'0374 table 5'!E1657</f>
        <v>1172109.2</v>
      </c>
      <c r="D3238">
        <f>'0374 table 5'!F1657</f>
        <v>344.26111111111106</v>
      </c>
      <c r="E3238">
        <f>'0374 table 5'!G1657</f>
        <v>7.5310076437016429</v>
      </c>
    </row>
    <row r="3239" spans="1:5" x14ac:dyDescent="0.35">
      <c r="A3239">
        <v>374</v>
      </c>
      <c r="B3239">
        <v>5</v>
      </c>
      <c r="C3239">
        <f>'0374 table 5'!E1658</f>
        <v>1172109.2</v>
      </c>
      <c r="D3239">
        <f>'0374 table 5'!F1658</f>
        <v>349.81666666666666</v>
      </c>
      <c r="E3239">
        <f>'0374 table 5'!G1658</f>
        <v>7.3749784798127962</v>
      </c>
    </row>
    <row r="3240" spans="1:5" x14ac:dyDescent="0.35">
      <c r="A3240">
        <v>374</v>
      </c>
      <c r="B3240">
        <v>5</v>
      </c>
      <c r="C3240">
        <f>'0374 table 5'!E1659</f>
        <v>1172109.2</v>
      </c>
      <c r="D3240">
        <f>'0374 table 5'!F1659</f>
        <v>355.37222222222221</v>
      </c>
      <c r="E3240">
        <f>'0374 table 5'!G1659</f>
        <v>7.2285438890583897</v>
      </c>
    </row>
    <row r="3241" spans="1:5" x14ac:dyDescent="0.35">
      <c r="A3241">
        <v>374</v>
      </c>
      <c r="B3241">
        <v>5</v>
      </c>
      <c r="C3241">
        <f>'0374 table 5'!E1660</f>
        <v>1172109.2</v>
      </c>
      <c r="D3241">
        <f>'0374 table 5'!F1660</f>
        <v>360.92777777777775</v>
      </c>
      <c r="E3241">
        <f>'0374 table 5'!G1660</f>
        <v>7.0878111761740685</v>
      </c>
    </row>
    <row r="3242" spans="1:5" x14ac:dyDescent="0.35">
      <c r="A3242">
        <v>374</v>
      </c>
      <c r="B3242">
        <v>5</v>
      </c>
      <c r="C3242">
        <f>'0374 table 5'!E1661</f>
        <v>1172109.2</v>
      </c>
      <c r="D3242">
        <f>'0374 table 5'!F1661</f>
        <v>366.48333333333329</v>
      </c>
      <c r="E3242">
        <f>'0374 table 5'!G1661</f>
        <v>6.9554725393631758</v>
      </c>
    </row>
    <row r="3243" spans="1:5" x14ac:dyDescent="0.35">
      <c r="A3243">
        <v>374</v>
      </c>
      <c r="B3243">
        <v>5</v>
      </c>
      <c r="C3243">
        <f>'0374 table 5'!E1662</f>
        <v>1172109.2</v>
      </c>
      <c r="D3243">
        <f>'0374 table 5'!F1662</f>
        <v>372.03888888888889</v>
      </c>
      <c r="E3243">
        <f>'0374 table 5'!G1662</f>
        <v>6.8279851910287261</v>
      </c>
    </row>
    <row r="3244" spans="1:5" x14ac:dyDescent="0.35">
      <c r="A3244">
        <v>374</v>
      </c>
      <c r="B3244">
        <v>5</v>
      </c>
      <c r="C3244">
        <f>'0374 table 5'!E1663</f>
        <v>1172109.2</v>
      </c>
      <c r="D3244">
        <f>'0374 table 5'!F1663</f>
        <v>377.59444444444443</v>
      </c>
      <c r="E3244">
        <f>'0374 table 5'!G1663</f>
        <v>6.7050871737770592</v>
      </c>
    </row>
    <row r="3245" spans="1:5" x14ac:dyDescent="0.35">
      <c r="A3245">
        <v>374</v>
      </c>
      <c r="B3245">
        <v>5</v>
      </c>
      <c r="C3245">
        <f>'0374 table 5'!E1664</f>
        <v>1172109.2</v>
      </c>
      <c r="D3245">
        <f>'0374 table 5'!F1664</f>
        <v>383.15</v>
      </c>
      <c r="E3245">
        <f>'0374 table 5'!G1664</f>
        <v>6.5892444500836671</v>
      </c>
    </row>
    <row r="3246" spans="1:5" x14ac:dyDescent="0.35">
      <c r="A3246">
        <v>374</v>
      </c>
      <c r="B3246">
        <v>5</v>
      </c>
      <c r="C3246">
        <f>'0374 table 5'!E1665</f>
        <v>1172109.2</v>
      </c>
      <c r="D3246">
        <f>'0374 table 5'!F1665</f>
        <v>388.70555555555552</v>
      </c>
      <c r="E3246">
        <f>'0374 table 5'!G1665</f>
        <v>6.4773365378703573</v>
      </c>
    </row>
    <row r="3247" spans="1:5" x14ac:dyDescent="0.35">
      <c r="A3247">
        <v>374</v>
      </c>
      <c r="B3247">
        <v>5</v>
      </c>
      <c r="C3247">
        <f>'0374 table 5'!E1666</f>
        <v>1172109.2</v>
      </c>
      <c r="D3247">
        <f>'0374 table 5'!F1666</f>
        <v>394.26111111111106</v>
      </c>
      <c r="E3247">
        <f>'0374 table 5'!G1666</f>
        <v>6.3716997844683352</v>
      </c>
    </row>
    <row r="3248" spans="1:5" x14ac:dyDescent="0.35">
      <c r="A3248">
        <v>374</v>
      </c>
      <c r="B3248">
        <v>5</v>
      </c>
      <c r="C3248">
        <f>'0374 table 5'!E1667</f>
        <v>1172109.2</v>
      </c>
      <c r="D3248">
        <f>'0374 table 5'!F1667</f>
        <v>399.81666666666666</v>
      </c>
      <c r="E3248">
        <f>'0374 table 5'!G1667</f>
        <v>6.269453330001328</v>
      </c>
    </row>
    <row r="3249" spans="1:5" x14ac:dyDescent="0.35">
      <c r="A3249">
        <v>374</v>
      </c>
      <c r="B3249">
        <v>5</v>
      </c>
      <c r="C3249">
        <f>'0374 table 5'!E1668</f>
        <v>1172109.2</v>
      </c>
      <c r="D3249">
        <f>'0374 table 5'!F1668</f>
        <v>405.37222222222221</v>
      </c>
      <c r="E3249">
        <f>'0374 table 5'!G1668</f>
        <v>6.170436540120722</v>
      </c>
    </row>
    <row r="3250" spans="1:5" x14ac:dyDescent="0.35">
      <c r="A3250">
        <v>374</v>
      </c>
      <c r="B3250">
        <v>5</v>
      </c>
      <c r="C3250">
        <f>'0374 table 5'!E1669</f>
        <v>1172109.2</v>
      </c>
      <c r="D3250">
        <f>'0374 table 5'!F1669</f>
        <v>410.92777777777775</v>
      </c>
      <c r="E3250">
        <f>'0374 table 5'!G1669</f>
        <v>6.0744987706307905</v>
      </c>
    </row>
    <row r="3251" spans="1:5" x14ac:dyDescent="0.35">
      <c r="A3251">
        <v>374</v>
      </c>
      <c r="B3251">
        <v>5</v>
      </c>
      <c r="C3251">
        <f>'0374 table 5'!E1670</f>
        <v>1172109.2</v>
      </c>
      <c r="D3251">
        <f>'0374 table 5'!F1670</f>
        <v>416.48333333333335</v>
      </c>
      <c r="E3251">
        <f>'0374 table 5'!G1670</f>
        <v>5.9814986027458525</v>
      </c>
    </row>
    <row r="3252" spans="1:5" x14ac:dyDescent="0.35">
      <c r="A3252">
        <v>374</v>
      </c>
      <c r="B3252">
        <v>5</v>
      </c>
      <c r="C3252">
        <f>'0374 table 5'!E1671</f>
        <v>1172109.2</v>
      </c>
      <c r="D3252">
        <f>'0374 table 5'!F1671</f>
        <v>422.03888888888889</v>
      </c>
      <c r="E3252">
        <f>'0374 table 5'!G1671</f>
        <v>5.8934706615722563</v>
      </c>
    </row>
    <row r="3253" spans="1:5" x14ac:dyDescent="0.35">
      <c r="A3253">
        <v>374</v>
      </c>
      <c r="B3253">
        <v>5</v>
      </c>
      <c r="C3253">
        <f>'0374 table 5'!E1672</f>
        <v>1172109.2</v>
      </c>
      <c r="D3253">
        <f>'0374 table 5'!F1672</f>
        <v>433.15</v>
      </c>
      <c r="E3253">
        <f>'0374 table 5'!G1672</f>
        <v>5.7249654246438153</v>
      </c>
    </row>
    <row r="3254" spans="1:5" x14ac:dyDescent="0.35">
      <c r="A3254">
        <v>374</v>
      </c>
      <c r="B3254">
        <v>5</v>
      </c>
      <c r="C3254">
        <f>'0374 table 5'!E1673</f>
        <v>1172109.2</v>
      </c>
      <c r="D3254">
        <f>'0374 table 5'!F1673</f>
        <v>444.26111111111106</v>
      </c>
      <c r="E3254">
        <f>'0374 table 5'!G1673</f>
        <v>5.5658280952583024</v>
      </c>
    </row>
    <row r="3255" spans="1:5" x14ac:dyDescent="0.35">
      <c r="A3255">
        <v>374</v>
      </c>
      <c r="B3255">
        <v>5</v>
      </c>
      <c r="C3255">
        <f>'0374 table 5'!E1674</f>
        <v>1241056.8</v>
      </c>
      <c r="D3255">
        <f>'0374 table 5'!F1674</f>
        <v>305.37222222222221</v>
      </c>
      <c r="E3255">
        <f>'0374 table 5'!G1674</f>
        <v>9.6033892434972383</v>
      </c>
    </row>
    <row r="3256" spans="1:5" x14ac:dyDescent="0.35">
      <c r="A3256">
        <v>374</v>
      </c>
      <c r="B3256">
        <v>5</v>
      </c>
      <c r="C3256">
        <f>'0374 table 5'!E1675</f>
        <v>1241056.8</v>
      </c>
      <c r="D3256">
        <f>'0374 table 5'!F1675</f>
        <v>310.92777777777775</v>
      </c>
      <c r="E3256">
        <f>'0374 table 5'!G1675</f>
        <v>9.3130542198566246</v>
      </c>
    </row>
    <row r="3257" spans="1:5" x14ac:dyDescent="0.35">
      <c r="A3257">
        <v>374</v>
      </c>
      <c r="B3257">
        <v>5</v>
      </c>
      <c r="C3257">
        <f>'0374 table 5'!E1676</f>
        <v>1241056.8</v>
      </c>
      <c r="D3257">
        <f>'0374 table 5'!F1676</f>
        <v>316.48333333333329</v>
      </c>
      <c r="E3257">
        <f>'0374 table 5'!G1676</f>
        <v>9.049973592177059</v>
      </c>
    </row>
    <row r="3258" spans="1:5" x14ac:dyDescent="0.35">
      <c r="A3258">
        <v>374</v>
      </c>
      <c r="B3258">
        <v>5</v>
      </c>
      <c r="C3258">
        <f>'0374 table 5'!E1677</f>
        <v>1241056.8</v>
      </c>
      <c r="D3258">
        <f>'0374 table 5'!F1677</f>
        <v>322.03888888888889</v>
      </c>
      <c r="E3258">
        <f>'0374 table 5'!G1677</f>
        <v>8.8110303950238684</v>
      </c>
    </row>
    <row r="3259" spans="1:5" x14ac:dyDescent="0.35">
      <c r="A3259">
        <v>374</v>
      </c>
      <c r="B3259">
        <v>5</v>
      </c>
      <c r="C3259">
        <f>'0374 table 5'!E1678</f>
        <v>1241056.8</v>
      </c>
      <c r="D3259">
        <f>'0374 table 5'!F1678</f>
        <v>327.59444444444443</v>
      </c>
      <c r="E3259">
        <f>'0374 table 5'!G1678</f>
        <v>8.5889829802431059</v>
      </c>
    </row>
    <row r="3260" spans="1:5" x14ac:dyDescent="0.35">
      <c r="A3260">
        <v>374</v>
      </c>
      <c r="B3260">
        <v>5</v>
      </c>
      <c r="C3260">
        <f>'0374 table 5'!E1679</f>
        <v>1241056.8</v>
      </c>
      <c r="D3260">
        <f>'0374 table 5'!F1679</f>
        <v>333.15</v>
      </c>
      <c r="E3260">
        <f>'0374 table 5'!G1679</f>
        <v>8.3866247424886886</v>
      </c>
    </row>
    <row r="3261" spans="1:5" x14ac:dyDescent="0.35">
      <c r="A3261">
        <v>374</v>
      </c>
      <c r="B3261">
        <v>5</v>
      </c>
      <c r="C3261">
        <f>'0374 table 5'!E1680</f>
        <v>1241056.8</v>
      </c>
      <c r="D3261">
        <f>'0374 table 5'!F1680</f>
        <v>338.70555555555552</v>
      </c>
      <c r="E3261">
        <f>'0374 table 5'!G1680</f>
        <v>8.1935822292344724</v>
      </c>
    </row>
    <row r="3262" spans="1:5" x14ac:dyDescent="0.35">
      <c r="A3262">
        <v>374</v>
      </c>
      <c r="B3262">
        <v>5</v>
      </c>
      <c r="C3262">
        <f>'0374 table 5'!E1681</f>
        <v>1241056.8</v>
      </c>
      <c r="D3262">
        <f>'0374 table 5'!F1681</f>
        <v>344.26111111111106</v>
      </c>
      <c r="E3262">
        <f>'0374 table 5'!G1681</f>
        <v>8.0132332456995456</v>
      </c>
    </row>
    <row r="3263" spans="1:5" x14ac:dyDescent="0.35">
      <c r="A3263">
        <v>374</v>
      </c>
      <c r="B3263">
        <v>5</v>
      </c>
      <c r="C3263">
        <f>'0374 table 5'!E1682</f>
        <v>1241056.8</v>
      </c>
      <c r="D3263">
        <f>'0374 table 5'!F1682</f>
        <v>349.81666666666666</v>
      </c>
      <c r="E3263">
        <f>'0374 table 5'!G1682</f>
        <v>7.8444922909664028</v>
      </c>
    </row>
    <row r="3264" spans="1:5" x14ac:dyDescent="0.35">
      <c r="A3264">
        <v>374</v>
      </c>
      <c r="B3264">
        <v>5</v>
      </c>
      <c r="C3264">
        <f>'0374 table 5'!E1683</f>
        <v>1241056.8</v>
      </c>
      <c r="D3264">
        <f>'0374 table 5'!F1683</f>
        <v>355.37222222222221</v>
      </c>
      <c r="E3264">
        <f>'0374 table 5'!G1683</f>
        <v>7.6863979165803231</v>
      </c>
    </row>
    <row r="3265" spans="1:5" x14ac:dyDescent="0.35">
      <c r="A3265">
        <v>374</v>
      </c>
      <c r="B3265">
        <v>5</v>
      </c>
      <c r="C3265">
        <f>'0374 table 5'!E1684</f>
        <v>1241056.8</v>
      </c>
      <c r="D3265">
        <f>'0374 table 5'!F1684</f>
        <v>360.92777777777775</v>
      </c>
      <c r="E3265">
        <f>'0374 table 5'!G1684</f>
        <v>7.5345499803167426</v>
      </c>
    </row>
    <row r="3266" spans="1:5" x14ac:dyDescent="0.35">
      <c r="A3266">
        <v>374</v>
      </c>
      <c r="B3266">
        <v>5</v>
      </c>
      <c r="C3266">
        <f>'0374 table 5'!E1685</f>
        <v>1241056.8</v>
      </c>
      <c r="D3266">
        <f>'0374 table 5'!F1685</f>
        <v>366.48333333333329</v>
      </c>
      <c r="E3266">
        <f>'0374 table 5'!G1685</f>
        <v>7.3919950429872614</v>
      </c>
    </row>
    <row r="3267" spans="1:5" x14ac:dyDescent="0.35">
      <c r="A3267">
        <v>374</v>
      </c>
      <c r="B3267">
        <v>5</v>
      </c>
      <c r="C3267">
        <f>'0374 table 5'!E1686</f>
        <v>1241056.8</v>
      </c>
      <c r="D3267">
        <f>'0374 table 5'!F1686</f>
        <v>372.03888888888889</v>
      </c>
      <c r="E3267">
        <f>'0374 table 5'!G1686</f>
        <v>7.2547342654680218</v>
      </c>
    </row>
    <row r="3268" spans="1:5" x14ac:dyDescent="0.35">
      <c r="A3268">
        <v>374</v>
      </c>
      <c r="B3268">
        <v>5</v>
      </c>
      <c r="C3268">
        <f>'0374 table 5'!E1687</f>
        <v>1241056.8</v>
      </c>
      <c r="D3268">
        <f>'0374 table 5'!F1687</f>
        <v>377.59444444444443</v>
      </c>
      <c r="E3268">
        <f>'0374 table 5'!G1687</f>
        <v>7.1256464671500854</v>
      </c>
    </row>
    <row r="3269" spans="1:5" x14ac:dyDescent="0.35">
      <c r="A3269">
        <v>374</v>
      </c>
      <c r="B3269">
        <v>5</v>
      </c>
      <c r="C3269">
        <f>'0374 table 5'!E1688</f>
        <v>1241056.8</v>
      </c>
      <c r="D3269">
        <f>'0374 table 5'!F1688</f>
        <v>383.15</v>
      </c>
      <c r="E3269">
        <f>'0374 table 5'!G1688</f>
        <v>7.0010722282138955</v>
      </c>
    </row>
    <row r="3270" spans="1:5" x14ac:dyDescent="0.35">
      <c r="A3270">
        <v>374</v>
      </c>
      <c r="B3270">
        <v>5</v>
      </c>
      <c r="C3270">
        <f>'0374 table 5'!E1689</f>
        <v>1241056.8</v>
      </c>
      <c r="D3270">
        <f>'0374 table 5'!F1689</f>
        <v>388.70555555555552</v>
      </c>
      <c r="E3270">
        <f>'0374 table 5'!G1689</f>
        <v>6.8807788909593617</v>
      </c>
    </row>
    <row r="3271" spans="1:5" x14ac:dyDescent="0.35">
      <c r="A3271">
        <v>374</v>
      </c>
      <c r="B3271">
        <v>5</v>
      </c>
      <c r="C3271">
        <f>'0374 table 5'!E1690</f>
        <v>1241056.8</v>
      </c>
      <c r="D3271">
        <f>'0374 table 5'!F1690</f>
        <v>394.26111111111106</v>
      </c>
      <c r="E3271">
        <f>'0374 table 5'!G1690</f>
        <v>6.7674073756457087</v>
      </c>
    </row>
    <row r="3272" spans="1:5" x14ac:dyDescent="0.35">
      <c r="A3272">
        <v>374</v>
      </c>
      <c r="B3272">
        <v>5</v>
      </c>
      <c r="C3272">
        <f>'0374 table 5'!E1691</f>
        <v>1241056.8</v>
      </c>
      <c r="D3272">
        <f>'0374 table 5'!F1691</f>
        <v>399.81666666666666</v>
      </c>
      <c r="E3272">
        <f>'0374 table 5'!G1691</f>
        <v>6.6549452672012439</v>
      </c>
    </row>
    <row r="3273" spans="1:5" x14ac:dyDescent="0.35">
      <c r="A3273">
        <v>374</v>
      </c>
      <c r="B3273">
        <v>5</v>
      </c>
      <c r="C3273">
        <f>'0374 table 5'!E1692</f>
        <v>1241056.8</v>
      </c>
      <c r="D3273">
        <f>'0374 table 5'!F1692</f>
        <v>405.37222222222221</v>
      </c>
      <c r="E3273">
        <f>'0374 table 5'!G1692</f>
        <v>6.5488361644126707</v>
      </c>
    </row>
    <row r="3274" spans="1:5" x14ac:dyDescent="0.35">
      <c r="A3274">
        <v>374</v>
      </c>
      <c r="B3274">
        <v>5</v>
      </c>
      <c r="C3274">
        <f>'0374 table 5'!E1693</f>
        <v>1241056.8</v>
      </c>
      <c r="D3274">
        <f>'0374 table 5'!F1693</f>
        <v>410.92777777777775</v>
      </c>
      <c r="E3274">
        <f>'0374 table 5'!G1693</f>
        <v>6.4486526804160205</v>
      </c>
    </row>
    <row r="3275" spans="1:5" x14ac:dyDescent="0.35">
      <c r="A3275">
        <v>374</v>
      </c>
      <c r="B3275">
        <v>5</v>
      </c>
      <c r="C3275">
        <f>'0374 table 5'!E1694</f>
        <v>1241056.8</v>
      </c>
      <c r="D3275">
        <f>'0374 table 5'!F1694</f>
        <v>416.48333333333335</v>
      </c>
      <c r="E3275">
        <f>'0374 table 5'!G1694</f>
        <v>6.3489707721575082</v>
      </c>
    </row>
    <row r="3276" spans="1:5" x14ac:dyDescent="0.35">
      <c r="A3276">
        <v>374</v>
      </c>
      <c r="B3276">
        <v>5</v>
      </c>
      <c r="C3276">
        <f>'0374 table 5'!E1695</f>
        <v>1241056.8</v>
      </c>
      <c r="D3276">
        <f>'0374 table 5'!F1695</f>
        <v>422.03888888888889</v>
      </c>
      <c r="E3276">
        <f>'0374 table 5'!G1695</f>
        <v>6.2547650363738354</v>
      </c>
    </row>
    <row r="3277" spans="1:5" x14ac:dyDescent="0.35">
      <c r="A3277">
        <v>374</v>
      </c>
      <c r="B3277">
        <v>5</v>
      </c>
      <c r="C3277">
        <f>'0374 table 5'!E1696</f>
        <v>1241056.8</v>
      </c>
      <c r="D3277">
        <f>'0374 table 5'!F1696</f>
        <v>433.15</v>
      </c>
      <c r="E3277">
        <f>'0374 table 5'!G1696</f>
        <v>6.0744987706307905</v>
      </c>
    </row>
    <row r="3278" spans="1:5" x14ac:dyDescent="0.35">
      <c r="A3278">
        <v>374</v>
      </c>
      <c r="B3278">
        <v>5</v>
      </c>
      <c r="C3278">
        <f>'0374 table 5'!E1697</f>
        <v>1241056.8</v>
      </c>
      <c r="D3278">
        <f>'0374 table 5'!F1697</f>
        <v>444.26111111111106</v>
      </c>
      <c r="E3278">
        <f>'0374 table 5'!G1697</f>
        <v>5.904332199835383</v>
      </c>
    </row>
    <row r="3279" spans="1:5" x14ac:dyDescent="0.35">
      <c r="A3279">
        <v>374</v>
      </c>
      <c r="B3279">
        <v>5</v>
      </c>
      <c r="C3279">
        <f>'0374 table 5'!E1698</f>
        <v>1310004.4000000001</v>
      </c>
      <c r="D3279">
        <f>'0374 table 5'!F1698</f>
        <v>310.92777777777775</v>
      </c>
      <c r="E3279">
        <f>'0374 table 5'!G1698</f>
        <v>9.91854690907331</v>
      </c>
    </row>
    <row r="3280" spans="1:5" x14ac:dyDescent="0.35">
      <c r="A3280">
        <v>374</v>
      </c>
      <c r="B3280">
        <v>5</v>
      </c>
      <c r="C3280">
        <f>'0374 table 5'!E1699</f>
        <v>1310004.4000000001</v>
      </c>
      <c r="D3280">
        <f>'0374 table 5'!F1699</f>
        <v>316.48333333333329</v>
      </c>
      <c r="E3280">
        <f>'0374 table 5'!G1699</f>
        <v>9.6322629333453964</v>
      </c>
    </row>
    <row r="3281" spans="1:5" x14ac:dyDescent="0.35">
      <c r="A3281">
        <v>374</v>
      </c>
      <c r="B3281">
        <v>5</v>
      </c>
      <c r="C3281">
        <f>'0374 table 5'!E1700</f>
        <v>1310004.4000000001</v>
      </c>
      <c r="D3281">
        <f>'0374 table 5'!F1700</f>
        <v>322.03888888888889</v>
      </c>
      <c r="E3281">
        <f>'0374 table 5'!G1700</f>
        <v>9.3675165252359029</v>
      </c>
    </row>
    <row r="3282" spans="1:5" x14ac:dyDescent="0.35">
      <c r="A3282">
        <v>374</v>
      </c>
      <c r="B3282">
        <v>5</v>
      </c>
      <c r="C3282">
        <f>'0374 table 5'!E1701</f>
        <v>1310004.4000000001</v>
      </c>
      <c r="D3282">
        <f>'0374 table 5'!F1701</f>
        <v>327.59444444444443</v>
      </c>
      <c r="E3282">
        <f>'0374 table 5'!G1701</f>
        <v>9.1273237938195972</v>
      </c>
    </row>
    <row r="3283" spans="1:5" x14ac:dyDescent="0.35">
      <c r="A3283">
        <v>374</v>
      </c>
      <c r="B3283">
        <v>5</v>
      </c>
      <c r="C3283">
        <f>'0374 table 5'!E1702</f>
        <v>1310004.4000000001</v>
      </c>
      <c r="D3283">
        <f>'0374 table 5'!F1702</f>
        <v>333.15</v>
      </c>
      <c r="E3283">
        <f>'0374 table 5'!G1702</f>
        <v>8.9040874142042217</v>
      </c>
    </row>
    <row r="3284" spans="1:5" x14ac:dyDescent="0.35">
      <c r="A3284">
        <v>374</v>
      </c>
      <c r="B3284">
        <v>5</v>
      </c>
      <c r="C3284">
        <f>'0374 table 5'!E1703</f>
        <v>1310004.4000000001</v>
      </c>
      <c r="D3284">
        <f>'0374 table 5'!F1703</f>
        <v>338.70555555555552</v>
      </c>
      <c r="E3284">
        <f>'0374 table 5'!G1703</f>
        <v>8.6962286960659032</v>
      </c>
    </row>
    <row r="3285" spans="1:5" x14ac:dyDescent="0.35">
      <c r="A3285">
        <v>374</v>
      </c>
      <c r="B3285">
        <v>5</v>
      </c>
      <c r="C3285">
        <f>'0374 table 5'!E1704</f>
        <v>1310004.4000000001</v>
      </c>
      <c r="D3285">
        <f>'0374 table 5'!F1704</f>
        <v>344.26111111111106</v>
      </c>
      <c r="E3285">
        <f>'0374 table 5'!G1704</f>
        <v>8.5023637251344972</v>
      </c>
    </row>
    <row r="3286" spans="1:5" x14ac:dyDescent="0.35">
      <c r="A3286">
        <v>374</v>
      </c>
      <c r="B3286">
        <v>5</v>
      </c>
      <c r="C3286">
        <f>'0374 table 5'!E1705</f>
        <v>1310004.4000000001</v>
      </c>
      <c r="D3286">
        <f>'0374 table 5'!F1705</f>
        <v>349.81666666666666</v>
      </c>
      <c r="E3286">
        <f>'0374 table 5'!G1705</f>
        <v>8.3212744198199449</v>
      </c>
    </row>
    <row r="3287" spans="1:5" x14ac:dyDescent="0.35">
      <c r="A3287">
        <v>374</v>
      </c>
      <c r="B3287">
        <v>5</v>
      </c>
      <c r="C3287">
        <f>'0374 table 5'!E1706</f>
        <v>1310004.4000000001</v>
      </c>
      <c r="D3287">
        <f>'0374 table 5'!F1706</f>
        <v>355.37222222222221</v>
      </c>
      <c r="E3287">
        <f>'0374 table 5'!G1706</f>
        <v>8.147738178104472</v>
      </c>
    </row>
    <row r="3288" spans="1:5" x14ac:dyDescent="0.35">
      <c r="A3288">
        <v>374</v>
      </c>
      <c r="B3288">
        <v>5</v>
      </c>
      <c r="C3288">
        <f>'0374 table 5'!E1707</f>
        <v>1310004.4000000001</v>
      </c>
      <c r="D3288">
        <f>'0374 table 5'!F1707</f>
        <v>360.92777777777775</v>
      </c>
      <c r="E3288">
        <f>'0374 table 5'!G1707</f>
        <v>7.9892534953383514</v>
      </c>
    </row>
    <row r="3289" spans="1:5" x14ac:dyDescent="0.35">
      <c r="A3289">
        <v>374</v>
      </c>
      <c r="B3289">
        <v>5</v>
      </c>
      <c r="C3289">
        <f>'0374 table 5'!E1708</f>
        <v>1310004.4000000001</v>
      </c>
      <c r="D3289">
        <f>'0374 table 5'!F1708</f>
        <v>366.48333333333329</v>
      </c>
      <c r="E3289">
        <f>'0374 table 5'!G1708</f>
        <v>7.832984478314617</v>
      </c>
    </row>
    <row r="3290" spans="1:5" x14ac:dyDescent="0.35">
      <c r="A3290">
        <v>374</v>
      </c>
      <c r="B3290">
        <v>5</v>
      </c>
      <c r="C3290">
        <f>'0374 table 5'!E1709</f>
        <v>1310004.4000000001</v>
      </c>
      <c r="D3290">
        <f>'0374 table 5'!F1709</f>
        <v>372.03888888888889</v>
      </c>
      <c r="E3290">
        <f>'0374 table 5'!G1709</f>
        <v>7.6863979165803231</v>
      </c>
    </row>
    <row r="3291" spans="1:5" x14ac:dyDescent="0.35">
      <c r="A3291">
        <v>374</v>
      </c>
      <c r="B3291">
        <v>5</v>
      </c>
      <c r="C3291">
        <f>'0374 table 5'!E1710</f>
        <v>1310004.4000000001</v>
      </c>
      <c r="D3291">
        <f>'0374 table 5'!F1710</f>
        <v>377.59444444444443</v>
      </c>
      <c r="E3291">
        <f>'0374 table 5'!G1710</f>
        <v>7.5451970127901049</v>
      </c>
    </row>
    <row r="3292" spans="1:5" x14ac:dyDescent="0.35">
      <c r="A3292">
        <v>374</v>
      </c>
      <c r="B3292">
        <v>5</v>
      </c>
      <c r="C3292">
        <f>'0374 table 5'!E1711</f>
        <v>1310004.4000000001</v>
      </c>
      <c r="D3292">
        <f>'0374 table 5'!F1711</f>
        <v>383.15</v>
      </c>
      <c r="E3292">
        <f>'0374 table 5'!G1711</f>
        <v>7.4125188607836154</v>
      </c>
    </row>
    <row r="3293" spans="1:5" x14ac:dyDescent="0.35">
      <c r="A3293">
        <v>374</v>
      </c>
      <c r="B3293">
        <v>5</v>
      </c>
      <c r="C3293">
        <f>'0374 table 5'!E1712</f>
        <v>1310004.4000000001</v>
      </c>
      <c r="D3293">
        <f>'0374 table 5'!F1712</f>
        <v>388.70555555555552</v>
      </c>
      <c r="E3293">
        <f>'0374 table 5'!G1712</f>
        <v>7.2844262201698022</v>
      </c>
    </row>
    <row r="3294" spans="1:5" x14ac:dyDescent="0.35">
      <c r="A3294">
        <v>374</v>
      </c>
      <c r="B3294">
        <v>5</v>
      </c>
      <c r="C3294">
        <f>'0374 table 5'!E1713</f>
        <v>1310004.4000000001</v>
      </c>
      <c r="D3294">
        <f>'0374 table 5'!F1713</f>
        <v>394.26111111111106</v>
      </c>
      <c r="E3294">
        <f>'0374 table 5'!G1713</f>
        <v>7.1703013689137851</v>
      </c>
    </row>
    <row r="3295" spans="1:5" x14ac:dyDescent="0.35">
      <c r="A3295">
        <v>374</v>
      </c>
      <c r="B3295">
        <v>5</v>
      </c>
      <c r="C3295">
        <f>'0374 table 5'!E1714</f>
        <v>1310004.4000000001</v>
      </c>
      <c r="D3295">
        <f>'0374 table 5'!F1714</f>
        <v>399.81666666666666</v>
      </c>
      <c r="E3295">
        <f>'0374 table 5'!G1714</f>
        <v>7.0441746957578681</v>
      </c>
    </row>
    <row r="3296" spans="1:5" x14ac:dyDescent="0.35">
      <c r="A3296">
        <v>374</v>
      </c>
      <c r="B3296">
        <v>5</v>
      </c>
      <c r="C3296">
        <f>'0374 table 5'!E1715</f>
        <v>1310004.4000000001</v>
      </c>
      <c r="D3296">
        <f>'0374 table 5'!F1715</f>
        <v>405.37222222222221</v>
      </c>
      <c r="E3296">
        <f>'0374 table 5'!G1715</f>
        <v>6.9313947460637797</v>
      </c>
    </row>
    <row r="3297" spans="1:5" x14ac:dyDescent="0.35">
      <c r="A3297">
        <v>374</v>
      </c>
      <c r="B3297">
        <v>5</v>
      </c>
      <c r="C3297">
        <f>'0374 table 5'!E1716</f>
        <v>1310004.4000000001</v>
      </c>
      <c r="D3297">
        <f>'0374 table 5'!F1716</f>
        <v>410.92777777777775</v>
      </c>
      <c r="E3297">
        <f>'0374 table 5'!G1716</f>
        <v>6.8221691900142218</v>
      </c>
    </row>
    <row r="3298" spans="1:5" x14ac:dyDescent="0.35">
      <c r="A3298">
        <v>374</v>
      </c>
      <c r="B3298">
        <v>5</v>
      </c>
      <c r="C3298">
        <f>'0374 table 5'!E1717</f>
        <v>1310004.4000000001</v>
      </c>
      <c r="D3298">
        <f>'0374 table 5'!F1717</f>
        <v>416.48333333333335</v>
      </c>
      <c r="E3298">
        <f>'0374 table 5'!G1717</f>
        <v>6.7191498566079666</v>
      </c>
    </row>
    <row r="3299" spans="1:5" x14ac:dyDescent="0.35">
      <c r="A3299">
        <v>374</v>
      </c>
      <c r="B3299">
        <v>5</v>
      </c>
      <c r="C3299">
        <f>'0374 table 5'!E1718</f>
        <v>1310004.4000000001</v>
      </c>
      <c r="D3299">
        <f>'0374 table 5'!F1718</f>
        <v>422.03888888888889</v>
      </c>
      <c r="E3299">
        <f>'0374 table 5'!G1718</f>
        <v>6.6164614862261031</v>
      </c>
    </row>
    <row r="3300" spans="1:5" x14ac:dyDescent="0.35">
      <c r="A3300">
        <v>374</v>
      </c>
      <c r="B3300">
        <v>5</v>
      </c>
      <c r="C3300">
        <f>'0374 table 5'!E1719</f>
        <v>1310004.4000000001</v>
      </c>
      <c r="D3300">
        <f>'0374 table 5'!F1719</f>
        <v>433.15</v>
      </c>
      <c r="E3300">
        <f>'0374 table 5'!G1719</f>
        <v>6.4253723458296808</v>
      </c>
    </row>
    <row r="3301" spans="1:5" x14ac:dyDescent="0.35">
      <c r="A3301">
        <v>374</v>
      </c>
      <c r="B3301">
        <v>5</v>
      </c>
      <c r="C3301">
        <f>'0374 table 5'!E1720</f>
        <v>1310004.4000000001</v>
      </c>
      <c r="D3301">
        <f>'0374 table 5'!F1720</f>
        <v>444.26111111111106</v>
      </c>
      <c r="E3301">
        <f>'0374 table 5'!G1720</f>
        <v>6.2450110168239359</v>
      </c>
    </row>
    <row r="3302" spans="1:5" x14ac:dyDescent="0.35">
      <c r="A3302">
        <v>374</v>
      </c>
      <c r="B3302">
        <v>5</v>
      </c>
      <c r="C3302">
        <f>'0374 table 5'!E1721</f>
        <v>1378952</v>
      </c>
      <c r="D3302">
        <f>'0374 table 5'!F1721</f>
        <v>310.92777777777775</v>
      </c>
      <c r="E3302">
        <f>'0374 table 5'!G1721</f>
        <v>10.53845609089039</v>
      </c>
    </row>
    <row r="3303" spans="1:5" x14ac:dyDescent="0.35">
      <c r="A3303">
        <v>374</v>
      </c>
      <c r="B3303">
        <v>5</v>
      </c>
      <c r="C3303">
        <f>'0374 table 5'!E1722</f>
        <v>1378952</v>
      </c>
      <c r="D3303">
        <f>'0374 table 5'!F1722</f>
        <v>316.48333333333329</v>
      </c>
      <c r="E3303">
        <f>'0374 table 5'!G1722</f>
        <v>10.222369660595655</v>
      </c>
    </row>
    <row r="3304" spans="1:5" x14ac:dyDescent="0.35">
      <c r="A3304">
        <v>374</v>
      </c>
      <c r="B3304">
        <v>5</v>
      </c>
      <c r="C3304">
        <f>'0374 table 5'!E1723</f>
        <v>1378952</v>
      </c>
      <c r="D3304">
        <f>'0374 table 5'!F1723</f>
        <v>322.03888888888889</v>
      </c>
      <c r="E3304">
        <f>'0374 table 5'!G1723</f>
        <v>9.9370057432713352</v>
      </c>
    </row>
    <row r="3305" spans="1:5" x14ac:dyDescent="0.35">
      <c r="A3305">
        <v>374</v>
      </c>
      <c r="B3305">
        <v>5</v>
      </c>
      <c r="C3305">
        <f>'0374 table 5'!E1724</f>
        <v>1378952</v>
      </c>
      <c r="D3305">
        <f>'0374 table 5'!F1724</f>
        <v>327.59444444444443</v>
      </c>
      <c r="E3305">
        <f>'0374 table 5'!G1724</f>
        <v>9.6729790206240303</v>
      </c>
    </row>
    <row r="3306" spans="1:5" x14ac:dyDescent="0.35">
      <c r="A3306">
        <v>374</v>
      </c>
      <c r="B3306">
        <v>5</v>
      </c>
      <c r="C3306">
        <f>'0374 table 5'!E1725</f>
        <v>1378952</v>
      </c>
      <c r="D3306">
        <f>'0374 table 5'!F1725</f>
        <v>333.15</v>
      </c>
      <c r="E3306">
        <f>'0374 table 5'!G1725</f>
        <v>9.4337180554495834</v>
      </c>
    </row>
    <row r="3307" spans="1:5" x14ac:dyDescent="0.35">
      <c r="A3307">
        <v>374</v>
      </c>
      <c r="B3307">
        <v>5</v>
      </c>
      <c r="C3307">
        <f>'0374 table 5'!E1726</f>
        <v>1378952</v>
      </c>
      <c r="D3307">
        <f>'0374 table 5'!F1726</f>
        <v>338.70555555555552</v>
      </c>
      <c r="E3307">
        <f>'0374 table 5'!G1726</f>
        <v>9.2060076196283873</v>
      </c>
    </row>
    <row r="3308" spans="1:5" x14ac:dyDescent="0.35">
      <c r="A3308">
        <v>374</v>
      </c>
      <c r="B3308">
        <v>5</v>
      </c>
      <c r="C3308">
        <f>'0374 table 5'!E1727</f>
        <v>1378952</v>
      </c>
      <c r="D3308">
        <f>'0374 table 5'!F1727</f>
        <v>344.26111111111106</v>
      </c>
      <c r="E3308">
        <f>'0374 table 5'!G1727</f>
        <v>8.9991310439064005</v>
      </c>
    </row>
    <row r="3309" spans="1:5" x14ac:dyDescent="0.35">
      <c r="A3309">
        <v>374</v>
      </c>
      <c r="B3309">
        <v>5</v>
      </c>
      <c r="C3309">
        <f>'0374 table 5'!E1728</f>
        <v>1378952</v>
      </c>
      <c r="D3309">
        <f>'0374 table 5'!F1728</f>
        <v>349.81666666666666</v>
      </c>
      <c r="E3309">
        <f>'0374 table 5'!G1728</f>
        <v>8.8013479440403248</v>
      </c>
    </row>
    <row r="3310" spans="1:5" x14ac:dyDescent="0.35">
      <c r="A3310">
        <v>374</v>
      </c>
      <c r="B3310">
        <v>5</v>
      </c>
      <c r="C3310">
        <f>'0374 table 5'!E1729</f>
        <v>1378952</v>
      </c>
      <c r="D3310">
        <f>'0374 table 5'!F1729</f>
        <v>355.37222222222221</v>
      </c>
      <c r="E3310">
        <f>'0374 table 5'!G1729</f>
        <v>8.6167042808786416</v>
      </c>
    </row>
    <row r="3311" spans="1:5" x14ac:dyDescent="0.35">
      <c r="A3311">
        <v>374</v>
      </c>
      <c r="B3311">
        <v>5</v>
      </c>
      <c r="C3311">
        <f>'0374 table 5'!E1730</f>
        <v>1378952</v>
      </c>
      <c r="D3311">
        <f>'0374 table 5'!F1730</f>
        <v>360.92777777777775</v>
      </c>
      <c r="E3311">
        <f>'0374 table 5'!G1730</f>
        <v>8.4440976584888734</v>
      </c>
    </row>
    <row r="3312" spans="1:5" x14ac:dyDescent="0.35">
      <c r="A3312">
        <v>374</v>
      </c>
      <c r="B3312">
        <v>5</v>
      </c>
      <c r="C3312">
        <f>'0374 table 5'!E1731</f>
        <v>1378952</v>
      </c>
      <c r="D3312">
        <f>'0374 table 5'!F1731</f>
        <v>366.48333333333329</v>
      </c>
      <c r="E3312">
        <f>'0374 table 5'!G1731</f>
        <v>8.2782704176503312</v>
      </c>
    </row>
    <row r="3313" spans="1:5" x14ac:dyDescent="0.35">
      <c r="A3313">
        <v>374</v>
      </c>
      <c r="B3313">
        <v>5</v>
      </c>
      <c r="C3313">
        <f>'0374 table 5'!E1732</f>
        <v>1378952</v>
      </c>
      <c r="D3313">
        <f>'0374 table 5'!F1732</f>
        <v>372.03888888888889</v>
      </c>
      <c r="E3313">
        <f>'0374 table 5'!G1732</f>
        <v>8.1229478996721074</v>
      </c>
    </row>
    <row r="3314" spans="1:5" x14ac:dyDescent="0.35">
      <c r="A3314">
        <v>374</v>
      </c>
      <c r="B3314">
        <v>5</v>
      </c>
      <c r="C3314">
        <f>'0374 table 5'!E1733</f>
        <v>1378952</v>
      </c>
      <c r="D3314">
        <f>'0374 table 5'!F1733</f>
        <v>377.59444444444443</v>
      </c>
      <c r="E3314">
        <f>'0374 table 5'!G1733</f>
        <v>7.9733465695138843</v>
      </c>
    </row>
    <row r="3315" spans="1:5" x14ac:dyDescent="0.35">
      <c r="A3315">
        <v>374</v>
      </c>
      <c r="B3315">
        <v>5</v>
      </c>
      <c r="C3315">
        <f>'0374 table 5'!E1734</f>
        <v>1378952</v>
      </c>
      <c r="D3315">
        <f>'0374 table 5'!F1734</f>
        <v>383.15</v>
      </c>
      <c r="E3315">
        <f>'0374 table 5'!G1734</f>
        <v>7.8291560401531743</v>
      </c>
    </row>
    <row r="3316" spans="1:5" x14ac:dyDescent="0.35">
      <c r="A3316">
        <v>374</v>
      </c>
      <c r="B3316">
        <v>5</v>
      </c>
      <c r="C3316">
        <f>'0374 table 5'!E1735</f>
        <v>1378952</v>
      </c>
      <c r="D3316">
        <f>'0374 table 5'!F1735</f>
        <v>388.70555555555552</v>
      </c>
      <c r="E3316">
        <f>'0374 table 5'!G1735</f>
        <v>7.6937815841274713</v>
      </c>
    </row>
    <row r="3317" spans="1:5" x14ac:dyDescent="0.35">
      <c r="A3317">
        <v>374</v>
      </c>
      <c r="B3317">
        <v>5</v>
      </c>
      <c r="C3317">
        <f>'0374 table 5'!E1736</f>
        <v>1378952</v>
      </c>
      <c r="D3317">
        <f>'0374 table 5'!F1736</f>
        <v>394.26111111111106</v>
      </c>
      <c r="E3317">
        <f>'0374 table 5'!G1736</f>
        <v>7.5630090926125559</v>
      </c>
    </row>
    <row r="3318" spans="1:5" x14ac:dyDescent="0.35">
      <c r="A3318">
        <v>374</v>
      </c>
      <c r="B3318">
        <v>5</v>
      </c>
      <c r="C3318">
        <f>'0374 table 5'!E1737</f>
        <v>1378952</v>
      </c>
      <c r="D3318">
        <f>'0374 table 5'!F1737</f>
        <v>399.81666666666666</v>
      </c>
      <c r="E3318">
        <f>'0374 table 5'!G1737</f>
        <v>7.436607826440758</v>
      </c>
    </row>
    <row r="3319" spans="1:5" x14ac:dyDescent="0.35">
      <c r="A3319">
        <v>374</v>
      </c>
      <c r="B3319">
        <v>5</v>
      </c>
      <c r="C3319">
        <f>'0374 table 5'!E1738</f>
        <v>1378952</v>
      </c>
      <c r="D3319">
        <f>'0374 table 5'!F1738</f>
        <v>405.37222222222221</v>
      </c>
      <c r="E3319">
        <f>'0374 table 5'!G1738</f>
        <v>7.3177036355200515</v>
      </c>
    </row>
    <row r="3320" spans="1:5" x14ac:dyDescent="0.35">
      <c r="A3320">
        <v>374</v>
      </c>
      <c r="B3320">
        <v>5</v>
      </c>
      <c r="C3320">
        <f>'0374 table 5'!E1739</f>
        <v>1378952</v>
      </c>
      <c r="D3320">
        <f>'0374 table 5'!F1739</f>
        <v>410.92777777777775</v>
      </c>
      <c r="E3320">
        <f>'0374 table 5'!G1739</f>
        <v>7.1993048351251199</v>
      </c>
    </row>
    <row r="3321" spans="1:5" x14ac:dyDescent="0.35">
      <c r="A3321">
        <v>374</v>
      </c>
      <c r="B3321">
        <v>5</v>
      </c>
      <c r="C3321">
        <f>'0374 table 5'!E1740</f>
        <v>1378952</v>
      </c>
      <c r="D3321">
        <f>'0374 table 5'!F1740</f>
        <v>416.48333333333335</v>
      </c>
      <c r="E3321">
        <f>'0374 table 5'!G1740</f>
        <v>7.0878111761740685</v>
      </c>
    </row>
    <row r="3322" spans="1:5" x14ac:dyDescent="0.35">
      <c r="A3322">
        <v>374</v>
      </c>
      <c r="B3322">
        <v>5</v>
      </c>
      <c r="C3322">
        <f>'0374 table 5'!E1741</f>
        <v>1378952</v>
      </c>
      <c r="D3322">
        <f>'0374 table 5'!F1741</f>
        <v>422.03888888888889</v>
      </c>
      <c r="E3322">
        <f>'0374 table 5'!G1741</f>
        <v>6.9797181952738105</v>
      </c>
    </row>
    <row r="3323" spans="1:5" x14ac:dyDescent="0.35">
      <c r="A3323">
        <v>374</v>
      </c>
      <c r="B3323">
        <v>5</v>
      </c>
      <c r="C3323">
        <f>'0374 table 5'!E1742</f>
        <v>1378952</v>
      </c>
      <c r="D3323">
        <f>'0374 table 5'!F1742</f>
        <v>433.15</v>
      </c>
      <c r="E3323">
        <f>'0374 table 5'!G1742</f>
        <v>6.775995456071656</v>
      </c>
    </row>
    <row r="3324" spans="1:5" x14ac:dyDescent="0.35">
      <c r="A3324">
        <v>374</v>
      </c>
      <c r="B3324">
        <v>5</v>
      </c>
      <c r="C3324">
        <f>'0374 table 5'!E1743</f>
        <v>1378952</v>
      </c>
      <c r="D3324">
        <f>'0374 table 5'!F1743</f>
        <v>444.26111111111106</v>
      </c>
      <c r="E3324">
        <f>'0374 table 5'!G1743</f>
        <v>6.5865350568064942</v>
      </c>
    </row>
    <row r="3325" spans="1:5" x14ac:dyDescent="0.35">
      <c r="A3325">
        <v>374</v>
      </c>
      <c r="B3325">
        <v>5</v>
      </c>
      <c r="C3325">
        <f>'0374 table 5'!E1744</f>
        <v>1378952</v>
      </c>
      <c r="D3325">
        <f>'0374 table 5'!F1744</f>
        <v>455.37222222222221</v>
      </c>
      <c r="E3325">
        <f>'0374 table 5'!G1744</f>
        <v>6.4073813032613574</v>
      </c>
    </row>
    <row r="3326" spans="1:5" x14ac:dyDescent="0.35">
      <c r="A3326">
        <v>374</v>
      </c>
      <c r="B3326">
        <v>5</v>
      </c>
      <c r="C3326">
        <f>'0374 table 5'!E1745</f>
        <v>1378952</v>
      </c>
      <c r="D3326">
        <f>'0374 table 5'!F1745</f>
        <v>466.48333333333335</v>
      </c>
      <c r="E3326">
        <f>'0374 table 5'!G1745</f>
        <v>6.2377154432061506</v>
      </c>
    </row>
    <row r="3327" spans="1:5" x14ac:dyDescent="0.35">
      <c r="A3327">
        <v>374</v>
      </c>
      <c r="B3327">
        <v>5</v>
      </c>
      <c r="C3327">
        <f>'0374 table 5'!E1746</f>
        <v>1447899.6</v>
      </c>
      <c r="D3327">
        <f>'0374 table 5'!F1746</f>
        <v>316.48333333333329</v>
      </c>
      <c r="E3327">
        <f>'0374 table 5'!G1746</f>
        <v>10.823279228482022</v>
      </c>
    </row>
    <row r="3328" spans="1:5" x14ac:dyDescent="0.35">
      <c r="A3328">
        <v>374</v>
      </c>
      <c r="B3328">
        <v>5</v>
      </c>
      <c r="C3328">
        <f>'0374 table 5'!E1747</f>
        <v>1447899.6</v>
      </c>
      <c r="D3328">
        <f>'0374 table 5'!F1747</f>
        <v>322.03888888888889</v>
      </c>
      <c r="E3328">
        <f>'0374 table 5'!G1747</f>
        <v>10.51079610115052</v>
      </c>
    </row>
    <row r="3329" spans="1:5" x14ac:dyDescent="0.35">
      <c r="A3329">
        <v>374</v>
      </c>
      <c r="B3329">
        <v>5</v>
      </c>
      <c r="C3329">
        <f>'0374 table 5'!E1748</f>
        <v>1447899.6</v>
      </c>
      <c r="D3329">
        <f>'0374 table 5'!F1748</f>
        <v>327.59444444444443</v>
      </c>
      <c r="E3329">
        <f>'0374 table 5'!G1748</f>
        <v>10.228897355142653</v>
      </c>
    </row>
    <row r="3330" spans="1:5" x14ac:dyDescent="0.35">
      <c r="A3330">
        <v>374</v>
      </c>
      <c r="B3330">
        <v>5</v>
      </c>
      <c r="C3330">
        <f>'0374 table 5'!E1749</f>
        <v>1447899.6</v>
      </c>
      <c r="D3330">
        <f>'0374 table 5'!F1749</f>
        <v>333.15</v>
      </c>
      <c r="E3330">
        <f>'0374 table 5'!G1749</f>
        <v>9.9617246630307168</v>
      </c>
    </row>
    <row r="3331" spans="1:5" x14ac:dyDescent="0.35">
      <c r="A3331">
        <v>374</v>
      </c>
      <c r="B3331">
        <v>5</v>
      </c>
      <c r="C3331">
        <f>'0374 table 5'!E1750</f>
        <v>1447899.6</v>
      </c>
      <c r="D3331">
        <f>'0374 table 5'!F1750</f>
        <v>338.70555555555552</v>
      </c>
      <c r="E3331">
        <f>'0374 table 5'!G1750</f>
        <v>9.7199352294620116</v>
      </c>
    </row>
    <row r="3332" spans="1:5" x14ac:dyDescent="0.35">
      <c r="A3332">
        <v>374</v>
      </c>
      <c r="B3332">
        <v>5</v>
      </c>
      <c r="C3332">
        <f>'0374 table 5'!E1751</f>
        <v>1447899.6</v>
      </c>
      <c r="D3332">
        <f>'0374 table 5'!F1751</f>
        <v>344.26111111111106</v>
      </c>
      <c r="E3332">
        <f>'0374 table 5'!G1751</f>
        <v>9.4952301470974465</v>
      </c>
    </row>
    <row r="3333" spans="1:5" x14ac:dyDescent="0.35">
      <c r="A3333">
        <v>374</v>
      </c>
      <c r="B3333">
        <v>5</v>
      </c>
      <c r="C3333">
        <f>'0374 table 5'!E1752</f>
        <v>1447899.6</v>
      </c>
      <c r="D3333">
        <f>'0374 table 5'!F1752</f>
        <v>349.81666666666666</v>
      </c>
      <c r="E3333">
        <f>'0374 table 5'!G1752</f>
        <v>9.2860598597990673</v>
      </c>
    </row>
    <row r="3334" spans="1:5" x14ac:dyDescent="0.35">
      <c r="A3334">
        <v>374</v>
      </c>
      <c r="B3334">
        <v>5</v>
      </c>
      <c r="C3334">
        <f>'0374 table 5'!E1753</f>
        <v>1447899.6</v>
      </c>
      <c r="D3334">
        <f>'0374 table 5'!F1753</f>
        <v>355.37222222222221</v>
      </c>
      <c r="E3334">
        <f>'0374 table 5'!G1753</f>
        <v>9.0910631431063518</v>
      </c>
    </row>
    <row r="3335" spans="1:5" x14ac:dyDescent="0.35">
      <c r="A3335">
        <v>374</v>
      </c>
      <c r="B3335">
        <v>5</v>
      </c>
      <c r="C3335">
        <f>'0374 table 5'!E1754</f>
        <v>1447899.6</v>
      </c>
      <c r="D3335">
        <f>'0374 table 5'!F1754</f>
        <v>360.92777777777775</v>
      </c>
      <c r="E3335">
        <f>'0374 table 5'!G1754</f>
        <v>8.9040874142042217</v>
      </c>
    </row>
    <row r="3336" spans="1:5" x14ac:dyDescent="0.35">
      <c r="A3336">
        <v>374</v>
      </c>
      <c r="B3336">
        <v>5</v>
      </c>
      <c r="C3336">
        <f>'0374 table 5'!E1755</f>
        <v>1447899.6</v>
      </c>
      <c r="D3336">
        <f>'0374 table 5'!F1755</f>
        <v>366.48333333333329</v>
      </c>
      <c r="E3336">
        <f>'0374 table 5'!G1755</f>
        <v>8.7246477440922625</v>
      </c>
    </row>
    <row r="3337" spans="1:5" x14ac:dyDescent="0.35">
      <c r="A3337">
        <v>374</v>
      </c>
      <c r="B3337">
        <v>5</v>
      </c>
      <c r="C3337">
        <f>'0374 table 5'!E1756</f>
        <v>1447899.6</v>
      </c>
      <c r="D3337">
        <f>'0374 table 5'!F1756</f>
        <v>372.03888888888889</v>
      </c>
      <c r="E3337">
        <f>'0374 table 5'!G1756</f>
        <v>8.5568660567058714</v>
      </c>
    </row>
    <row r="3338" spans="1:5" x14ac:dyDescent="0.35">
      <c r="A3338">
        <v>374</v>
      </c>
      <c r="B3338">
        <v>5</v>
      </c>
      <c r="C3338">
        <f>'0374 table 5'!E1757</f>
        <v>1447899.6</v>
      </c>
      <c r="D3338">
        <f>'0374 table 5'!F1757</f>
        <v>377.59444444444443</v>
      </c>
      <c r="E3338">
        <f>'0374 table 5'!G1757</f>
        <v>8.3998181741758753</v>
      </c>
    </row>
    <row r="3339" spans="1:5" x14ac:dyDescent="0.35">
      <c r="A3339">
        <v>374</v>
      </c>
      <c r="B3339">
        <v>5</v>
      </c>
      <c r="C3339">
        <f>'0374 table 5'!E1758</f>
        <v>1447899.6</v>
      </c>
      <c r="D3339">
        <f>'0374 table 5'!F1758</f>
        <v>383.15</v>
      </c>
      <c r="E3339">
        <f>'0374 table 5'!G1758</f>
        <v>8.2484311319018513</v>
      </c>
    </row>
    <row r="3340" spans="1:5" x14ac:dyDescent="0.35">
      <c r="A3340">
        <v>374</v>
      </c>
      <c r="B3340">
        <v>5</v>
      </c>
      <c r="C3340">
        <f>'0374 table 5'!E1759</f>
        <v>1447899.6</v>
      </c>
      <c r="D3340">
        <f>'0374 table 5'!F1759</f>
        <v>388.70555555555552</v>
      </c>
      <c r="E3340">
        <f>'0374 table 5'!G1759</f>
        <v>8.1024042782768806</v>
      </c>
    </row>
    <row r="3341" spans="1:5" x14ac:dyDescent="0.35">
      <c r="A3341">
        <v>374</v>
      </c>
      <c r="B3341">
        <v>5</v>
      </c>
      <c r="C3341">
        <f>'0374 table 5'!E1760</f>
        <v>1447899.6</v>
      </c>
      <c r="D3341">
        <f>'0374 table 5'!F1760</f>
        <v>394.26111111111106</v>
      </c>
      <c r="E3341">
        <f>'0374 table 5'!G1760</f>
        <v>7.965416836476078</v>
      </c>
    </row>
    <row r="3342" spans="1:5" x14ac:dyDescent="0.35">
      <c r="A3342">
        <v>374</v>
      </c>
      <c r="B3342">
        <v>5</v>
      </c>
      <c r="C3342">
        <f>'0374 table 5'!E1761</f>
        <v>1447899.6</v>
      </c>
      <c r="D3342">
        <f>'0374 table 5'!F1761</f>
        <v>399.81666666666666</v>
      </c>
      <c r="E3342">
        <f>'0374 table 5'!G1761</f>
        <v>7.8291560401531743</v>
      </c>
    </row>
    <row r="3343" spans="1:5" x14ac:dyDescent="0.35">
      <c r="A3343">
        <v>374</v>
      </c>
      <c r="B3343">
        <v>5</v>
      </c>
      <c r="C3343">
        <f>'0374 table 5'!E1762</f>
        <v>1447899.6</v>
      </c>
      <c r="D3343">
        <f>'0374 table 5'!F1762</f>
        <v>405.37222222222221</v>
      </c>
      <c r="E3343">
        <f>'0374 table 5'!G1762</f>
        <v>7.7011794510352845</v>
      </c>
    </row>
    <row r="3344" spans="1:5" x14ac:dyDescent="0.35">
      <c r="A3344">
        <v>374</v>
      </c>
      <c r="B3344">
        <v>5</v>
      </c>
      <c r="C3344">
        <f>'0374 table 5'!E1763</f>
        <v>1447899.6</v>
      </c>
      <c r="D3344">
        <f>'0374 table 5'!F1763</f>
        <v>410.92777777777775</v>
      </c>
      <c r="E3344">
        <f>'0374 table 5'!G1763</f>
        <v>7.5809054700205358</v>
      </c>
    </row>
    <row r="3345" spans="1:5" x14ac:dyDescent="0.35">
      <c r="A3345">
        <v>374</v>
      </c>
      <c r="B3345">
        <v>5</v>
      </c>
      <c r="C3345">
        <f>'0374 table 5'!E1764</f>
        <v>1447899.6</v>
      </c>
      <c r="D3345">
        <f>'0374 table 5'!F1764</f>
        <v>416.48333333333335</v>
      </c>
      <c r="E3345">
        <f>'0374 table 5'!G1764</f>
        <v>7.4608538696569147</v>
      </c>
    </row>
    <row r="3346" spans="1:5" x14ac:dyDescent="0.35">
      <c r="A3346">
        <v>374</v>
      </c>
      <c r="B3346">
        <v>5</v>
      </c>
      <c r="C3346">
        <f>'0374 table 5'!E1765</f>
        <v>1447899.6</v>
      </c>
      <c r="D3346">
        <f>'0374 table 5'!F1765</f>
        <v>422.03888888888889</v>
      </c>
      <c r="E3346">
        <f>'0374 table 5'!G1765</f>
        <v>7.3479143386024734</v>
      </c>
    </row>
    <row r="3347" spans="1:5" x14ac:dyDescent="0.35">
      <c r="A3347">
        <v>374</v>
      </c>
      <c r="B3347">
        <v>5</v>
      </c>
      <c r="C3347">
        <f>'0374 table 5'!E1766</f>
        <v>1447899.6</v>
      </c>
      <c r="D3347">
        <f>'0374 table 5'!F1766</f>
        <v>433.15</v>
      </c>
      <c r="E3347">
        <f>'0374 table 5'!G1766</f>
        <v>7.1319916554556517</v>
      </c>
    </row>
    <row r="3348" spans="1:5" x14ac:dyDescent="0.35">
      <c r="A3348">
        <v>374</v>
      </c>
      <c r="B3348">
        <v>5</v>
      </c>
      <c r="C3348">
        <f>'0374 table 5'!E1767</f>
        <v>1447899.6</v>
      </c>
      <c r="D3348">
        <f>'0374 table 5'!F1767</f>
        <v>444.26111111111106</v>
      </c>
      <c r="E3348">
        <f>'0374 table 5'!G1767</f>
        <v>6.9283967379556204</v>
      </c>
    </row>
    <row r="3349" spans="1:5" x14ac:dyDescent="0.35">
      <c r="A3349">
        <v>374</v>
      </c>
      <c r="B3349">
        <v>5</v>
      </c>
      <c r="C3349">
        <f>'0374 table 5'!E1768</f>
        <v>1447899.6</v>
      </c>
      <c r="D3349">
        <f>'0374 table 5'!F1768</f>
        <v>455.37222222222221</v>
      </c>
      <c r="E3349">
        <f>'0374 table 5'!G1768</f>
        <v>6.7389370038508183</v>
      </c>
    </row>
    <row r="3350" spans="1:5" x14ac:dyDescent="0.35">
      <c r="A3350">
        <v>374</v>
      </c>
      <c r="B3350">
        <v>5</v>
      </c>
      <c r="C3350">
        <f>'0374 table 5'!E1769</f>
        <v>1447899.6</v>
      </c>
      <c r="D3350">
        <f>'0374 table 5'!F1769</f>
        <v>466.48333333333335</v>
      </c>
      <c r="E3350">
        <f>'0374 table 5'!G1769</f>
        <v>6.5595631687769833</v>
      </c>
    </row>
    <row r="3351" spans="1:5" x14ac:dyDescent="0.35">
      <c r="A3351">
        <v>374</v>
      </c>
      <c r="B3351">
        <v>5</v>
      </c>
      <c r="C3351">
        <f>'0374 table 5'!E1770</f>
        <v>1516847.2</v>
      </c>
      <c r="D3351">
        <f>'0374 table 5'!F1770</f>
        <v>316.48333333333329</v>
      </c>
      <c r="E3351">
        <f>'0374 table 5'!G1770</f>
        <v>11.441752327252424</v>
      </c>
    </row>
    <row r="3352" spans="1:5" x14ac:dyDescent="0.35">
      <c r="A3352">
        <v>374</v>
      </c>
      <c r="B3352">
        <v>5</v>
      </c>
      <c r="C3352">
        <f>'0374 table 5'!E1771</f>
        <v>1516847.2</v>
      </c>
      <c r="D3352">
        <f>'0374 table 5'!F1771</f>
        <v>322.03888888888889</v>
      </c>
      <c r="E3352">
        <f>'0374 table 5'!G1771</f>
        <v>11.10079920869951</v>
      </c>
    </row>
    <row r="3353" spans="1:5" x14ac:dyDescent="0.35">
      <c r="A3353">
        <v>374</v>
      </c>
      <c r="B3353">
        <v>5</v>
      </c>
      <c r="C3353">
        <f>'0374 table 5'!E1772</f>
        <v>1516847.2</v>
      </c>
      <c r="D3353">
        <f>'0374 table 5'!F1772</f>
        <v>327.59444444444443</v>
      </c>
      <c r="E3353">
        <f>'0374 table 5'!G1772</f>
        <v>10.786837210877707</v>
      </c>
    </row>
    <row r="3354" spans="1:5" x14ac:dyDescent="0.35">
      <c r="A3354">
        <v>374</v>
      </c>
      <c r="B3354">
        <v>5</v>
      </c>
      <c r="C3354">
        <f>'0374 table 5'!E1773</f>
        <v>1516847.2</v>
      </c>
      <c r="D3354">
        <f>'0374 table 5'!F1773</f>
        <v>333.15</v>
      </c>
      <c r="E3354">
        <f>'0374 table 5'!G1773</f>
        <v>10.503903775838292</v>
      </c>
    </row>
    <row r="3355" spans="1:5" x14ac:dyDescent="0.35">
      <c r="A3355">
        <v>374</v>
      </c>
      <c r="B3355">
        <v>5</v>
      </c>
      <c r="C3355">
        <f>'0374 table 5'!E1774</f>
        <v>1516847.2</v>
      </c>
      <c r="D3355">
        <f>'0374 table 5'!F1774</f>
        <v>338.70555555555552</v>
      </c>
      <c r="E3355">
        <f>'0374 table 5'!G1774</f>
        <v>10.241977786543089</v>
      </c>
    </row>
    <row r="3356" spans="1:5" x14ac:dyDescent="0.35">
      <c r="A3356">
        <v>374</v>
      </c>
      <c r="B3356">
        <v>5</v>
      </c>
      <c r="C3356">
        <f>'0374 table 5'!E1775</f>
        <v>1516847.2</v>
      </c>
      <c r="D3356">
        <f>'0374 table 5'!F1775</f>
        <v>344.26111111111106</v>
      </c>
      <c r="E3356">
        <f>'0374 table 5'!G1775</f>
        <v>10.005279986354399</v>
      </c>
    </row>
    <row r="3357" spans="1:5" x14ac:dyDescent="0.35">
      <c r="A3357">
        <v>374</v>
      </c>
      <c r="B3357">
        <v>5</v>
      </c>
      <c r="C3357">
        <f>'0374 table 5'!E1776</f>
        <v>1516847.2</v>
      </c>
      <c r="D3357">
        <f>'0374 table 5'!F1776</f>
        <v>349.81666666666666</v>
      </c>
      <c r="E3357">
        <f>'0374 table 5'!G1776</f>
        <v>9.7792754933781403</v>
      </c>
    </row>
    <row r="3358" spans="1:5" x14ac:dyDescent="0.35">
      <c r="A3358">
        <v>374</v>
      </c>
      <c r="B3358">
        <v>5</v>
      </c>
      <c r="C3358">
        <f>'0374 table 5'!E1777</f>
        <v>1516847.2</v>
      </c>
      <c r="D3358">
        <f>'0374 table 5'!F1777</f>
        <v>355.37222222222221</v>
      </c>
      <c r="E3358">
        <f>'0374 table 5'!G1777</f>
        <v>9.5632556765094883</v>
      </c>
    </row>
    <row r="3359" spans="1:5" x14ac:dyDescent="0.35">
      <c r="A3359">
        <v>374</v>
      </c>
      <c r="B3359">
        <v>5</v>
      </c>
      <c r="C3359">
        <f>'0374 table 5'!E1778</f>
        <v>1516847.2</v>
      </c>
      <c r="D3359">
        <f>'0374 table 5'!F1778</f>
        <v>360.92777777777775</v>
      </c>
      <c r="E3359">
        <f>'0374 table 5'!G1778</f>
        <v>9.3675165252359029</v>
      </c>
    </row>
    <row r="3360" spans="1:5" x14ac:dyDescent="0.35">
      <c r="A3360">
        <v>374</v>
      </c>
      <c r="B3360">
        <v>5</v>
      </c>
      <c r="C3360">
        <f>'0374 table 5'!E1779</f>
        <v>1516847.2</v>
      </c>
      <c r="D3360">
        <f>'0374 table 5'!F1779</f>
        <v>366.48333333333329</v>
      </c>
      <c r="E3360">
        <f>'0374 table 5'!G1779</f>
        <v>9.1796293742999389</v>
      </c>
    </row>
    <row r="3361" spans="1:5" x14ac:dyDescent="0.35">
      <c r="A3361">
        <v>374</v>
      </c>
      <c r="B3361">
        <v>5</v>
      </c>
      <c r="C3361">
        <f>'0374 table 5'!E1780</f>
        <v>1516847.2</v>
      </c>
      <c r="D3361">
        <f>'0374 table 5'!F1780</f>
        <v>372.03888888888889</v>
      </c>
      <c r="E3361">
        <f>'0374 table 5'!G1780</f>
        <v>8.9991310439064005</v>
      </c>
    </row>
    <row r="3362" spans="1:5" x14ac:dyDescent="0.35">
      <c r="A3362">
        <v>374</v>
      </c>
      <c r="B3362">
        <v>5</v>
      </c>
      <c r="C3362">
        <f>'0374 table 5'!E1781</f>
        <v>1516847.2</v>
      </c>
      <c r="D3362">
        <f>'0374 table 5'!F1781</f>
        <v>377.59444444444443</v>
      </c>
      <c r="E3362">
        <f>'0374 table 5'!G1781</f>
        <v>8.8304593484858831</v>
      </c>
    </row>
    <row r="3363" spans="1:5" x14ac:dyDescent="0.35">
      <c r="A3363">
        <v>374</v>
      </c>
      <c r="B3363">
        <v>5</v>
      </c>
      <c r="C3363">
        <f>'0374 table 5'!E1782</f>
        <v>1516847.2</v>
      </c>
      <c r="D3363">
        <f>'0374 table 5'!F1782</f>
        <v>383.15</v>
      </c>
      <c r="E3363">
        <f>'0374 table 5'!G1782</f>
        <v>8.6679941873124413</v>
      </c>
    </row>
    <row r="3364" spans="1:5" x14ac:dyDescent="0.35">
      <c r="A3364">
        <v>374</v>
      </c>
      <c r="B3364">
        <v>5</v>
      </c>
      <c r="C3364">
        <f>'0374 table 5'!E1783</f>
        <v>1516847.2</v>
      </c>
      <c r="D3364">
        <f>'0374 table 5'!F1783</f>
        <v>388.70555555555552</v>
      </c>
      <c r="E3364">
        <f>'0374 table 5'!G1783</f>
        <v>8.5159241138508204</v>
      </c>
    </row>
    <row r="3365" spans="1:5" x14ac:dyDescent="0.35">
      <c r="A3365">
        <v>374</v>
      </c>
      <c r="B3365">
        <v>5</v>
      </c>
      <c r="C3365">
        <f>'0374 table 5'!E1784</f>
        <v>1516847.2</v>
      </c>
      <c r="D3365">
        <f>'0374 table 5'!F1784</f>
        <v>394.26111111111106</v>
      </c>
      <c r="E3365">
        <f>'0374 table 5'!G1784</f>
        <v>8.3690978360258068</v>
      </c>
    </row>
    <row r="3366" spans="1:5" x14ac:dyDescent="0.35">
      <c r="A3366">
        <v>374</v>
      </c>
      <c r="B3366">
        <v>5</v>
      </c>
      <c r="C3366">
        <f>'0374 table 5'!E1785</f>
        <v>1516847.2</v>
      </c>
      <c r="D3366">
        <f>'0374 table 5'!F1785</f>
        <v>399.81666666666666</v>
      </c>
      <c r="E3366">
        <f>'0374 table 5'!G1785</f>
        <v>8.2272487201609614</v>
      </c>
    </row>
    <row r="3367" spans="1:5" x14ac:dyDescent="0.35">
      <c r="A3367">
        <v>374</v>
      </c>
      <c r="B3367">
        <v>5</v>
      </c>
      <c r="C3367">
        <f>'0374 table 5'!E1786</f>
        <v>1516847.2</v>
      </c>
      <c r="D3367">
        <f>'0374 table 5'!F1786</f>
        <v>405.37222222222221</v>
      </c>
      <c r="E3367">
        <f>'0374 table 5'!G1786</f>
        <v>8.09012790815828</v>
      </c>
    </row>
    <row r="3368" spans="1:5" x14ac:dyDescent="0.35">
      <c r="A3368">
        <v>374</v>
      </c>
      <c r="B3368">
        <v>5</v>
      </c>
      <c r="C3368">
        <f>'0374 table 5'!E1787</f>
        <v>1516847.2</v>
      </c>
      <c r="D3368">
        <f>'0374 table 5'!F1787</f>
        <v>410.92777777777775</v>
      </c>
      <c r="E3368">
        <f>'0374 table 5'!G1787</f>
        <v>7.9614578817859805</v>
      </c>
    </row>
    <row r="3369" spans="1:5" x14ac:dyDescent="0.35">
      <c r="A3369">
        <v>374</v>
      </c>
      <c r="B3369">
        <v>5</v>
      </c>
      <c r="C3369">
        <f>'0374 table 5'!E1788</f>
        <v>1516847.2</v>
      </c>
      <c r="D3369">
        <f>'0374 table 5'!F1788</f>
        <v>416.48333333333335</v>
      </c>
      <c r="E3369">
        <f>'0374 table 5'!G1788</f>
        <v>7.8368166625016595</v>
      </c>
    </row>
    <row r="3370" spans="1:5" x14ac:dyDescent="0.35">
      <c r="A3370">
        <v>374</v>
      </c>
      <c r="B3370">
        <v>5</v>
      </c>
      <c r="C3370">
        <f>'0374 table 5'!E1789</f>
        <v>1516847.2</v>
      </c>
      <c r="D3370">
        <f>'0374 table 5'!F1789</f>
        <v>422.03888888888889</v>
      </c>
      <c r="E3370">
        <f>'0374 table 5'!G1789</f>
        <v>7.7160179470873764</v>
      </c>
    </row>
    <row r="3371" spans="1:5" x14ac:dyDescent="0.35">
      <c r="A3371">
        <v>374</v>
      </c>
      <c r="B3371">
        <v>5</v>
      </c>
      <c r="C3371">
        <f>'0374 table 5'!E1790</f>
        <v>1516847.2</v>
      </c>
      <c r="D3371">
        <f>'0374 table 5'!F1790</f>
        <v>433.15</v>
      </c>
      <c r="E3371">
        <f>'0374 table 5'!G1790</f>
        <v>7.4852585318473794</v>
      </c>
    </row>
    <row r="3372" spans="1:5" x14ac:dyDescent="0.35">
      <c r="A3372">
        <v>374</v>
      </c>
      <c r="B3372">
        <v>5</v>
      </c>
      <c r="C3372">
        <f>'0374 table 5'!E1791</f>
        <v>1516847.2</v>
      </c>
      <c r="D3372">
        <f>'0374 table 5'!F1791</f>
        <v>444.26111111111106</v>
      </c>
      <c r="E3372">
        <f>'0374 table 5'!G1791</f>
        <v>7.2711998448267785</v>
      </c>
    </row>
    <row r="3373" spans="1:5" x14ac:dyDescent="0.35">
      <c r="A3373">
        <v>374</v>
      </c>
      <c r="B3373">
        <v>5</v>
      </c>
      <c r="C3373">
        <f>'0374 table 5'!E1792</f>
        <v>1516847.2</v>
      </c>
      <c r="D3373">
        <f>'0374 table 5'!F1792</f>
        <v>455.37222222222221</v>
      </c>
      <c r="E3373">
        <f>'0374 table 5'!G1792</f>
        <v>7.0721647938867074</v>
      </c>
    </row>
    <row r="3374" spans="1:5" x14ac:dyDescent="0.35">
      <c r="A3374">
        <v>374</v>
      </c>
      <c r="B3374">
        <v>5</v>
      </c>
      <c r="C3374">
        <f>'0374 table 5'!E1793</f>
        <v>1516847.2</v>
      </c>
      <c r="D3374">
        <f>'0374 table 5'!F1793</f>
        <v>466.48333333333335</v>
      </c>
      <c r="E3374">
        <f>'0374 table 5'!G1793</f>
        <v>6.8837358221544456</v>
      </c>
    </row>
    <row r="3375" spans="1:5" x14ac:dyDescent="0.35">
      <c r="A3375">
        <v>374</v>
      </c>
      <c r="B3375">
        <v>5</v>
      </c>
      <c r="C3375">
        <f>'0374 table 5'!E1794</f>
        <v>1585794.8</v>
      </c>
      <c r="D3375">
        <f>'0374 table 5'!F1794</f>
        <v>316.48333333333329</v>
      </c>
      <c r="E3375">
        <f>'0374 table 5'!G1794</f>
        <v>12.062088296802253</v>
      </c>
    </row>
    <row r="3376" spans="1:5" x14ac:dyDescent="0.35">
      <c r="A3376">
        <v>374</v>
      </c>
      <c r="B3376">
        <v>5</v>
      </c>
      <c r="C3376">
        <f>'0374 table 5'!E1795</f>
        <v>1585794.8</v>
      </c>
      <c r="D3376">
        <f>'0374 table 5'!F1795</f>
        <v>322.03888888888889</v>
      </c>
      <c r="E3376">
        <f>'0374 table 5'!G1795</f>
        <v>11.692301648287147</v>
      </c>
    </row>
    <row r="3377" spans="1:5" x14ac:dyDescent="0.35">
      <c r="A3377">
        <v>374</v>
      </c>
      <c r="B3377">
        <v>5</v>
      </c>
      <c r="C3377">
        <f>'0374 table 5'!E1796</f>
        <v>1585794.8</v>
      </c>
      <c r="D3377">
        <f>'0374 table 5'!F1796</f>
        <v>327.59444444444443</v>
      </c>
      <c r="E3377">
        <f>'0374 table 5'!G1796</f>
        <v>11.36060514762652</v>
      </c>
    </row>
    <row r="3378" spans="1:5" x14ac:dyDescent="0.35">
      <c r="A3378">
        <v>374</v>
      </c>
      <c r="B3378">
        <v>5</v>
      </c>
      <c r="C3378">
        <f>'0374 table 5'!E1797</f>
        <v>1585794.8</v>
      </c>
      <c r="D3378">
        <f>'0374 table 5'!F1797</f>
        <v>333.15</v>
      </c>
      <c r="E3378">
        <f>'0374 table 5'!G1797</f>
        <v>11.054833166427462</v>
      </c>
    </row>
    <row r="3379" spans="1:5" x14ac:dyDescent="0.35">
      <c r="A3379">
        <v>374</v>
      </c>
      <c r="B3379">
        <v>5</v>
      </c>
      <c r="C3379">
        <f>'0374 table 5'!E1798</f>
        <v>1585794.8</v>
      </c>
      <c r="D3379">
        <f>'0374 table 5'!F1798</f>
        <v>338.70555555555552</v>
      </c>
      <c r="E3379">
        <f>'0374 table 5'!G1798</f>
        <v>10.772329023640479</v>
      </c>
    </row>
    <row r="3380" spans="1:5" x14ac:dyDescent="0.35">
      <c r="A3380">
        <v>374</v>
      </c>
      <c r="B3380">
        <v>5</v>
      </c>
      <c r="C3380">
        <f>'0374 table 5'!E1799</f>
        <v>1585794.8</v>
      </c>
      <c r="D3380">
        <f>'0374 table 5'!F1799</f>
        <v>344.26111111111106</v>
      </c>
      <c r="E3380">
        <f>'0374 table 5'!G1799</f>
        <v>10.51079610115052</v>
      </c>
    </row>
    <row r="3381" spans="1:5" x14ac:dyDescent="0.35">
      <c r="A3381">
        <v>374</v>
      </c>
      <c r="B3381">
        <v>5</v>
      </c>
      <c r="C3381">
        <f>'0374 table 5'!E1800</f>
        <v>1585794.8</v>
      </c>
      <c r="D3381">
        <f>'0374 table 5'!F1800</f>
        <v>349.81666666666666</v>
      </c>
      <c r="E3381">
        <f>'0374 table 5'!G1800</f>
        <v>10.274825694774467</v>
      </c>
    </row>
    <row r="3382" spans="1:5" x14ac:dyDescent="0.35">
      <c r="A3382">
        <v>374</v>
      </c>
      <c r="B3382">
        <v>5</v>
      </c>
      <c r="C3382">
        <f>'0374 table 5'!E1801</f>
        <v>1585794.8</v>
      </c>
      <c r="D3382">
        <f>'0374 table 5'!F1801</f>
        <v>355.37222222222221</v>
      </c>
      <c r="E3382">
        <f>'0374 table 5'!G1801</f>
        <v>10.04921785329573</v>
      </c>
    </row>
    <row r="3383" spans="1:5" x14ac:dyDescent="0.35">
      <c r="A3383">
        <v>374</v>
      </c>
      <c r="B3383">
        <v>5</v>
      </c>
      <c r="C3383">
        <f>'0374 table 5'!E1802</f>
        <v>1585794.8</v>
      </c>
      <c r="D3383">
        <f>'0374 table 5'!F1802</f>
        <v>360.92777777777775</v>
      </c>
      <c r="E3383">
        <f>'0374 table 5'!G1802</f>
        <v>9.8333046397503949</v>
      </c>
    </row>
    <row r="3384" spans="1:5" x14ac:dyDescent="0.35">
      <c r="A3384">
        <v>374</v>
      </c>
      <c r="B3384">
        <v>5</v>
      </c>
      <c r="C3384">
        <f>'0374 table 5'!E1803</f>
        <v>1585794.8</v>
      </c>
      <c r="D3384">
        <f>'0374 table 5'!F1803</f>
        <v>366.48333333333329</v>
      </c>
      <c r="E3384">
        <f>'0374 table 5'!G1803</f>
        <v>9.6322629333453964</v>
      </c>
    </row>
    <row r="3385" spans="1:5" x14ac:dyDescent="0.35">
      <c r="A3385">
        <v>374</v>
      </c>
      <c r="B3385">
        <v>5</v>
      </c>
      <c r="C3385">
        <f>'0374 table 5'!E1804</f>
        <v>1585794.8</v>
      </c>
      <c r="D3385">
        <f>'0374 table 5'!F1804</f>
        <v>372.03888888888889</v>
      </c>
      <c r="E3385">
        <f>'0374 table 5'!G1804</f>
        <v>9.4448427229678025</v>
      </c>
    </row>
    <row r="3386" spans="1:5" x14ac:dyDescent="0.35">
      <c r="A3386">
        <v>374</v>
      </c>
      <c r="B3386">
        <v>5</v>
      </c>
      <c r="C3386">
        <f>'0374 table 5'!E1805</f>
        <v>1585794.8</v>
      </c>
      <c r="D3386">
        <f>'0374 table 5'!F1805</f>
        <v>377.59444444444443</v>
      </c>
      <c r="E3386">
        <f>'0374 table 5'!G1805</f>
        <v>9.2645767832003436</v>
      </c>
    </row>
    <row r="3387" spans="1:5" x14ac:dyDescent="0.35">
      <c r="A3387">
        <v>374</v>
      </c>
      <c r="B3387">
        <v>5</v>
      </c>
      <c r="C3387">
        <f>'0374 table 5'!E1806</f>
        <v>1585794.8</v>
      </c>
      <c r="D3387">
        <f>'0374 table 5'!F1806</f>
        <v>383.15</v>
      </c>
      <c r="E3387">
        <f>'0374 table 5'!G1806</f>
        <v>9.0910631431063518</v>
      </c>
    </row>
    <row r="3388" spans="1:5" x14ac:dyDescent="0.35">
      <c r="A3388">
        <v>374</v>
      </c>
      <c r="B3388">
        <v>5</v>
      </c>
      <c r="C3388">
        <f>'0374 table 5'!E1807</f>
        <v>1585794.8</v>
      </c>
      <c r="D3388">
        <f>'0374 table 5'!F1807</f>
        <v>388.70555555555552</v>
      </c>
      <c r="E3388">
        <f>'0374 table 5'!G1807</f>
        <v>8.9289037113452583</v>
      </c>
    </row>
    <row r="3389" spans="1:5" x14ac:dyDescent="0.35">
      <c r="A3389">
        <v>374</v>
      </c>
      <c r="B3389">
        <v>5</v>
      </c>
      <c r="C3389">
        <f>'0374 table 5'!E1808</f>
        <v>1585794.8</v>
      </c>
      <c r="D3389">
        <f>'0374 table 5'!F1808</f>
        <v>394.26111111111106</v>
      </c>
      <c r="E3389">
        <f>'0374 table 5'!G1808</f>
        <v>8.7724278522198205</v>
      </c>
    </row>
    <row r="3390" spans="1:5" x14ac:dyDescent="0.35">
      <c r="A3390">
        <v>374</v>
      </c>
      <c r="B3390">
        <v>5</v>
      </c>
      <c r="C3390">
        <f>'0374 table 5'!E1809</f>
        <v>1585794.8</v>
      </c>
      <c r="D3390">
        <f>'0374 table 5'!F1809</f>
        <v>399.81666666666666</v>
      </c>
      <c r="E3390">
        <f>'0374 table 5'!G1809</f>
        <v>8.6259845224304748</v>
      </c>
    </row>
    <row r="3391" spans="1:5" x14ac:dyDescent="0.35">
      <c r="A3391">
        <v>374</v>
      </c>
      <c r="B3391">
        <v>5</v>
      </c>
      <c r="C3391">
        <f>'0374 table 5'!E1810</f>
        <v>1585794.8</v>
      </c>
      <c r="D3391">
        <f>'0374 table 5'!F1810</f>
        <v>405.37222222222221</v>
      </c>
      <c r="E3391">
        <f>'0374 table 5'!G1810</f>
        <v>8.4798587920346176</v>
      </c>
    </row>
    <row r="3392" spans="1:5" x14ac:dyDescent="0.35">
      <c r="A3392">
        <v>374</v>
      </c>
      <c r="B3392">
        <v>5</v>
      </c>
      <c r="C3392">
        <f>'0374 table 5'!E1811</f>
        <v>1585794.8</v>
      </c>
      <c r="D3392">
        <f>'0374 table 5'!F1811</f>
        <v>410.92777777777775</v>
      </c>
      <c r="E3392">
        <f>'0374 table 5'!G1811</f>
        <v>8.3429444052882271</v>
      </c>
    </row>
    <row r="3393" spans="1:5" x14ac:dyDescent="0.35">
      <c r="A3393">
        <v>374</v>
      </c>
      <c r="B3393">
        <v>5</v>
      </c>
      <c r="C3393">
        <f>'0374 table 5'!E1812</f>
        <v>1585794.8</v>
      </c>
      <c r="D3393">
        <f>'0374 table 5'!F1812</f>
        <v>416.48333333333335</v>
      </c>
      <c r="E3393">
        <f>'0374 table 5'!G1812</f>
        <v>8.2103809626619135</v>
      </c>
    </row>
    <row r="3394" spans="1:5" x14ac:dyDescent="0.35">
      <c r="A3394">
        <v>374</v>
      </c>
      <c r="B3394">
        <v>5</v>
      </c>
      <c r="C3394">
        <f>'0374 table 5'!E1813</f>
        <v>1585794.8</v>
      </c>
      <c r="D3394">
        <f>'0374 table 5'!F1813</f>
        <v>422.03888888888889</v>
      </c>
      <c r="E3394">
        <f>'0374 table 5'!G1813</f>
        <v>8.081964307847322</v>
      </c>
    </row>
    <row r="3395" spans="1:5" x14ac:dyDescent="0.35">
      <c r="A3395">
        <v>374</v>
      </c>
      <c r="B3395">
        <v>5</v>
      </c>
      <c r="C3395">
        <f>'0374 table 5'!E1814</f>
        <v>1585794.8</v>
      </c>
      <c r="D3395">
        <f>'0374 table 5'!F1814</f>
        <v>433.15</v>
      </c>
      <c r="E3395">
        <f>'0374 table 5'!G1814</f>
        <v>7.8406525982150725</v>
      </c>
    </row>
    <row r="3396" spans="1:5" x14ac:dyDescent="0.35">
      <c r="A3396">
        <v>374</v>
      </c>
      <c r="B3396">
        <v>5</v>
      </c>
      <c r="C3396">
        <f>'0374 table 5'!E1815</f>
        <v>1585794.8</v>
      </c>
      <c r="D3396">
        <f>'0374 table 5'!F1815</f>
        <v>444.26111111111106</v>
      </c>
      <c r="E3396">
        <f>'0374 table 5'!G1815</f>
        <v>7.6169535226597205</v>
      </c>
    </row>
    <row r="3397" spans="1:5" x14ac:dyDescent="0.35">
      <c r="A3397">
        <v>374</v>
      </c>
      <c r="B3397">
        <v>5</v>
      </c>
      <c r="C3397">
        <f>'0374 table 5'!E1816</f>
        <v>1585794.8</v>
      </c>
      <c r="D3397">
        <f>'0374 table 5'!F1816</f>
        <v>455.37222222222221</v>
      </c>
      <c r="E3397">
        <f>'0374 table 5'!G1816</f>
        <v>7.4056649367329621</v>
      </c>
    </row>
    <row r="3398" spans="1:5" x14ac:dyDescent="0.35">
      <c r="A3398">
        <v>374</v>
      </c>
      <c r="B3398">
        <v>5</v>
      </c>
      <c r="C3398">
        <f>'0374 table 5'!E1817</f>
        <v>1585794.8</v>
      </c>
      <c r="D3398">
        <f>'0374 table 5'!F1817</f>
        <v>466.48333333333335</v>
      </c>
      <c r="E3398">
        <f>'0374 table 5'!G1817</f>
        <v>7.2090248686558924</v>
      </c>
    </row>
    <row r="3399" spans="1:5" x14ac:dyDescent="0.35">
      <c r="A3399">
        <v>374</v>
      </c>
      <c r="B3399">
        <v>5</v>
      </c>
      <c r="C3399">
        <f>'0374 table 5'!E1818</f>
        <v>1654742.4000000001</v>
      </c>
      <c r="D3399">
        <f>'0374 table 5'!F1818</f>
        <v>316.48333333333329</v>
      </c>
      <c r="E3399">
        <f>'0374 table 5'!G1818</f>
        <v>12.702976414078822</v>
      </c>
    </row>
    <row r="3400" spans="1:5" x14ac:dyDescent="0.35">
      <c r="A3400">
        <v>374</v>
      </c>
      <c r="B3400">
        <v>5</v>
      </c>
      <c r="C3400">
        <f>'0374 table 5'!E1819</f>
        <v>1654742.4000000001</v>
      </c>
      <c r="D3400">
        <f>'0374 table 5'!F1819</f>
        <v>322.03888888888889</v>
      </c>
      <c r="E3400">
        <f>'0374 table 5'!G1819</f>
        <v>12.302959491669274</v>
      </c>
    </row>
    <row r="3401" spans="1:5" x14ac:dyDescent="0.35">
      <c r="A3401">
        <v>374</v>
      </c>
      <c r="B3401">
        <v>5</v>
      </c>
      <c r="C3401">
        <f>'0374 table 5'!E1820</f>
        <v>1654742.4000000001</v>
      </c>
      <c r="D3401">
        <f>'0374 table 5'!F1820</f>
        <v>327.59444444444443</v>
      </c>
      <c r="E3401">
        <f>'0374 table 5'!G1820</f>
        <v>11.93625429072533</v>
      </c>
    </row>
    <row r="3402" spans="1:5" x14ac:dyDescent="0.35">
      <c r="A3402">
        <v>374</v>
      </c>
      <c r="B3402">
        <v>5</v>
      </c>
      <c r="C3402">
        <f>'0374 table 5'!E1821</f>
        <v>1654742.4000000001</v>
      </c>
      <c r="D3402">
        <f>'0374 table 5'!F1821</f>
        <v>333.15</v>
      </c>
      <c r="E3402">
        <f>'0374 table 5'!G1821</f>
        <v>11.607574824748838</v>
      </c>
    </row>
    <row r="3403" spans="1:5" x14ac:dyDescent="0.35">
      <c r="A3403">
        <v>374</v>
      </c>
      <c r="B3403">
        <v>5</v>
      </c>
      <c r="C3403">
        <f>'0374 table 5'!E1822</f>
        <v>1654742.4000000001</v>
      </c>
      <c r="D3403">
        <f>'0374 table 5'!F1822</f>
        <v>338.70555555555552</v>
      </c>
      <c r="E3403">
        <f>'0374 table 5'!G1822</f>
        <v>11.312466990221324</v>
      </c>
    </row>
    <row r="3404" spans="1:5" x14ac:dyDescent="0.35">
      <c r="A3404">
        <v>374</v>
      </c>
      <c r="B3404">
        <v>5</v>
      </c>
      <c r="C3404">
        <f>'0374 table 5'!E1823</f>
        <v>1654742.4000000001</v>
      </c>
      <c r="D3404">
        <f>'0374 table 5'!F1823</f>
        <v>344.26111111111106</v>
      </c>
      <c r="E3404">
        <f>'0374 table 5'!G1823</f>
        <v>11.031992602034018</v>
      </c>
    </row>
    <row r="3405" spans="1:5" x14ac:dyDescent="0.35">
      <c r="A3405">
        <v>374</v>
      </c>
      <c r="B3405">
        <v>5</v>
      </c>
      <c r="C3405">
        <f>'0374 table 5'!E1824</f>
        <v>1654742.4000000001</v>
      </c>
      <c r="D3405">
        <f>'0374 table 5'!F1824</f>
        <v>349.81666666666666</v>
      </c>
      <c r="E3405">
        <f>'0374 table 5'!G1824</f>
        <v>10.772329023640479</v>
      </c>
    </row>
    <row r="3406" spans="1:5" x14ac:dyDescent="0.35">
      <c r="A3406">
        <v>374</v>
      </c>
      <c r="B3406">
        <v>5</v>
      </c>
      <c r="C3406">
        <f>'0374 table 5'!E1825</f>
        <v>1654742.4000000001</v>
      </c>
      <c r="D3406">
        <f>'0374 table 5'!F1825</f>
        <v>355.37222222222221</v>
      </c>
      <c r="E3406">
        <f>'0374 table 5'!G1825</f>
        <v>10.531527454407229</v>
      </c>
    </row>
    <row r="3407" spans="1:5" x14ac:dyDescent="0.35">
      <c r="A3407">
        <v>374</v>
      </c>
      <c r="B3407">
        <v>5</v>
      </c>
      <c r="C3407">
        <f>'0374 table 5'!E1826</f>
        <v>1654742.4000000001</v>
      </c>
      <c r="D3407">
        <f>'0374 table 5'!F1826</f>
        <v>360.92777777777775</v>
      </c>
      <c r="E3407">
        <f>'0374 table 5'!G1826</f>
        <v>10.307884979506689</v>
      </c>
    </row>
    <row r="3408" spans="1:5" x14ac:dyDescent="0.35">
      <c r="A3408">
        <v>374</v>
      </c>
      <c r="B3408">
        <v>5</v>
      </c>
      <c r="C3408">
        <f>'0374 table 5'!E1827</f>
        <v>1654742.4000000001</v>
      </c>
      <c r="D3408">
        <f>'0374 table 5'!F1827</f>
        <v>366.48333333333329</v>
      </c>
      <c r="E3408">
        <f>'0374 table 5'!G1827</f>
        <v>10.093543325868552</v>
      </c>
    </row>
    <row r="3409" spans="1:5" x14ac:dyDescent="0.35">
      <c r="A3409">
        <v>374</v>
      </c>
      <c r="B3409">
        <v>5</v>
      </c>
      <c r="C3409">
        <f>'0374 table 5'!E1828</f>
        <v>1654742.4000000001</v>
      </c>
      <c r="D3409">
        <f>'0374 table 5'!F1828</f>
        <v>372.03888888888889</v>
      </c>
      <c r="E3409">
        <f>'0374 table 5'!G1828</f>
        <v>9.8940415430224782</v>
      </c>
    </row>
    <row r="3410" spans="1:5" x14ac:dyDescent="0.35">
      <c r="A3410">
        <v>374</v>
      </c>
      <c r="B3410">
        <v>5</v>
      </c>
      <c r="C3410">
        <f>'0374 table 5'!E1829</f>
        <v>1654742.4000000001</v>
      </c>
      <c r="D3410">
        <f>'0374 table 5'!F1829</f>
        <v>377.59444444444443</v>
      </c>
      <c r="E3410">
        <f>'0374 table 5'!G1829</f>
        <v>9.7022733241389414</v>
      </c>
    </row>
    <row r="3411" spans="1:5" x14ac:dyDescent="0.35">
      <c r="A3411">
        <v>374</v>
      </c>
      <c r="B3411">
        <v>5</v>
      </c>
      <c r="C3411">
        <f>'0374 table 5'!E1830</f>
        <v>1654742.4000000001</v>
      </c>
      <c r="D3411">
        <f>'0374 table 5'!F1830</f>
        <v>383.15</v>
      </c>
      <c r="E3411">
        <f>'0374 table 5'!G1830</f>
        <v>9.5177975390097398</v>
      </c>
    </row>
    <row r="3412" spans="1:5" x14ac:dyDescent="0.35">
      <c r="A3412">
        <v>374</v>
      </c>
      <c r="B3412">
        <v>5</v>
      </c>
      <c r="C3412">
        <f>'0374 table 5'!E1831</f>
        <v>1654742.4000000001</v>
      </c>
      <c r="D3412">
        <f>'0374 table 5'!F1831</f>
        <v>388.70555555555552</v>
      </c>
      <c r="E3412">
        <f>'0374 table 5'!G1831</f>
        <v>9.3456553431466709</v>
      </c>
    </row>
    <row r="3413" spans="1:5" x14ac:dyDescent="0.35">
      <c r="A3413">
        <v>374</v>
      </c>
      <c r="B3413">
        <v>5</v>
      </c>
      <c r="C3413">
        <f>'0374 table 5'!E1832</f>
        <v>1654742.4000000001</v>
      </c>
      <c r="D3413">
        <f>'0374 table 5'!F1832</f>
        <v>394.26111111111106</v>
      </c>
      <c r="E3413">
        <f>'0374 table 5'!G1832</f>
        <v>9.1796293742999389</v>
      </c>
    </row>
    <row r="3414" spans="1:5" x14ac:dyDescent="0.35">
      <c r="A3414">
        <v>374</v>
      </c>
      <c r="B3414">
        <v>5</v>
      </c>
      <c r="C3414">
        <f>'0374 table 5'!E1833</f>
        <v>1654742.4000000001</v>
      </c>
      <c r="D3414">
        <f>'0374 table 5'!F1833</f>
        <v>399.81666666666666</v>
      </c>
      <c r="E3414">
        <f>'0374 table 5'!G1833</f>
        <v>9.0244807088188139</v>
      </c>
    </row>
    <row r="3415" spans="1:5" x14ac:dyDescent="0.35">
      <c r="A3415">
        <v>374</v>
      </c>
      <c r="B3415">
        <v>5</v>
      </c>
      <c r="C3415">
        <f>'0374 table 5'!E1834</f>
        <v>1654742.4000000001</v>
      </c>
      <c r="D3415">
        <f>'0374 table 5'!F1834</f>
        <v>405.37222222222221</v>
      </c>
      <c r="E3415">
        <f>'0374 table 5'!G1834</f>
        <v>8.8744893396971705</v>
      </c>
    </row>
    <row r="3416" spans="1:5" x14ac:dyDescent="0.35">
      <c r="A3416">
        <v>374</v>
      </c>
      <c r="B3416">
        <v>5</v>
      </c>
      <c r="C3416">
        <f>'0374 table 5'!E1835</f>
        <v>1654742.4000000001</v>
      </c>
      <c r="D3416">
        <f>'0374 table 5'!F1835</f>
        <v>410.92777777777775</v>
      </c>
      <c r="E3416">
        <f>'0374 table 5'!G1835</f>
        <v>8.7294023205195597</v>
      </c>
    </row>
    <row r="3417" spans="1:5" x14ac:dyDescent="0.35">
      <c r="A3417">
        <v>374</v>
      </c>
      <c r="B3417">
        <v>5</v>
      </c>
      <c r="C3417">
        <f>'0374 table 5'!E1836</f>
        <v>1654742.4000000001</v>
      </c>
      <c r="D3417">
        <f>'0374 table 5'!F1836</f>
        <v>416.48333333333335</v>
      </c>
      <c r="E3417">
        <f>'0374 table 5'!G1836</f>
        <v>8.5889829802431059</v>
      </c>
    </row>
    <row r="3418" spans="1:5" x14ac:dyDescent="0.35">
      <c r="A3418">
        <v>374</v>
      </c>
      <c r="B3418">
        <v>5</v>
      </c>
      <c r="C3418">
        <f>'0374 table 5'!E1837</f>
        <v>1654742.4000000001</v>
      </c>
      <c r="D3418">
        <f>'0374 table 5'!F1837</f>
        <v>422.03888888888889</v>
      </c>
      <c r="E3418">
        <f>'0374 table 5'!G1837</f>
        <v>8.4530096349094421</v>
      </c>
    </row>
    <row r="3419" spans="1:5" x14ac:dyDescent="0.35">
      <c r="A3419">
        <v>374</v>
      </c>
      <c r="B3419">
        <v>5</v>
      </c>
      <c r="C3419">
        <f>'0374 table 5'!E1838</f>
        <v>1654742.4000000001</v>
      </c>
      <c r="D3419">
        <f>'0374 table 5'!F1838</f>
        <v>433.15</v>
      </c>
      <c r="E3419">
        <f>'0374 table 5'!G1838</f>
        <v>8.1977754647663215</v>
      </c>
    </row>
    <row r="3420" spans="1:5" x14ac:dyDescent="0.35">
      <c r="A3420">
        <v>374</v>
      </c>
      <c r="B3420">
        <v>5</v>
      </c>
      <c r="C3420">
        <f>'0374 table 5'!E1839</f>
        <v>1654742.4000000001</v>
      </c>
      <c r="D3420">
        <f>'0374 table 5'!F1839</f>
        <v>444.26111111111106</v>
      </c>
      <c r="E3420">
        <f>'0374 table 5'!G1839</f>
        <v>7.9614578817859805</v>
      </c>
    </row>
    <row r="3421" spans="1:5" x14ac:dyDescent="0.35">
      <c r="A3421">
        <v>374</v>
      </c>
      <c r="B3421">
        <v>5</v>
      </c>
      <c r="C3421">
        <f>'0374 table 5'!E1840</f>
        <v>1654742.4000000001</v>
      </c>
      <c r="D3421">
        <f>'0374 table 5'!F1840</f>
        <v>455.37222222222221</v>
      </c>
      <c r="E3421">
        <f>'0374 table 5'!G1840</f>
        <v>7.7421233727179279</v>
      </c>
    </row>
    <row r="3422" spans="1:5" x14ac:dyDescent="0.35">
      <c r="A3422">
        <v>374</v>
      </c>
      <c r="B3422">
        <v>5</v>
      </c>
      <c r="C3422">
        <f>'0374 table 5'!E1841</f>
        <v>1654742.4000000001</v>
      </c>
      <c r="D3422">
        <f>'0374 table 5'!F1841</f>
        <v>466.48333333333335</v>
      </c>
      <c r="E3422">
        <f>'0374 table 5'!G1841</f>
        <v>7.5345499803167426</v>
      </c>
    </row>
    <row r="3423" spans="1:5" x14ac:dyDescent="0.35">
      <c r="A3423">
        <v>374</v>
      </c>
      <c r="B3423">
        <v>5</v>
      </c>
      <c r="C3423">
        <f>'0374 table 5'!E1842</f>
        <v>1723690</v>
      </c>
      <c r="D3423">
        <f>'0374 table 5'!F1842</f>
        <v>322.03888888888889</v>
      </c>
      <c r="E3423">
        <f>'0374 table 5'!G1842</f>
        <v>12.918107466252735</v>
      </c>
    </row>
    <row r="3424" spans="1:5" x14ac:dyDescent="0.35">
      <c r="A3424">
        <v>374</v>
      </c>
      <c r="B3424">
        <v>5</v>
      </c>
      <c r="C3424">
        <f>'0374 table 5'!E1843</f>
        <v>1723690</v>
      </c>
      <c r="D3424">
        <f>'0374 table 5'!F1843</f>
        <v>327.59444444444443</v>
      </c>
      <c r="E3424">
        <f>'0374 table 5'!G1843</f>
        <v>12.534000984470573</v>
      </c>
    </row>
    <row r="3425" spans="1:5" x14ac:dyDescent="0.35">
      <c r="A3425">
        <v>374</v>
      </c>
      <c r="B3425">
        <v>5</v>
      </c>
      <c r="C3425">
        <f>'0374 table 5'!E1844</f>
        <v>1723690</v>
      </c>
      <c r="D3425">
        <f>'0374 table 5'!F1844</f>
        <v>333.15</v>
      </c>
      <c r="E3425">
        <f>'0374 table 5'!G1844</f>
        <v>12.172076943885557</v>
      </c>
    </row>
    <row r="3426" spans="1:5" x14ac:dyDescent="0.35">
      <c r="A3426">
        <v>374</v>
      </c>
      <c r="B3426">
        <v>5</v>
      </c>
      <c r="C3426">
        <f>'0374 table 5'!E1845</f>
        <v>1723690</v>
      </c>
      <c r="D3426">
        <f>'0374 table 5'!F1845</f>
        <v>338.70555555555552</v>
      </c>
      <c r="E3426">
        <f>'0374 table 5'!G1845</f>
        <v>11.84796838620813</v>
      </c>
    </row>
    <row r="3427" spans="1:5" x14ac:dyDescent="0.35">
      <c r="A3427">
        <v>374</v>
      </c>
      <c r="B3427">
        <v>5</v>
      </c>
      <c r="C3427">
        <f>'0374 table 5'!E1846</f>
        <v>1723690</v>
      </c>
      <c r="D3427">
        <f>'0374 table 5'!F1846</f>
        <v>344.26111111111106</v>
      </c>
      <c r="E3427">
        <f>'0374 table 5'!G1846</f>
        <v>11.557325583083257</v>
      </c>
    </row>
    <row r="3428" spans="1:5" x14ac:dyDescent="0.35">
      <c r="A3428">
        <v>374</v>
      </c>
      <c r="B3428">
        <v>5</v>
      </c>
      <c r="C3428">
        <f>'0374 table 5'!E1847</f>
        <v>1723690</v>
      </c>
      <c r="D3428">
        <f>'0374 table 5'!F1847</f>
        <v>349.81666666666666</v>
      </c>
      <c r="E3428">
        <f>'0374 table 5'!G1847</f>
        <v>11.280600886023517</v>
      </c>
    </row>
    <row r="3429" spans="1:5" x14ac:dyDescent="0.35">
      <c r="A3429">
        <v>374</v>
      </c>
      <c r="B3429">
        <v>5</v>
      </c>
      <c r="C3429">
        <f>'0374 table 5'!E1848</f>
        <v>1723690</v>
      </c>
      <c r="D3429">
        <f>'0374 table 5'!F1848</f>
        <v>355.37222222222221</v>
      </c>
      <c r="E3429">
        <f>'0374 table 5'!G1848</f>
        <v>11.024400040022982</v>
      </c>
    </row>
    <row r="3430" spans="1:5" x14ac:dyDescent="0.35">
      <c r="A3430">
        <v>374</v>
      </c>
      <c r="B3430">
        <v>5</v>
      </c>
      <c r="C3430">
        <f>'0374 table 5'!E1849</f>
        <v>1723690</v>
      </c>
      <c r="D3430">
        <f>'0374 table 5'!F1849</f>
        <v>360.92777777777775</v>
      </c>
      <c r="E3430">
        <f>'0374 table 5'!G1849</f>
        <v>10.779578235634855</v>
      </c>
    </row>
    <row r="3431" spans="1:5" x14ac:dyDescent="0.35">
      <c r="A3431">
        <v>374</v>
      </c>
      <c r="B3431">
        <v>5</v>
      </c>
      <c r="C3431">
        <f>'0374 table 5'!E1850</f>
        <v>1723690</v>
      </c>
      <c r="D3431">
        <f>'0374 table 5'!F1850</f>
        <v>366.48333333333329</v>
      </c>
      <c r="E3431">
        <f>'0374 table 5'!G1850</f>
        <v>10.55234074977167</v>
      </c>
    </row>
    <row r="3432" spans="1:5" x14ac:dyDescent="0.35">
      <c r="A3432">
        <v>374</v>
      </c>
      <c r="B3432">
        <v>5</v>
      </c>
      <c r="C3432">
        <f>'0374 table 5'!E1851</f>
        <v>1723690</v>
      </c>
      <c r="D3432">
        <f>'0374 table 5'!F1851</f>
        <v>372.03888888888889</v>
      </c>
      <c r="E3432">
        <f>'0374 table 5'!G1851</f>
        <v>10.341157687639376</v>
      </c>
    </row>
    <row r="3433" spans="1:5" x14ac:dyDescent="0.35">
      <c r="A3433">
        <v>374</v>
      </c>
      <c r="B3433">
        <v>5</v>
      </c>
      <c r="C3433">
        <f>'0374 table 5'!E1852</f>
        <v>1723690</v>
      </c>
      <c r="D3433">
        <f>'0374 table 5'!F1852</f>
        <v>377.59444444444443</v>
      </c>
      <c r="E3433">
        <f>'0374 table 5'!G1852</f>
        <v>10.138261555793287</v>
      </c>
    </row>
    <row r="3434" spans="1:5" x14ac:dyDescent="0.35">
      <c r="A3434">
        <v>374</v>
      </c>
      <c r="B3434">
        <v>5</v>
      </c>
      <c r="C3434">
        <f>'0374 table 5'!E1853</f>
        <v>1723690</v>
      </c>
      <c r="D3434">
        <f>'0374 table 5'!F1853</f>
        <v>383.15</v>
      </c>
      <c r="E3434">
        <f>'0374 table 5'!G1853</f>
        <v>9.9493498497847153</v>
      </c>
    </row>
    <row r="3435" spans="1:5" x14ac:dyDescent="0.35">
      <c r="A3435">
        <v>374</v>
      </c>
      <c r="B3435">
        <v>5</v>
      </c>
      <c r="C3435">
        <f>'0374 table 5'!E1854</f>
        <v>1723690</v>
      </c>
      <c r="D3435">
        <f>'0374 table 5'!F1854</f>
        <v>388.70555555555552</v>
      </c>
      <c r="E3435">
        <f>'0374 table 5'!G1854</f>
        <v>9.7673495476545096</v>
      </c>
    </row>
    <row r="3436" spans="1:5" x14ac:dyDescent="0.35">
      <c r="A3436">
        <v>374</v>
      </c>
      <c r="B3436">
        <v>5</v>
      </c>
      <c r="C3436">
        <f>'0374 table 5'!E1855</f>
        <v>1723690</v>
      </c>
      <c r="D3436">
        <f>'0374 table 5'!F1855</f>
        <v>394.26111111111106</v>
      </c>
      <c r="E3436">
        <f>'0374 table 5'!G1855</f>
        <v>9.5918881785349672</v>
      </c>
    </row>
    <row r="3437" spans="1:5" x14ac:dyDescent="0.35">
      <c r="A3437">
        <v>374</v>
      </c>
      <c r="B3437">
        <v>5</v>
      </c>
      <c r="C3437">
        <f>'0374 table 5'!E1856</f>
        <v>1723690</v>
      </c>
      <c r="D3437">
        <f>'0374 table 5'!F1856</f>
        <v>399.81666666666666</v>
      </c>
      <c r="E3437">
        <f>'0374 table 5'!G1856</f>
        <v>9.4281655433510263</v>
      </c>
    </row>
    <row r="3438" spans="1:5" x14ac:dyDescent="0.35">
      <c r="A3438">
        <v>374</v>
      </c>
      <c r="B3438">
        <v>5</v>
      </c>
      <c r="C3438">
        <f>'0374 table 5'!E1857</f>
        <v>1723690</v>
      </c>
      <c r="D3438">
        <f>'0374 table 5'!F1857</f>
        <v>405.37222222222221</v>
      </c>
      <c r="E3438">
        <f>'0374 table 5'!G1857</f>
        <v>9.2645767832003436</v>
      </c>
    </row>
    <row r="3439" spans="1:5" x14ac:dyDescent="0.35">
      <c r="A3439">
        <v>374</v>
      </c>
      <c r="B3439">
        <v>5</v>
      </c>
      <c r="C3439">
        <f>'0374 table 5'!E1858</f>
        <v>1723690</v>
      </c>
      <c r="D3439">
        <f>'0374 table 5'!F1858</f>
        <v>410.92777777777775</v>
      </c>
      <c r="E3439">
        <f>'0374 table 5'!G1858</f>
        <v>9.1117481559461844</v>
      </c>
    </row>
    <row r="3440" spans="1:5" x14ac:dyDescent="0.35">
      <c r="A3440">
        <v>374</v>
      </c>
      <c r="B3440">
        <v>5</v>
      </c>
      <c r="C3440">
        <f>'0374 table 5'!E1859</f>
        <v>1723690</v>
      </c>
      <c r="D3440">
        <f>'0374 table 5'!F1859</f>
        <v>416.48333333333335</v>
      </c>
      <c r="E3440">
        <f>'0374 table 5'!G1859</f>
        <v>8.9688988007577795</v>
      </c>
    </row>
    <row r="3441" spans="1:5" x14ac:dyDescent="0.35">
      <c r="A3441">
        <v>374</v>
      </c>
      <c r="B3441">
        <v>5</v>
      </c>
      <c r="C3441">
        <f>'0374 table 5'!E1860</f>
        <v>1723690</v>
      </c>
      <c r="D3441">
        <f>'0374 table 5'!F1860</f>
        <v>422.03888888888889</v>
      </c>
      <c r="E3441">
        <f>'0374 table 5'!G1860</f>
        <v>8.825594081627214</v>
      </c>
    </row>
    <row r="3442" spans="1:5" x14ac:dyDescent="0.35">
      <c r="A3442">
        <v>374</v>
      </c>
      <c r="B3442">
        <v>5</v>
      </c>
      <c r="C3442">
        <f>'0374 table 5'!E1861</f>
        <v>1723690</v>
      </c>
      <c r="D3442">
        <f>'0374 table 5'!F1861</f>
        <v>433.15</v>
      </c>
      <c r="E3442">
        <f>'0374 table 5'!G1861</f>
        <v>8.5568660567058714</v>
      </c>
    </row>
    <row r="3443" spans="1:5" x14ac:dyDescent="0.35">
      <c r="A3443">
        <v>374</v>
      </c>
      <c r="B3443">
        <v>5</v>
      </c>
      <c r="C3443">
        <f>'0374 table 5'!E1862</f>
        <v>1723690</v>
      </c>
      <c r="D3443">
        <f>'0374 table 5'!F1862</f>
        <v>444.26111111111106</v>
      </c>
      <c r="E3443">
        <f>'0374 table 5'!G1862</f>
        <v>8.3083263787102659</v>
      </c>
    </row>
    <row r="3444" spans="1:5" x14ac:dyDescent="0.35">
      <c r="A3444">
        <v>374</v>
      </c>
      <c r="B3444">
        <v>5</v>
      </c>
      <c r="C3444">
        <f>'0374 table 5'!E1863</f>
        <v>1723690</v>
      </c>
      <c r="D3444">
        <f>'0374 table 5'!F1863</f>
        <v>455.37222222222221</v>
      </c>
      <c r="E3444">
        <f>'0374 table 5'!G1863</f>
        <v>8.077888682881186</v>
      </c>
    </row>
    <row r="3445" spans="1:5" x14ac:dyDescent="0.35">
      <c r="A3445">
        <v>374</v>
      </c>
      <c r="B3445">
        <v>5</v>
      </c>
      <c r="C3445">
        <f>'0374 table 5'!E1864</f>
        <v>1723690</v>
      </c>
      <c r="D3445">
        <f>'0374 table 5'!F1864</f>
        <v>466.48333333333335</v>
      </c>
      <c r="E3445">
        <f>'0374 table 5'!G1864</f>
        <v>7.8598887429604494</v>
      </c>
    </row>
    <row r="3446" spans="1:5" x14ac:dyDescent="0.35">
      <c r="A3446">
        <v>374</v>
      </c>
      <c r="B3446">
        <v>5</v>
      </c>
      <c r="C3446">
        <f>'0374 table 5'!E1865</f>
        <v>1723690</v>
      </c>
      <c r="D3446">
        <f>'0374 table 5'!F1865</f>
        <v>477.59444444444443</v>
      </c>
      <c r="E3446">
        <f>'0374 table 5'!G1865</f>
        <v>7.6533460382959362</v>
      </c>
    </row>
    <row r="3447" spans="1:5" x14ac:dyDescent="0.35">
      <c r="A3447">
        <v>374</v>
      </c>
      <c r="B3447">
        <v>5</v>
      </c>
      <c r="C3447">
        <f>'0374 table 5'!E1866</f>
        <v>1792637.6</v>
      </c>
      <c r="D3447">
        <f>'0374 table 5'!F1866</f>
        <v>322.03888888888889</v>
      </c>
      <c r="E3447">
        <f>'0374 table 5'!G1866</f>
        <v>13.551990912143312</v>
      </c>
    </row>
    <row r="3448" spans="1:5" x14ac:dyDescent="0.35">
      <c r="A3448">
        <v>374</v>
      </c>
      <c r="B3448">
        <v>5</v>
      </c>
      <c r="C3448">
        <f>'0374 table 5'!E1867</f>
        <v>1792637.6</v>
      </c>
      <c r="D3448">
        <f>'0374 table 5'!F1867</f>
        <v>327.59444444444443</v>
      </c>
      <c r="E3448">
        <f>'0374 table 5'!G1867</f>
        <v>13.129879719797865</v>
      </c>
    </row>
    <row r="3449" spans="1:5" x14ac:dyDescent="0.35">
      <c r="A3449">
        <v>374</v>
      </c>
      <c r="B3449">
        <v>5</v>
      </c>
      <c r="C3449">
        <f>'0374 table 5'!E1868</f>
        <v>1792637.6</v>
      </c>
      <c r="D3449">
        <f>'0374 table 5'!F1868</f>
        <v>333.15</v>
      </c>
      <c r="E3449">
        <f>'0374 table 5'!G1868</f>
        <v>12.74339956893667</v>
      </c>
    </row>
    <row r="3450" spans="1:5" x14ac:dyDescent="0.35">
      <c r="A3450">
        <v>374</v>
      </c>
      <c r="B3450">
        <v>5</v>
      </c>
      <c r="C3450">
        <f>'0374 table 5'!E1869</f>
        <v>1792637.6</v>
      </c>
      <c r="D3450">
        <f>'0374 table 5'!F1869</f>
        <v>338.70555555555552</v>
      </c>
      <c r="E3450">
        <f>'0374 table 5'!G1869</f>
        <v>12.398183636341635</v>
      </c>
    </row>
    <row r="3451" spans="1:5" x14ac:dyDescent="0.35">
      <c r="A3451">
        <v>374</v>
      </c>
      <c r="B3451">
        <v>5</v>
      </c>
      <c r="C3451">
        <f>'0374 table 5'!E1870</f>
        <v>1792637.6</v>
      </c>
      <c r="D3451">
        <f>'0374 table 5'!F1870</f>
        <v>344.26111111111106</v>
      </c>
      <c r="E3451">
        <f>'0374 table 5'!G1870</f>
        <v>12.080281491820054</v>
      </c>
    </row>
    <row r="3452" spans="1:5" x14ac:dyDescent="0.35">
      <c r="A3452">
        <v>374</v>
      </c>
      <c r="B3452">
        <v>5</v>
      </c>
      <c r="C3452">
        <f>'0374 table 5'!E1871</f>
        <v>1792637.6</v>
      </c>
      <c r="D3452">
        <f>'0374 table 5'!F1871</f>
        <v>349.81666666666666</v>
      </c>
      <c r="E3452">
        <f>'0374 table 5'!G1871</f>
        <v>11.786941323144513</v>
      </c>
    </row>
    <row r="3453" spans="1:5" x14ac:dyDescent="0.35">
      <c r="A3453">
        <v>374</v>
      </c>
      <c r="B3453">
        <v>5</v>
      </c>
      <c r="C3453">
        <f>'0374 table 5'!E1872</f>
        <v>1792637.6</v>
      </c>
      <c r="D3453">
        <f>'0374 table 5'!F1872</f>
        <v>355.37222222222221</v>
      </c>
      <c r="E3453">
        <f>'0374 table 5'!G1872</f>
        <v>11.515782356688277</v>
      </c>
    </row>
    <row r="3454" spans="1:5" x14ac:dyDescent="0.35">
      <c r="A3454">
        <v>374</v>
      </c>
      <c r="B3454">
        <v>5</v>
      </c>
      <c r="C3454">
        <f>'0374 table 5'!E1873</f>
        <v>1792637.6</v>
      </c>
      <c r="D3454">
        <f>'0374 table 5'!F1873</f>
        <v>360.92777777777775</v>
      </c>
      <c r="E3454">
        <f>'0374 table 5'!G1873</f>
        <v>11.264735061992541</v>
      </c>
    </row>
    <row r="3455" spans="1:5" x14ac:dyDescent="0.35">
      <c r="A3455">
        <v>374</v>
      </c>
      <c r="B3455">
        <v>5</v>
      </c>
      <c r="C3455">
        <f>'0374 table 5'!E1874</f>
        <v>1792637.6</v>
      </c>
      <c r="D3455">
        <f>'0374 table 5'!F1874</f>
        <v>366.48333333333329</v>
      </c>
      <c r="E3455">
        <f>'0374 table 5'!G1874</f>
        <v>11.024400040022982</v>
      </c>
    </row>
    <row r="3456" spans="1:5" x14ac:dyDescent="0.35">
      <c r="A3456">
        <v>374</v>
      </c>
      <c r="B3456">
        <v>5</v>
      </c>
      <c r="C3456">
        <f>'0374 table 5'!E1875</f>
        <v>1792637.6</v>
      </c>
      <c r="D3456">
        <f>'0374 table 5'!F1875</f>
        <v>372.03888888888889</v>
      </c>
      <c r="E3456">
        <f>'0374 table 5'!G1875</f>
        <v>10.794105969106061</v>
      </c>
    </row>
    <row r="3457" spans="1:5" x14ac:dyDescent="0.35">
      <c r="A3457">
        <v>374</v>
      </c>
      <c r="B3457">
        <v>5</v>
      </c>
      <c r="C3457">
        <f>'0374 table 5'!E1876</f>
        <v>1792637.6</v>
      </c>
      <c r="D3457">
        <f>'0374 table 5'!F1876</f>
        <v>377.59444444444443</v>
      </c>
      <c r="E3457">
        <f>'0374 table 5'!G1876</f>
        <v>10.58022011767067</v>
      </c>
    </row>
    <row r="3458" spans="1:5" x14ac:dyDescent="0.35">
      <c r="A3458">
        <v>374</v>
      </c>
      <c r="B3458">
        <v>5</v>
      </c>
      <c r="C3458">
        <f>'0374 table 5'!E1877</f>
        <v>1792637.6</v>
      </c>
      <c r="D3458">
        <f>'0374 table 5'!F1877</f>
        <v>383.15</v>
      </c>
      <c r="E3458">
        <f>'0374 table 5'!G1877</f>
        <v>10.381369577545946</v>
      </c>
    </row>
    <row r="3459" spans="1:5" x14ac:dyDescent="0.35">
      <c r="A3459">
        <v>374</v>
      </c>
      <c r="B3459">
        <v>5</v>
      </c>
      <c r="C3459">
        <f>'0374 table 5'!E1878</f>
        <v>1792637.6</v>
      </c>
      <c r="D3459">
        <f>'0374 table 5'!F1878</f>
        <v>388.70555555555552</v>
      </c>
      <c r="E3459">
        <f>'0374 table 5'!G1878</f>
        <v>10.189855762184092</v>
      </c>
    </row>
    <row r="3460" spans="1:5" x14ac:dyDescent="0.35">
      <c r="A3460">
        <v>374</v>
      </c>
      <c r="B3460">
        <v>5</v>
      </c>
      <c r="C3460">
        <f>'0374 table 5'!E1879</f>
        <v>1792637.6</v>
      </c>
      <c r="D3460">
        <f>'0374 table 5'!F1879</f>
        <v>394.26111111111106</v>
      </c>
      <c r="E3460">
        <f>'0374 table 5'!G1879</f>
        <v>10.005279986354399</v>
      </c>
    </row>
    <row r="3461" spans="1:5" x14ac:dyDescent="0.35">
      <c r="A3461">
        <v>374</v>
      </c>
      <c r="B3461">
        <v>5</v>
      </c>
      <c r="C3461">
        <f>'0374 table 5'!E1880</f>
        <v>1792637.6</v>
      </c>
      <c r="D3461">
        <f>'0374 table 5'!F1880</f>
        <v>399.81666666666666</v>
      </c>
      <c r="E3461">
        <f>'0374 table 5'!G1880</f>
        <v>9.8272719375174198</v>
      </c>
    </row>
    <row r="3462" spans="1:5" x14ac:dyDescent="0.35">
      <c r="A3462">
        <v>374</v>
      </c>
      <c r="B3462">
        <v>5</v>
      </c>
      <c r="C3462">
        <f>'0374 table 5'!E1881</f>
        <v>1792637.6</v>
      </c>
      <c r="D3462">
        <f>'0374 table 5'!F1881</f>
        <v>405.37222222222221</v>
      </c>
      <c r="E3462">
        <f>'0374 table 5'!G1881</f>
        <v>9.6613107709007195</v>
      </c>
    </row>
    <row r="3463" spans="1:5" x14ac:dyDescent="0.35">
      <c r="A3463">
        <v>374</v>
      </c>
      <c r="B3463">
        <v>5</v>
      </c>
      <c r="C3463">
        <f>'0374 table 5'!E1882</f>
        <v>1792637.6</v>
      </c>
      <c r="D3463">
        <f>'0374 table 5'!F1882</f>
        <v>410.92777777777775</v>
      </c>
      <c r="E3463">
        <f>'0374 table 5'!G1882</f>
        <v>9.5008619562001151</v>
      </c>
    </row>
    <row r="3464" spans="1:5" x14ac:dyDescent="0.35">
      <c r="A3464">
        <v>374</v>
      </c>
      <c r="B3464">
        <v>5</v>
      </c>
      <c r="C3464">
        <f>'0374 table 5'!E1883</f>
        <v>1792637.6</v>
      </c>
      <c r="D3464">
        <f>'0374 table 5'!F1883</f>
        <v>416.48333333333335</v>
      </c>
      <c r="E3464">
        <f>'0374 table 5'!G1883</f>
        <v>9.3456553431466709</v>
      </c>
    </row>
    <row r="3465" spans="1:5" x14ac:dyDescent="0.35">
      <c r="A3465">
        <v>374</v>
      </c>
      <c r="B3465">
        <v>5</v>
      </c>
      <c r="C3465">
        <f>'0374 table 5'!E1884</f>
        <v>1792637.6</v>
      </c>
      <c r="D3465">
        <f>'0374 table 5'!F1884</f>
        <v>422.03888888888889</v>
      </c>
      <c r="E3465">
        <f>'0374 table 5'!G1884</f>
        <v>9.2007198495998814</v>
      </c>
    </row>
    <row r="3466" spans="1:5" x14ac:dyDescent="0.35">
      <c r="A3466">
        <v>374</v>
      </c>
      <c r="B3466">
        <v>5</v>
      </c>
      <c r="C3466">
        <f>'0374 table 5'!E1885</f>
        <v>1792637.6</v>
      </c>
      <c r="D3466">
        <f>'0374 table 5'!F1885</f>
        <v>433.15</v>
      </c>
      <c r="E3466">
        <f>'0374 table 5'!G1885</f>
        <v>8.9189606114439837</v>
      </c>
    </row>
    <row r="3467" spans="1:5" x14ac:dyDescent="0.35">
      <c r="A3467">
        <v>374</v>
      </c>
      <c r="B3467">
        <v>5</v>
      </c>
      <c r="C3467">
        <f>'0374 table 5'!E1886</f>
        <v>1792637.6</v>
      </c>
      <c r="D3467">
        <f>'0374 table 5'!F1886</f>
        <v>444.26111111111106</v>
      </c>
      <c r="E3467">
        <f>'0374 table 5'!G1886</f>
        <v>8.6586233827856169</v>
      </c>
    </row>
    <row r="3468" spans="1:5" x14ac:dyDescent="0.35">
      <c r="A3468">
        <v>374</v>
      </c>
      <c r="B3468">
        <v>5</v>
      </c>
      <c r="C3468">
        <f>'0374 table 5'!E1887</f>
        <v>1792637.6</v>
      </c>
      <c r="D3468">
        <f>'0374 table 5'!F1887</f>
        <v>455.37222222222221</v>
      </c>
      <c r="E3468">
        <f>'0374 table 5'!G1887</f>
        <v>8.413053181803253</v>
      </c>
    </row>
    <row r="3469" spans="1:5" x14ac:dyDescent="0.35">
      <c r="A3469">
        <v>374</v>
      </c>
      <c r="B3469">
        <v>5</v>
      </c>
      <c r="C3469">
        <f>'0374 table 5'!E1888</f>
        <v>1792637.6</v>
      </c>
      <c r="D3469">
        <f>'0374 table 5'!F1888</f>
        <v>466.48333333333335</v>
      </c>
      <c r="E3469">
        <f>'0374 table 5'!G1888</f>
        <v>8.1852086142837983</v>
      </c>
    </row>
    <row r="3470" spans="1:5" x14ac:dyDescent="0.35">
      <c r="A3470">
        <v>374</v>
      </c>
      <c r="B3470">
        <v>5</v>
      </c>
      <c r="C3470">
        <f>'0374 table 5'!E1889</f>
        <v>1792637.6</v>
      </c>
      <c r="D3470">
        <f>'0374 table 5'!F1889</f>
        <v>477.59444444444443</v>
      </c>
      <c r="E3470">
        <f>'0374 table 5'!G1889</f>
        <v>7.9733465695138843</v>
      </c>
    </row>
    <row r="3471" spans="1:5" x14ac:dyDescent="0.35">
      <c r="A3471">
        <v>374</v>
      </c>
      <c r="B3471">
        <v>5</v>
      </c>
      <c r="C3471">
        <f>'0374 table 5'!E1890</f>
        <v>1861585.2</v>
      </c>
      <c r="D3471">
        <f>'0374 table 5'!F1890</f>
        <v>322.03888888888889</v>
      </c>
      <c r="E3471">
        <f>'0374 table 5'!G1890</f>
        <v>14.200756434533153</v>
      </c>
    </row>
    <row r="3472" spans="1:5" x14ac:dyDescent="0.35">
      <c r="A3472">
        <v>374</v>
      </c>
      <c r="B3472">
        <v>5</v>
      </c>
      <c r="C3472">
        <f>'0374 table 5'!E1891</f>
        <v>1861585.2</v>
      </c>
      <c r="D3472">
        <f>'0374 table 5'!F1891</f>
        <v>327.59444444444443</v>
      </c>
      <c r="E3472">
        <f>'0374 table 5'!G1891</f>
        <v>13.737953051589532</v>
      </c>
    </row>
    <row r="3473" spans="1:5" x14ac:dyDescent="0.35">
      <c r="A3473">
        <v>374</v>
      </c>
      <c r="B3473">
        <v>5</v>
      </c>
      <c r="C3473">
        <f>'0374 table 5'!E1892</f>
        <v>1861585.2</v>
      </c>
      <c r="D3473">
        <f>'0374 table 5'!F1892</f>
        <v>333.15</v>
      </c>
      <c r="E3473">
        <f>'0374 table 5'!G1892</f>
        <v>13.326500214769879</v>
      </c>
    </row>
    <row r="3474" spans="1:5" x14ac:dyDescent="0.35">
      <c r="A3474">
        <v>374</v>
      </c>
      <c r="B3474">
        <v>5</v>
      </c>
      <c r="C3474">
        <f>'0374 table 5'!E1893</f>
        <v>1861585.2</v>
      </c>
      <c r="D3474">
        <f>'0374 table 5'!F1893</f>
        <v>338.70555555555552</v>
      </c>
      <c r="E3474">
        <f>'0374 table 5'!G1893</f>
        <v>12.959913639282682</v>
      </c>
    </row>
    <row r="3475" spans="1:5" x14ac:dyDescent="0.35">
      <c r="A3475">
        <v>374</v>
      </c>
      <c r="B3475">
        <v>5</v>
      </c>
      <c r="C3475">
        <f>'0374 table 5'!E1894</f>
        <v>1861585.2</v>
      </c>
      <c r="D3475">
        <f>'0374 table 5'!F1894</f>
        <v>344.26111111111106</v>
      </c>
      <c r="E3475">
        <f>'0374 table 5'!G1894</f>
        <v>12.622894608473914</v>
      </c>
    </row>
    <row r="3476" spans="1:5" x14ac:dyDescent="0.35">
      <c r="A3476">
        <v>374</v>
      </c>
      <c r="B3476">
        <v>5</v>
      </c>
      <c r="C3476">
        <f>'0374 table 5'!E1895</f>
        <v>1861585.2</v>
      </c>
      <c r="D3476">
        <f>'0374 table 5'!F1895</f>
        <v>349.81666666666666</v>
      </c>
      <c r="E3476">
        <f>'0374 table 5'!G1895</f>
        <v>12.302959491669274</v>
      </c>
    </row>
    <row r="3477" spans="1:5" x14ac:dyDescent="0.35">
      <c r="A3477">
        <v>374</v>
      </c>
      <c r="B3477">
        <v>5</v>
      </c>
      <c r="C3477">
        <f>'0374 table 5'!E1896</f>
        <v>1861585.2</v>
      </c>
      <c r="D3477">
        <f>'0374 table 5'!F1896</f>
        <v>355.37222222222221</v>
      </c>
      <c r="E3477">
        <f>'0374 table 5'!G1896</f>
        <v>12.016844154653707</v>
      </c>
    </row>
    <row r="3478" spans="1:5" x14ac:dyDescent="0.35">
      <c r="A3478">
        <v>374</v>
      </c>
      <c r="B3478">
        <v>5</v>
      </c>
      <c r="C3478">
        <f>'0374 table 5'!E1897</f>
        <v>1861585.2</v>
      </c>
      <c r="D3478">
        <f>'0374 table 5'!F1897</f>
        <v>360.92777777777775</v>
      </c>
      <c r="E3478">
        <f>'0374 table 5'!G1897</f>
        <v>11.743734060229759</v>
      </c>
    </row>
    <row r="3479" spans="1:5" x14ac:dyDescent="0.35">
      <c r="A3479">
        <v>374</v>
      </c>
      <c r="B3479">
        <v>5</v>
      </c>
      <c r="C3479">
        <f>'0374 table 5'!E1898</f>
        <v>1861585.2</v>
      </c>
      <c r="D3479">
        <f>'0374 table 5'!F1898</f>
        <v>366.48333333333329</v>
      </c>
      <c r="E3479">
        <f>'0374 table 5'!G1898</f>
        <v>11.490999467828834</v>
      </c>
    </row>
    <row r="3480" spans="1:5" x14ac:dyDescent="0.35">
      <c r="A3480">
        <v>374</v>
      </c>
      <c r="B3480">
        <v>5</v>
      </c>
      <c r="C3480">
        <f>'0374 table 5'!E1899</f>
        <v>1861585.2</v>
      </c>
      <c r="D3480">
        <f>'0374 table 5'!F1899</f>
        <v>372.03888888888889</v>
      </c>
      <c r="E3480">
        <f>'0374 table 5'!G1899</f>
        <v>11.256818874317212</v>
      </c>
    </row>
    <row r="3481" spans="1:5" x14ac:dyDescent="0.35">
      <c r="A3481">
        <v>374</v>
      </c>
      <c r="B3481">
        <v>5</v>
      </c>
      <c r="C3481">
        <f>'0374 table 5'!E1900</f>
        <v>1861585.2</v>
      </c>
      <c r="D3481">
        <f>'0374 table 5'!F1900</f>
        <v>377.59444444444443</v>
      </c>
      <c r="E3481">
        <f>'0374 table 5'!G1900</f>
        <v>11.031992602034018</v>
      </c>
    </row>
    <row r="3482" spans="1:5" x14ac:dyDescent="0.35">
      <c r="A3482">
        <v>374</v>
      </c>
      <c r="B3482">
        <v>5</v>
      </c>
      <c r="C3482">
        <f>'0374 table 5'!E1901</f>
        <v>1861585.2</v>
      </c>
      <c r="D3482">
        <f>'0374 table 5'!F1901</f>
        <v>383.15</v>
      </c>
      <c r="E3482">
        <f>'0374 table 5'!G1901</f>
        <v>10.815971139874</v>
      </c>
    </row>
    <row r="3483" spans="1:5" x14ac:dyDescent="0.35">
      <c r="A3483">
        <v>374</v>
      </c>
      <c r="B3483">
        <v>5</v>
      </c>
      <c r="C3483">
        <f>'0374 table 5'!E1902</f>
        <v>1861585.2</v>
      </c>
      <c r="D3483">
        <f>'0374 table 5'!F1902</f>
        <v>388.70555555555552</v>
      </c>
      <c r="E3483">
        <f>'0374 table 5'!G1902</f>
        <v>10.615277175714642</v>
      </c>
    </row>
    <row r="3484" spans="1:5" x14ac:dyDescent="0.35">
      <c r="A3484">
        <v>374</v>
      </c>
      <c r="B3484">
        <v>5</v>
      </c>
      <c r="C3484">
        <f>'0374 table 5'!E1903</f>
        <v>1861585.2</v>
      </c>
      <c r="D3484">
        <f>'0374 table 5'!F1903</f>
        <v>394.26111111111106</v>
      </c>
      <c r="E3484">
        <f>'0374 table 5'!G1903</f>
        <v>10.421895418447232</v>
      </c>
    </row>
    <row r="3485" spans="1:5" x14ac:dyDescent="0.35">
      <c r="A3485">
        <v>374</v>
      </c>
      <c r="B3485">
        <v>5</v>
      </c>
      <c r="C3485">
        <f>'0374 table 5'!E1904</f>
        <v>1861585.2</v>
      </c>
      <c r="D3485">
        <f>'0374 table 5'!F1904</f>
        <v>399.81666666666666</v>
      </c>
      <c r="E3485">
        <f>'0374 table 5'!G1904</f>
        <v>10.235433391791306</v>
      </c>
    </row>
    <row r="3486" spans="1:5" x14ac:dyDescent="0.35">
      <c r="A3486">
        <v>374</v>
      </c>
      <c r="B3486">
        <v>5</v>
      </c>
      <c r="C3486">
        <f>'0374 table 5'!E1905</f>
        <v>1861585.2</v>
      </c>
      <c r="D3486">
        <f>'0374 table 5'!F1905</f>
        <v>405.37222222222221</v>
      </c>
      <c r="E3486">
        <f>'0374 table 5'!G1905</f>
        <v>10.061842498840072</v>
      </c>
    </row>
    <row r="3487" spans="1:5" x14ac:dyDescent="0.35">
      <c r="A3487">
        <v>374</v>
      </c>
      <c r="B3487">
        <v>5</v>
      </c>
      <c r="C3487">
        <f>'0374 table 5'!E1906</f>
        <v>1861585.2</v>
      </c>
      <c r="D3487">
        <f>'0374 table 5'!F1906</f>
        <v>410.92777777777775</v>
      </c>
      <c r="E3487">
        <f>'0374 table 5'!G1906</f>
        <v>9.8879341099712299</v>
      </c>
    </row>
    <row r="3488" spans="1:5" x14ac:dyDescent="0.35">
      <c r="A3488">
        <v>374</v>
      </c>
      <c r="B3488">
        <v>5</v>
      </c>
      <c r="C3488">
        <f>'0374 table 5'!E1907</f>
        <v>1861585.2</v>
      </c>
      <c r="D3488">
        <f>'0374 table 5'!F1907</f>
        <v>416.48333333333335</v>
      </c>
      <c r="E3488">
        <f>'0374 table 5'!G1907</f>
        <v>9.7317456003362057</v>
      </c>
    </row>
    <row r="3489" spans="1:5" x14ac:dyDescent="0.35">
      <c r="A3489">
        <v>374</v>
      </c>
      <c r="B3489">
        <v>5</v>
      </c>
      <c r="C3489">
        <f>'0374 table 5'!E1908</f>
        <v>1861585.2</v>
      </c>
      <c r="D3489">
        <f>'0374 table 5'!F1908</f>
        <v>422.03888888888889</v>
      </c>
      <c r="E3489">
        <f>'0374 table 5'!G1908</f>
        <v>9.5746881399601875</v>
      </c>
    </row>
    <row r="3490" spans="1:5" x14ac:dyDescent="0.35">
      <c r="A3490">
        <v>374</v>
      </c>
      <c r="B3490">
        <v>5</v>
      </c>
      <c r="C3490">
        <f>'0374 table 5'!E1909</f>
        <v>1861585.2</v>
      </c>
      <c r="D3490">
        <f>'0374 table 5'!F1909</f>
        <v>433.15</v>
      </c>
      <c r="E3490">
        <f>'0374 table 5'!G1909</f>
        <v>9.2806797555929279</v>
      </c>
    </row>
    <row r="3491" spans="1:5" x14ac:dyDescent="0.35">
      <c r="A3491">
        <v>374</v>
      </c>
      <c r="B3491">
        <v>5</v>
      </c>
      <c r="C3491">
        <f>'0374 table 5'!E1910</f>
        <v>1861585.2</v>
      </c>
      <c r="D3491">
        <f>'0374 table 5'!F1910</f>
        <v>444.26111111111106</v>
      </c>
      <c r="E3491">
        <f>'0374 table 5'!G1910</f>
        <v>9.0092538009861602</v>
      </c>
    </row>
    <row r="3492" spans="1:5" x14ac:dyDescent="0.35">
      <c r="A3492">
        <v>374</v>
      </c>
      <c r="B3492">
        <v>5</v>
      </c>
      <c r="C3492">
        <f>'0374 table 5'!E1911</f>
        <v>1861585.2</v>
      </c>
      <c r="D3492">
        <f>'0374 table 5'!F1911</f>
        <v>455.37222222222221</v>
      </c>
      <c r="E3492">
        <f>'0374 table 5'!G1911</f>
        <v>8.7532531465319092</v>
      </c>
    </row>
    <row r="3493" spans="1:5" x14ac:dyDescent="0.35">
      <c r="A3493">
        <v>374</v>
      </c>
      <c r="B3493">
        <v>5</v>
      </c>
      <c r="C3493">
        <f>'0374 table 5'!E1912</f>
        <v>1861585.2</v>
      </c>
      <c r="D3493">
        <f>'0374 table 5'!F1912</f>
        <v>466.48333333333335</v>
      </c>
      <c r="E3493">
        <f>'0374 table 5'!G1912</f>
        <v>8.5159241138508204</v>
      </c>
    </row>
    <row r="3494" spans="1:5" x14ac:dyDescent="0.35">
      <c r="A3494">
        <v>374</v>
      </c>
      <c r="B3494">
        <v>5</v>
      </c>
      <c r="C3494">
        <f>'0374 table 5'!E1913</f>
        <v>1861585.2</v>
      </c>
      <c r="D3494">
        <f>'0374 table 5'!F1913</f>
        <v>477.59444444444443</v>
      </c>
      <c r="E3494">
        <f>'0374 table 5'!G1913</f>
        <v>8.2911248748205963</v>
      </c>
    </row>
    <row r="3495" spans="1:5" x14ac:dyDescent="0.35">
      <c r="A3495">
        <v>374</v>
      </c>
      <c r="B3495">
        <v>5</v>
      </c>
      <c r="C3495">
        <f>'0374 table 5'!E1914</f>
        <v>1930532.8</v>
      </c>
      <c r="D3495">
        <f>'0374 table 5'!F1914</f>
        <v>322.03888888888889</v>
      </c>
      <c r="E3495">
        <f>'0374 table 5'!G1914</f>
        <v>14.859418606821329</v>
      </c>
    </row>
    <row r="3496" spans="1:5" x14ac:dyDescent="0.35">
      <c r="A3496">
        <v>374</v>
      </c>
      <c r="B3496">
        <v>5</v>
      </c>
      <c r="C3496">
        <f>'0374 table 5'!E1915</f>
        <v>1930532.8</v>
      </c>
      <c r="D3496">
        <f>'0374 table 5'!F1915</f>
        <v>327.59444444444443</v>
      </c>
      <c r="E3496">
        <f>'0374 table 5'!G1915</f>
        <v>14.366325792065824</v>
      </c>
    </row>
    <row r="3497" spans="1:5" x14ac:dyDescent="0.35">
      <c r="A3497">
        <v>374</v>
      </c>
      <c r="B3497">
        <v>5</v>
      </c>
      <c r="C3497">
        <f>'0374 table 5'!E1916</f>
        <v>1930532.8</v>
      </c>
      <c r="D3497">
        <f>'0374 table 5'!F1916</f>
        <v>333.15</v>
      </c>
      <c r="E3497">
        <f>'0374 table 5'!G1916</f>
        <v>13.916988060949949</v>
      </c>
    </row>
    <row r="3498" spans="1:5" x14ac:dyDescent="0.35">
      <c r="A3498">
        <v>374</v>
      </c>
      <c r="B3498">
        <v>5</v>
      </c>
      <c r="C3498">
        <f>'0374 table 5'!E1917</f>
        <v>1930532.8</v>
      </c>
      <c r="D3498">
        <f>'0374 table 5'!F1917</f>
        <v>338.70555555555552</v>
      </c>
      <c r="E3498">
        <f>'0374 table 5'!G1917</f>
        <v>13.529099035602529</v>
      </c>
    </row>
    <row r="3499" spans="1:5" x14ac:dyDescent="0.35">
      <c r="A3499">
        <v>374</v>
      </c>
      <c r="B3499">
        <v>5</v>
      </c>
      <c r="C3499">
        <f>'0374 table 5'!E1918</f>
        <v>1930532.8</v>
      </c>
      <c r="D3499">
        <f>'0374 table 5'!F1918</f>
        <v>344.26111111111106</v>
      </c>
      <c r="E3499">
        <f>'0374 table 5'!G1918</f>
        <v>13.162245898236149</v>
      </c>
    </row>
    <row r="3500" spans="1:5" x14ac:dyDescent="0.35">
      <c r="A3500">
        <v>374</v>
      </c>
      <c r="B3500">
        <v>5</v>
      </c>
      <c r="C3500">
        <f>'0374 table 5'!E1919</f>
        <v>1930532.8</v>
      </c>
      <c r="D3500">
        <f>'0374 table 5'!F1919</f>
        <v>349.81666666666666</v>
      </c>
      <c r="E3500">
        <f>'0374 table 5'!G1919</f>
        <v>12.825022624622411</v>
      </c>
    </row>
    <row r="3501" spans="1:5" x14ac:dyDescent="0.35">
      <c r="A3501">
        <v>374</v>
      </c>
      <c r="B3501">
        <v>5</v>
      </c>
      <c r="C3501">
        <f>'0374 table 5'!E1920</f>
        <v>1930532.8</v>
      </c>
      <c r="D3501">
        <f>'0374 table 5'!F1920</f>
        <v>355.37222222222221</v>
      </c>
      <c r="E3501">
        <f>'0374 table 5'!G1920</f>
        <v>12.524201140073021</v>
      </c>
    </row>
    <row r="3502" spans="1:5" x14ac:dyDescent="0.35">
      <c r="A3502">
        <v>374</v>
      </c>
      <c r="B3502">
        <v>5</v>
      </c>
      <c r="C3502">
        <f>'0374 table 5'!E1921</f>
        <v>1930532.8</v>
      </c>
      <c r="D3502">
        <f>'0374 table 5'!F1921</f>
        <v>360.92777777777775</v>
      </c>
      <c r="E3502">
        <f>'0374 table 5'!G1921</f>
        <v>12.237168264441095</v>
      </c>
    </row>
    <row r="3503" spans="1:5" x14ac:dyDescent="0.35">
      <c r="A3503">
        <v>374</v>
      </c>
      <c r="B3503">
        <v>5</v>
      </c>
      <c r="C3503">
        <f>'0374 table 5'!E1922</f>
        <v>1930532.8</v>
      </c>
      <c r="D3503">
        <f>'0374 table 5'!F1922</f>
        <v>366.48333333333329</v>
      </c>
      <c r="E3503">
        <f>'0374 table 5'!G1922</f>
        <v>11.962997205491705</v>
      </c>
    </row>
    <row r="3504" spans="1:5" x14ac:dyDescent="0.35">
      <c r="A3504">
        <v>374</v>
      </c>
      <c r="B3504">
        <v>5</v>
      </c>
      <c r="C3504">
        <f>'0374 table 5'!E1923</f>
        <v>1930532.8</v>
      </c>
      <c r="D3504">
        <f>'0374 table 5'!F1923</f>
        <v>372.03888888888889</v>
      </c>
      <c r="E3504">
        <f>'0374 table 5'!G1923</f>
        <v>11.717961417815211</v>
      </c>
    </row>
    <row r="3505" spans="1:5" x14ac:dyDescent="0.35">
      <c r="A3505">
        <v>374</v>
      </c>
      <c r="B3505">
        <v>5</v>
      </c>
      <c r="C3505">
        <f>'0374 table 5'!E1924</f>
        <v>1930532.8</v>
      </c>
      <c r="D3505">
        <f>'0374 table 5'!F1924</f>
        <v>377.59444444444443</v>
      </c>
      <c r="E3505">
        <f>'0374 table 5'!G1924</f>
        <v>11.474536717874923</v>
      </c>
    </row>
    <row r="3506" spans="1:5" x14ac:dyDescent="0.35">
      <c r="A3506">
        <v>374</v>
      </c>
      <c r="B3506">
        <v>5</v>
      </c>
      <c r="C3506">
        <f>'0374 table 5'!E1925</f>
        <v>1930532.8</v>
      </c>
      <c r="D3506">
        <f>'0374 table 5'!F1925</f>
        <v>383.15</v>
      </c>
      <c r="E3506">
        <f>'0374 table 5'!G1925</f>
        <v>11.248913804883001</v>
      </c>
    </row>
    <row r="3507" spans="1:5" x14ac:dyDescent="0.35">
      <c r="A3507">
        <v>374</v>
      </c>
      <c r="B3507">
        <v>5</v>
      </c>
      <c r="C3507">
        <f>'0374 table 5'!E1926</f>
        <v>1930532.8</v>
      </c>
      <c r="D3507">
        <f>'0374 table 5'!F1926</f>
        <v>388.70555555555552</v>
      </c>
      <c r="E3507">
        <f>'0374 table 5'!G1926</f>
        <v>11.039595629326943</v>
      </c>
    </row>
    <row r="3508" spans="1:5" x14ac:dyDescent="0.35">
      <c r="A3508">
        <v>374</v>
      </c>
      <c r="B3508">
        <v>5</v>
      </c>
      <c r="C3508">
        <f>'0374 table 5'!E1927</f>
        <v>1930532.8</v>
      </c>
      <c r="D3508">
        <f>'0374 table 5'!F1927</f>
        <v>394.26111111111106</v>
      </c>
      <c r="E3508">
        <f>'0374 table 5'!G1927</f>
        <v>10.837925073175503</v>
      </c>
    </row>
    <row r="3509" spans="1:5" x14ac:dyDescent="0.35">
      <c r="A3509">
        <v>374</v>
      </c>
      <c r="B3509">
        <v>5</v>
      </c>
      <c r="C3509">
        <f>'0374 table 5'!E1928</f>
        <v>1930532.8</v>
      </c>
      <c r="D3509">
        <f>'0374 table 5'!F1928</f>
        <v>399.81666666666666</v>
      </c>
      <c r="E3509">
        <f>'0374 table 5'!G1928</f>
        <v>10.643490536979</v>
      </c>
    </row>
    <row r="3510" spans="1:5" x14ac:dyDescent="0.35">
      <c r="A3510">
        <v>374</v>
      </c>
      <c r="B3510">
        <v>5</v>
      </c>
      <c r="C3510">
        <f>'0374 table 5'!E1929</f>
        <v>1930532.8</v>
      </c>
      <c r="D3510">
        <f>'0374 table 5'!F1929</f>
        <v>405.37222222222221</v>
      </c>
      <c r="E3510">
        <f>'0374 table 5'!G1929</f>
        <v>10.45590943743694</v>
      </c>
    </row>
    <row r="3511" spans="1:5" x14ac:dyDescent="0.35">
      <c r="A3511">
        <v>374</v>
      </c>
      <c r="B3511">
        <v>5</v>
      </c>
      <c r="C3511">
        <f>'0374 table 5'!E1930</f>
        <v>1930532.8</v>
      </c>
      <c r="D3511">
        <f>'0374 table 5'!F1930</f>
        <v>410.92777777777775</v>
      </c>
      <c r="E3511">
        <f>'0374 table 5'!G1930</f>
        <v>10.28142057647843</v>
      </c>
    </row>
    <row r="3512" spans="1:5" x14ac:dyDescent="0.35">
      <c r="A3512">
        <v>374</v>
      </c>
      <c r="B3512">
        <v>5</v>
      </c>
      <c r="C3512">
        <f>'0374 table 5'!E1931</f>
        <v>1930532.8</v>
      </c>
      <c r="D3512">
        <f>'0374 table 5'!F1931</f>
        <v>416.48333333333335</v>
      </c>
      <c r="E3512">
        <f>'0374 table 5'!G1931</f>
        <v>10.112659885197848</v>
      </c>
    </row>
    <row r="3513" spans="1:5" x14ac:dyDescent="0.35">
      <c r="A3513">
        <v>374</v>
      </c>
      <c r="B3513">
        <v>5</v>
      </c>
      <c r="C3513">
        <f>'0374 table 5'!E1932</f>
        <v>1930532.8</v>
      </c>
      <c r="D3513">
        <f>'0374 table 5'!F1932</f>
        <v>422.03888888888889</v>
      </c>
      <c r="E3513">
        <f>'0374 table 5'!G1932</f>
        <v>9.9493498497847153</v>
      </c>
    </row>
    <row r="3514" spans="1:5" x14ac:dyDescent="0.35">
      <c r="A3514">
        <v>374</v>
      </c>
      <c r="B3514">
        <v>5</v>
      </c>
      <c r="C3514">
        <f>'0374 table 5'!E1933</f>
        <v>1930532.8</v>
      </c>
      <c r="D3514">
        <f>'0374 table 5'!F1933</f>
        <v>433.15</v>
      </c>
      <c r="E3514">
        <f>'0374 table 5'!G1933</f>
        <v>9.6438610825727835</v>
      </c>
    </row>
    <row r="3515" spans="1:5" x14ac:dyDescent="0.35">
      <c r="A3515">
        <v>374</v>
      </c>
      <c r="B3515">
        <v>5</v>
      </c>
      <c r="C3515">
        <f>'0374 table 5'!E1934</f>
        <v>1930532.8</v>
      </c>
      <c r="D3515">
        <f>'0374 table 5'!F1934</f>
        <v>444.26111111111106</v>
      </c>
      <c r="E3515">
        <f>'0374 table 5'!G1934</f>
        <v>9.3675165252359029</v>
      </c>
    </row>
    <row r="3516" spans="1:5" x14ac:dyDescent="0.35">
      <c r="A3516">
        <v>374</v>
      </c>
      <c r="B3516">
        <v>5</v>
      </c>
      <c r="C3516">
        <f>'0374 table 5'!E1935</f>
        <v>1930532.8</v>
      </c>
      <c r="D3516">
        <f>'0374 table 5'!F1935</f>
        <v>455.37222222222221</v>
      </c>
      <c r="E3516">
        <f>'0374 table 5'!G1935</f>
        <v>9.0910631431063518</v>
      </c>
    </row>
    <row r="3517" spans="1:5" x14ac:dyDescent="0.35">
      <c r="A3517">
        <v>374</v>
      </c>
      <c r="B3517">
        <v>5</v>
      </c>
      <c r="C3517">
        <f>'0374 table 5'!E1936</f>
        <v>1930532.8</v>
      </c>
      <c r="D3517">
        <f>'0374 table 5'!F1936</f>
        <v>466.48333333333335</v>
      </c>
      <c r="E3517">
        <f>'0374 table 5'!G1936</f>
        <v>8.8450873871636642</v>
      </c>
    </row>
    <row r="3518" spans="1:5" x14ac:dyDescent="0.35">
      <c r="A3518">
        <v>374</v>
      </c>
      <c r="B3518">
        <v>5</v>
      </c>
      <c r="C3518">
        <f>'0374 table 5'!E1937</f>
        <v>1930532.8</v>
      </c>
      <c r="D3518">
        <f>'0374 table 5'!F1937</f>
        <v>477.59444444444443</v>
      </c>
      <c r="E3518">
        <f>'0374 table 5'!G1937</f>
        <v>8.6074439861114413</v>
      </c>
    </row>
    <row r="3519" spans="1:5" x14ac:dyDescent="0.35">
      <c r="A3519">
        <v>374</v>
      </c>
      <c r="B3519">
        <v>5</v>
      </c>
      <c r="C3519">
        <f>'0374 table 5'!E1938</f>
        <v>1999480.4000000001</v>
      </c>
      <c r="D3519">
        <f>'0374 table 5'!F1938</f>
        <v>327.59444444444443</v>
      </c>
      <c r="E3519">
        <f>'0374 table 5'!G1938</f>
        <v>14.998551739844002</v>
      </c>
    </row>
    <row r="3520" spans="1:5" x14ac:dyDescent="0.35">
      <c r="A3520">
        <v>374</v>
      </c>
      <c r="B3520">
        <v>5</v>
      </c>
      <c r="C3520">
        <f>'0374 table 5'!E1939</f>
        <v>1999480.4000000001</v>
      </c>
      <c r="D3520">
        <f>'0374 table 5'!F1939</f>
        <v>333.15</v>
      </c>
      <c r="E3520">
        <f>'0374 table 5'!G1939</f>
        <v>14.522623080828099</v>
      </c>
    </row>
    <row r="3521" spans="1:5" x14ac:dyDescent="0.35">
      <c r="A3521">
        <v>374</v>
      </c>
      <c r="B3521">
        <v>5</v>
      </c>
      <c r="C3521">
        <f>'0374 table 5'!E1940</f>
        <v>1999480.4000000001</v>
      </c>
      <c r="D3521">
        <f>'0374 table 5'!F1940</f>
        <v>338.70555555555552</v>
      </c>
      <c r="E3521">
        <f>'0374 table 5'!G1940</f>
        <v>14.100751107529396</v>
      </c>
    </row>
    <row r="3522" spans="1:5" x14ac:dyDescent="0.35">
      <c r="A3522">
        <v>374</v>
      </c>
      <c r="B3522">
        <v>5</v>
      </c>
      <c r="C3522">
        <f>'0374 table 5'!E1941</f>
        <v>1999480.4000000001</v>
      </c>
      <c r="D3522">
        <f>'0374 table 5'!F1941</f>
        <v>344.26111111111106</v>
      </c>
      <c r="E3522">
        <f>'0374 table 5'!G1941</f>
        <v>13.714429159377907</v>
      </c>
    </row>
    <row r="3523" spans="1:5" x14ac:dyDescent="0.35">
      <c r="A3523">
        <v>374</v>
      </c>
      <c r="B3523">
        <v>5</v>
      </c>
      <c r="C3523">
        <f>'0374 table 5'!E1942</f>
        <v>1999480.4000000001</v>
      </c>
      <c r="D3523">
        <f>'0374 table 5'!F1942</f>
        <v>349.81666666666666</v>
      </c>
      <c r="E3523">
        <f>'0374 table 5'!G1942</f>
        <v>13.359844252004496</v>
      </c>
    </row>
    <row r="3524" spans="1:5" x14ac:dyDescent="0.35">
      <c r="A3524">
        <v>374</v>
      </c>
      <c r="B3524">
        <v>5</v>
      </c>
      <c r="C3524">
        <f>'0374 table 5'!E1943</f>
        <v>1999480.4000000001</v>
      </c>
      <c r="D3524">
        <f>'0374 table 5'!F1943</f>
        <v>355.37222222222221</v>
      </c>
      <c r="E3524">
        <f>'0374 table 5'!G1943</f>
        <v>13.033729258058088</v>
      </c>
    </row>
    <row r="3525" spans="1:5" x14ac:dyDescent="0.35">
      <c r="A3525">
        <v>374</v>
      </c>
      <c r="B3525">
        <v>5</v>
      </c>
      <c r="C3525">
        <f>'0374 table 5'!E1944</f>
        <v>1999480.4000000001</v>
      </c>
      <c r="D3525">
        <f>'0374 table 5'!F1944</f>
        <v>360.92777777777775</v>
      </c>
      <c r="E3525">
        <f>'0374 table 5'!G1944</f>
        <v>12.723155884156785</v>
      </c>
    </row>
    <row r="3526" spans="1:5" x14ac:dyDescent="0.35">
      <c r="A3526">
        <v>374</v>
      </c>
      <c r="B3526">
        <v>5</v>
      </c>
      <c r="C3526">
        <f>'0374 table 5'!E1945</f>
        <v>1999480.4000000001</v>
      </c>
      <c r="D3526">
        <f>'0374 table 5'!F1945</f>
        <v>366.48333333333329</v>
      </c>
      <c r="E3526">
        <f>'0374 table 5'!G1945</f>
        <v>12.446350627935816</v>
      </c>
    </row>
    <row r="3527" spans="1:5" x14ac:dyDescent="0.35">
      <c r="A3527">
        <v>374</v>
      </c>
      <c r="B3527">
        <v>5</v>
      </c>
      <c r="C3527">
        <f>'0374 table 5'!E1946</f>
        <v>1999480.4000000001</v>
      </c>
      <c r="D3527">
        <f>'0374 table 5'!F1946</f>
        <v>372.03888888888889</v>
      </c>
      <c r="E3527">
        <f>'0374 table 5'!G1946</f>
        <v>12.181333276162276</v>
      </c>
    </row>
    <row r="3528" spans="1:5" x14ac:dyDescent="0.35">
      <c r="A3528">
        <v>374</v>
      </c>
      <c r="B3528">
        <v>5</v>
      </c>
      <c r="C3528">
        <f>'0374 table 5'!E1947</f>
        <v>1999480.4000000001</v>
      </c>
      <c r="D3528">
        <f>'0374 table 5'!F1947</f>
        <v>377.59444444444443</v>
      </c>
      <c r="E3528">
        <f>'0374 table 5'!G1947</f>
        <v>11.927366536227398</v>
      </c>
    </row>
    <row r="3529" spans="1:5" x14ac:dyDescent="0.35">
      <c r="A3529">
        <v>374</v>
      </c>
      <c r="B3529">
        <v>5</v>
      </c>
      <c r="C3529">
        <f>'0374 table 5'!E1948</f>
        <v>1999480.4000000001</v>
      </c>
      <c r="D3529">
        <f>'0374 table 5'!F1948</f>
        <v>383.15</v>
      </c>
      <c r="E3529">
        <f>'0374 table 5'!G1948</f>
        <v>11.692301648287147</v>
      </c>
    </row>
    <row r="3530" spans="1:5" x14ac:dyDescent="0.35">
      <c r="A3530">
        <v>374</v>
      </c>
      <c r="B3530">
        <v>5</v>
      </c>
      <c r="C3530">
        <f>'0374 table 5'!E1949</f>
        <v>1999480.4000000001</v>
      </c>
      <c r="D3530">
        <f>'0374 table 5'!F1949</f>
        <v>388.70555555555552</v>
      </c>
      <c r="E3530">
        <f>'0374 table 5'!G1949</f>
        <v>11.466323019436931</v>
      </c>
    </row>
    <row r="3531" spans="1:5" x14ac:dyDescent="0.35">
      <c r="A3531">
        <v>374</v>
      </c>
      <c r="B3531">
        <v>5</v>
      </c>
      <c r="C3531">
        <f>'0374 table 5'!E1950</f>
        <v>1999480.4000000001</v>
      </c>
      <c r="D3531">
        <f>'0374 table 5'!F1950</f>
        <v>394.26111111111106</v>
      </c>
      <c r="E3531">
        <f>'0374 table 5'!G1950</f>
        <v>11.256818874317212</v>
      </c>
    </row>
    <row r="3532" spans="1:5" x14ac:dyDescent="0.35">
      <c r="A3532">
        <v>374</v>
      </c>
      <c r="B3532">
        <v>5</v>
      </c>
      <c r="C3532">
        <f>'0374 table 5'!E1951</f>
        <v>1999480.4000000001</v>
      </c>
      <c r="D3532">
        <f>'0374 table 5'!F1951</f>
        <v>399.81666666666666</v>
      </c>
      <c r="E3532">
        <f>'0374 table 5'!G1951</f>
        <v>11.054833166427462</v>
      </c>
    </row>
    <row r="3533" spans="1:5" x14ac:dyDescent="0.35">
      <c r="A3533">
        <v>374</v>
      </c>
      <c r="B3533">
        <v>5</v>
      </c>
      <c r="C3533">
        <f>'0374 table 5'!E1952</f>
        <v>1999480.4000000001</v>
      </c>
      <c r="D3533">
        <f>'0374 table 5'!F1952</f>
        <v>405.37222222222221</v>
      </c>
      <c r="E3533">
        <f>'0374 table 5'!G1952</f>
        <v>10.859968310612469</v>
      </c>
    </row>
    <row r="3534" spans="1:5" x14ac:dyDescent="0.35">
      <c r="A3534">
        <v>374</v>
      </c>
      <c r="B3534">
        <v>5</v>
      </c>
      <c r="C3534">
        <f>'0374 table 5'!E1953</f>
        <v>1999480.4000000001</v>
      </c>
      <c r="D3534">
        <f>'0374 table 5'!F1953</f>
        <v>410.92777777777775</v>
      </c>
      <c r="E3534">
        <f>'0374 table 5'!G1953</f>
        <v>10.671854269256093</v>
      </c>
    </row>
    <row r="3535" spans="1:5" x14ac:dyDescent="0.35">
      <c r="A3535">
        <v>374</v>
      </c>
      <c r="B3535">
        <v>5</v>
      </c>
      <c r="C3535">
        <f>'0374 table 5'!E1954</f>
        <v>1999480.4000000001</v>
      </c>
      <c r="D3535">
        <f>'0374 table 5'!F1954</f>
        <v>416.48333333333335</v>
      </c>
      <c r="E3535">
        <f>'0374 table 5'!G1954</f>
        <v>10.49702048371782</v>
      </c>
    </row>
    <row r="3536" spans="1:5" x14ac:dyDescent="0.35">
      <c r="A3536">
        <v>374</v>
      </c>
      <c r="B3536">
        <v>5</v>
      </c>
      <c r="C3536">
        <f>'0374 table 5'!E1955</f>
        <v>1999480.4000000001</v>
      </c>
      <c r="D3536">
        <f>'0374 table 5'!F1955</f>
        <v>422.03888888888889</v>
      </c>
      <c r="E3536">
        <f>'0374 table 5'!G1955</f>
        <v>10.327822861478655</v>
      </c>
    </row>
    <row r="3537" spans="1:5" x14ac:dyDescent="0.35">
      <c r="A3537">
        <v>374</v>
      </c>
      <c r="B3537">
        <v>5</v>
      </c>
      <c r="C3537">
        <f>'0374 table 5'!E1956</f>
        <v>1999480.4000000001</v>
      </c>
      <c r="D3537">
        <f>'0374 table 5'!F1956</f>
        <v>433.15</v>
      </c>
      <c r="E3537">
        <f>'0374 table 5'!G1956</f>
        <v>10.005279986354399</v>
      </c>
    </row>
    <row r="3538" spans="1:5" x14ac:dyDescent="0.35">
      <c r="A3538">
        <v>374</v>
      </c>
      <c r="B3538">
        <v>5</v>
      </c>
      <c r="C3538">
        <f>'0374 table 5'!E1957</f>
        <v>1999480.4000000001</v>
      </c>
      <c r="D3538">
        <f>'0374 table 5'!F1957</f>
        <v>444.26111111111106</v>
      </c>
      <c r="E3538">
        <f>'0374 table 5'!G1957</f>
        <v>9.708153489789936</v>
      </c>
    </row>
    <row r="3539" spans="1:5" x14ac:dyDescent="0.35">
      <c r="A3539">
        <v>374</v>
      </c>
      <c r="B3539">
        <v>5</v>
      </c>
      <c r="C3539">
        <f>'0374 table 5'!E1958</f>
        <v>1999480.4000000001</v>
      </c>
      <c r="D3539">
        <f>'0374 table 5'!F1958</f>
        <v>455.37222222222221</v>
      </c>
      <c r="E3539">
        <f>'0374 table 5'!G1958</f>
        <v>9.4337180554495834</v>
      </c>
    </row>
    <row r="3540" spans="1:5" x14ac:dyDescent="0.35">
      <c r="A3540">
        <v>374</v>
      </c>
      <c r="B3540">
        <v>5</v>
      </c>
      <c r="C3540">
        <f>'0374 table 5'!E1959</f>
        <v>1999480.4000000001</v>
      </c>
      <c r="D3540">
        <f>'0374 table 5'!F1959</f>
        <v>466.48333333333335</v>
      </c>
      <c r="E3540">
        <f>'0374 table 5'!G1959</f>
        <v>9.1691203538370871</v>
      </c>
    </row>
    <row r="3541" spans="1:5" x14ac:dyDescent="0.35">
      <c r="A3541">
        <v>374</v>
      </c>
      <c r="B3541">
        <v>5</v>
      </c>
      <c r="C3541">
        <f>'0374 table 5'!E1960</f>
        <v>1999480.4000000001</v>
      </c>
      <c r="D3541">
        <f>'0374 table 5'!F1960</f>
        <v>477.59444444444443</v>
      </c>
      <c r="E3541">
        <f>'0374 table 5'!G1960</f>
        <v>8.9289037113452583</v>
      </c>
    </row>
    <row r="3542" spans="1:5" x14ac:dyDescent="0.35">
      <c r="A3542">
        <v>374</v>
      </c>
      <c r="B3542">
        <v>5</v>
      </c>
      <c r="C3542">
        <f>'0374 table 5'!E1961</f>
        <v>2068428</v>
      </c>
      <c r="D3542">
        <f>'0374 table 5'!F1961</f>
        <v>327.59444444444443</v>
      </c>
      <c r="E3542">
        <f>'0374 table 5'!G1961</f>
        <v>15.658312080306349</v>
      </c>
    </row>
    <row r="3543" spans="1:5" x14ac:dyDescent="0.35">
      <c r="A3543">
        <v>374</v>
      </c>
      <c r="B3543">
        <v>5</v>
      </c>
      <c r="C3543">
        <f>'0374 table 5'!E1962</f>
        <v>2068428</v>
      </c>
      <c r="D3543">
        <f>'0374 table 5'!F1962</f>
        <v>333.15</v>
      </c>
      <c r="E3543">
        <f>'0374 table 5'!G1962</f>
        <v>15.140314988802828</v>
      </c>
    </row>
    <row r="3544" spans="1:5" x14ac:dyDescent="0.35">
      <c r="A3544">
        <v>374</v>
      </c>
      <c r="B3544">
        <v>5</v>
      </c>
      <c r="C3544">
        <f>'0374 table 5'!E1963</f>
        <v>2068428</v>
      </c>
      <c r="D3544">
        <f>'0374 table 5'!F1963</f>
        <v>338.70555555555552</v>
      </c>
      <c r="E3544">
        <f>'0374 table 5'!G1963</f>
        <v>14.682358623421994</v>
      </c>
    </row>
    <row r="3545" spans="1:5" x14ac:dyDescent="0.35">
      <c r="A3545">
        <v>374</v>
      </c>
      <c r="B3545">
        <v>5</v>
      </c>
      <c r="C3545">
        <f>'0374 table 5'!E1964</f>
        <v>2068428</v>
      </c>
      <c r="D3545">
        <f>'0374 table 5'!F1964</f>
        <v>344.26111111111106</v>
      </c>
      <c r="E3545">
        <f>'0374 table 5'!G1964</f>
        <v>14.263983310911303</v>
      </c>
    </row>
    <row r="3546" spans="1:5" x14ac:dyDescent="0.35">
      <c r="A3546">
        <v>374</v>
      </c>
      <c r="B3546">
        <v>5</v>
      </c>
      <c r="C3546">
        <f>'0374 table 5'!E1965</f>
        <v>2068428</v>
      </c>
      <c r="D3546">
        <f>'0374 table 5'!F1965</f>
        <v>349.81666666666666</v>
      </c>
      <c r="E3546">
        <f>'0374 table 5'!G1965</f>
        <v>13.892847578623932</v>
      </c>
    </row>
    <row r="3547" spans="1:5" x14ac:dyDescent="0.35">
      <c r="A3547">
        <v>374</v>
      </c>
      <c r="B3547">
        <v>5</v>
      </c>
      <c r="C3547">
        <f>'0374 table 5'!E1966</f>
        <v>2068428</v>
      </c>
      <c r="D3547">
        <f>'0374 table 5'!F1966</f>
        <v>355.37222222222221</v>
      </c>
      <c r="E3547">
        <f>'0374 table 5'!G1966</f>
        <v>13.540535298523578</v>
      </c>
    </row>
    <row r="3548" spans="1:5" x14ac:dyDescent="0.35">
      <c r="A3548">
        <v>374</v>
      </c>
      <c r="B3548">
        <v>5</v>
      </c>
      <c r="C3548">
        <f>'0374 table 5'!E1967</f>
        <v>2068428</v>
      </c>
      <c r="D3548">
        <f>'0374 table 5'!F1967</f>
        <v>360.92777777777775</v>
      </c>
      <c r="E3548">
        <f>'0374 table 5'!G1967</f>
        <v>13.227459337864072</v>
      </c>
    </row>
    <row r="3549" spans="1:5" x14ac:dyDescent="0.35">
      <c r="A3549">
        <v>374</v>
      </c>
      <c r="B3549">
        <v>5</v>
      </c>
      <c r="C3549">
        <f>'0374 table 5'!E1968</f>
        <v>2068428</v>
      </c>
      <c r="D3549">
        <f>'0374 table 5'!F1968</f>
        <v>366.48333333333329</v>
      </c>
      <c r="E3549">
        <f>'0374 table 5'!G1968</f>
        <v>12.928533703110084</v>
      </c>
    </row>
    <row r="3550" spans="1:5" x14ac:dyDescent="0.35">
      <c r="A3550">
        <v>374</v>
      </c>
      <c r="B3550">
        <v>5</v>
      </c>
      <c r="C3550">
        <f>'0374 table 5'!E1969</f>
        <v>2068428</v>
      </c>
      <c r="D3550">
        <f>'0374 table 5'!F1969</f>
        <v>372.03888888888889</v>
      </c>
      <c r="E3550">
        <f>'0374 table 5'!G1969</f>
        <v>12.642820251107651</v>
      </c>
    </row>
    <row r="3551" spans="1:5" x14ac:dyDescent="0.35">
      <c r="A3551">
        <v>374</v>
      </c>
      <c r="B3551">
        <v>5</v>
      </c>
      <c r="C3551">
        <f>'0374 table 5'!E1970</f>
        <v>2068428</v>
      </c>
      <c r="D3551">
        <f>'0374 table 5'!F1970</f>
        <v>377.59444444444443</v>
      </c>
      <c r="E3551">
        <f>'0374 table 5'!G1970</f>
        <v>12.379021065033534</v>
      </c>
    </row>
    <row r="3552" spans="1:5" x14ac:dyDescent="0.35">
      <c r="A3552">
        <v>374</v>
      </c>
      <c r="B3552">
        <v>5</v>
      </c>
      <c r="C3552">
        <f>'0374 table 5'!E1971</f>
        <v>2068428</v>
      </c>
      <c r="D3552">
        <f>'0374 table 5'!F1971</f>
        <v>383.15</v>
      </c>
      <c r="E3552">
        <f>'0374 table 5'!G1971</f>
        <v>12.135191862237418</v>
      </c>
    </row>
    <row r="3553" spans="1:5" x14ac:dyDescent="0.35">
      <c r="A3553">
        <v>374</v>
      </c>
      <c r="B3553">
        <v>5</v>
      </c>
      <c r="C3553">
        <f>'0374 table 5'!E1972</f>
        <v>2068428</v>
      </c>
      <c r="D3553">
        <f>'0374 table 5'!F1972</f>
        <v>388.70555555555552</v>
      </c>
      <c r="E3553">
        <f>'0374 table 5'!G1972</f>
        <v>11.900782509772208</v>
      </c>
    </row>
    <row r="3554" spans="1:5" x14ac:dyDescent="0.35">
      <c r="A3554">
        <v>374</v>
      </c>
      <c r="B3554">
        <v>5</v>
      </c>
      <c r="C3554">
        <f>'0374 table 5'!E1973</f>
        <v>2068428</v>
      </c>
      <c r="D3554">
        <f>'0374 table 5'!F1973</f>
        <v>394.26111111111106</v>
      </c>
      <c r="E3554">
        <f>'0374 table 5'!G1973</f>
        <v>11.675257476788186</v>
      </c>
    </row>
    <row r="3555" spans="1:5" x14ac:dyDescent="0.35">
      <c r="A3555">
        <v>374</v>
      </c>
      <c r="B3555">
        <v>5</v>
      </c>
      <c r="C3555">
        <f>'0374 table 5'!E1974</f>
        <v>2068428</v>
      </c>
      <c r="D3555">
        <f>'0374 table 5'!F1974</f>
        <v>399.81666666666666</v>
      </c>
      <c r="E3555">
        <f>'0374 table 5'!G1974</f>
        <v>11.466323019436931</v>
      </c>
    </row>
    <row r="3556" spans="1:5" x14ac:dyDescent="0.35">
      <c r="A3556">
        <v>374</v>
      </c>
      <c r="B3556">
        <v>5</v>
      </c>
      <c r="C3556">
        <f>'0374 table 5'!E1975</f>
        <v>2068428</v>
      </c>
      <c r="D3556">
        <f>'0374 table 5'!F1975</f>
        <v>405.37222222222221</v>
      </c>
      <c r="E3556">
        <f>'0374 table 5'!G1975</f>
        <v>11.264735061992541</v>
      </c>
    </row>
    <row r="3557" spans="1:5" x14ac:dyDescent="0.35">
      <c r="A3557">
        <v>374</v>
      </c>
      <c r="B3557">
        <v>5</v>
      </c>
      <c r="C3557">
        <f>'0374 table 5'!E1976</f>
        <v>2068428</v>
      </c>
      <c r="D3557">
        <f>'0374 table 5'!F1976</f>
        <v>410.92777777777775</v>
      </c>
      <c r="E3557">
        <f>'0374 table 5'!G1976</f>
        <v>11.070112825261502</v>
      </c>
    </row>
    <row r="3558" spans="1:5" x14ac:dyDescent="0.35">
      <c r="A3558">
        <v>374</v>
      </c>
      <c r="B3558">
        <v>5</v>
      </c>
      <c r="C3558">
        <f>'0374 table 5'!E1977</f>
        <v>2068428</v>
      </c>
      <c r="D3558">
        <f>'0374 table 5'!F1977</f>
        <v>416.48333333333335</v>
      </c>
      <c r="E3558">
        <f>'0374 table 5'!G1977</f>
        <v>10.882101398202034</v>
      </c>
    </row>
    <row r="3559" spans="1:5" x14ac:dyDescent="0.35">
      <c r="A3559">
        <v>374</v>
      </c>
      <c r="B3559">
        <v>5</v>
      </c>
      <c r="C3559">
        <f>'0374 table 5'!E1978</f>
        <v>2068428</v>
      </c>
      <c r="D3559">
        <f>'0374 table 5'!F1978</f>
        <v>422.03888888888889</v>
      </c>
      <c r="E3559">
        <f>'0374 table 5'!G1978</f>
        <v>10.707522231385958</v>
      </c>
    </row>
    <row r="3560" spans="1:5" x14ac:dyDescent="0.35">
      <c r="A3560">
        <v>374</v>
      </c>
      <c r="B3560">
        <v>5</v>
      </c>
      <c r="C3560">
        <f>'0374 table 5'!E1979</f>
        <v>2068428</v>
      </c>
      <c r="D3560">
        <f>'0374 table 5'!F1979</f>
        <v>433.15</v>
      </c>
      <c r="E3560">
        <f>'0374 table 5'!G1979</f>
        <v>10.374645892586395</v>
      </c>
    </row>
    <row r="3561" spans="1:5" x14ac:dyDescent="0.35">
      <c r="A3561">
        <v>374</v>
      </c>
      <c r="B3561">
        <v>5</v>
      </c>
      <c r="C3561">
        <f>'0374 table 5'!E1980</f>
        <v>2068428</v>
      </c>
      <c r="D3561">
        <f>'0374 table 5'!F1980</f>
        <v>444.26111111111106</v>
      </c>
      <c r="E3561">
        <f>'0374 table 5'!G1980</f>
        <v>10.061842498840072</v>
      </c>
    </row>
    <row r="3562" spans="1:5" x14ac:dyDescent="0.35">
      <c r="A3562">
        <v>374</v>
      </c>
      <c r="B3562">
        <v>5</v>
      </c>
      <c r="C3562">
        <f>'0374 table 5'!E1981</f>
        <v>2068428</v>
      </c>
      <c r="D3562">
        <f>'0374 table 5'!F1981</f>
        <v>455.37222222222221</v>
      </c>
      <c r="E3562">
        <f>'0374 table 5'!G1981</f>
        <v>9.7733088823388616</v>
      </c>
    </row>
    <row r="3563" spans="1:5" x14ac:dyDescent="0.35">
      <c r="A3563">
        <v>374</v>
      </c>
      <c r="B3563">
        <v>5</v>
      </c>
      <c r="C3563">
        <f>'0374 table 5'!E1982</f>
        <v>2068428</v>
      </c>
      <c r="D3563">
        <f>'0374 table 5'!F1982</f>
        <v>466.48333333333335</v>
      </c>
      <c r="E3563">
        <f>'0374 table 5'!G1982</f>
        <v>9.5008619562001151</v>
      </c>
    </row>
    <row r="3564" spans="1:5" x14ac:dyDescent="0.35">
      <c r="A3564">
        <v>374</v>
      </c>
      <c r="B3564">
        <v>5</v>
      </c>
      <c r="C3564">
        <f>'0374 table 5'!E1983</f>
        <v>2068428</v>
      </c>
      <c r="D3564">
        <f>'0374 table 5'!F1983</f>
        <v>477.59444444444443</v>
      </c>
      <c r="E3564">
        <f>'0374 table 5'!G1983</f>
        <v>9.2485295947767856</v>
      </c>
    </row>
    <row r="3565" spans="1:5" x14ac:dyDescent="0.35">
      <c r="A3565">
        <v>376</v>
      </c>
      <c r="B3565">
        <v>464</v>
      </c>
      <c r="C3565">
        <f>'0376 page 464'!E2</f>
        <v>100000</v>
      </c>
      <c r="D3565">
        <f>'0376 page 464'!F2</f>
        <v>300</v>
      </c>
      <c r="E3565">
        <f>'0376 page 464'!G2</f>
        <v>0.68936991589687024</v>
      </c>
    </row>
    <row r="3566" spans="1:5" x14ac:dyDescent="0.35">
      <c r="A3566">
        <v>376</v>
      </c>
      <c r="B3566">
        <v>464</v>
      </c>
      <c r="C3566">
        <f>'0376 page 464'!E3</f>
        <v>100000</v>
      </c>
      <c r="D3566">
        <f>'0376 page 464'!F3</f>
        <v>320</v>
      </c>
      <c r="E3566">
        <f>'0376 page 464'!G3</f>
        <v>0.64482847562548362</v>
      </c>
    </row>
    <row r="3567" spans="1:5" x14ac:dyDescent="0.35">
      <c r="A3567">
        <v>376</v>
      </c>
      <c r="B3567">
        <v>464</v>
      </c>
      <c r="C3567">
        <f>'0376 page 464'!E4</f>
        <v>100000</v>
      </c>
      <c r="D3567">
        <f>'0376 page 464'!F4</f>
        <v>340</v>
      </c>
      <c r="E3567">
        <f>'0376 page 464'!G4</f>
        <v>0.60587700696758551</v>
      </c>
    </row>
    <row r="3568" spans="1:5" x14ac:dyDescent="0.35">
      <c r="A3568">
        <v>376</v>
      </c>
      <c r="B3568">
        <v>464</v>
      </c>
      <c r="C3568">
        <f>'0376 page 464'!E5</f>
        <v>100000</v>
      </c>
      <c r="D3568">
        <f>'0376 page 464'!F5</f>
        <v>360</v>
      </c>
      <c r="E3568">
        <f>'0376 page 464'!G5</f>
        <v>0.57155921353452233</v>
      </c>
    </row>
    <row r="3569" spans="1:5" x14ac:dyDescent="0.35">
      <c r="A3569">
        <v>376</v>
      </c>
      <c r="B3569">
        <v>464</v>
      </c>
      <c r="C3569">
        <f>'0376 page 464'!E6</f>
        <v>100000</v>
      </c>
      <c r="D3569">
        <f>'0376 page 464'!F6</f>
        <v>380</v>
      </c>
      <c r="E3569">
        <f>'0376 page 464'!G6</f>
        <v>0.54097917230186643</v>
      </c>
    </row>
    <row r="3570" spans="1:5" x14ac:dyDescent="0.35">
      <c r="A3570">
        <v>376</v>
      </c>
      <c r="B3570">
        <v>464</v>
      </c>
      <c r="C3570">
        <f>'0376 page 464'!E7</f>
        <v>100000</v>
      </c>
      <c r="D3570">
        <f>'0376 page 464'!F7</f>
        <v>400</v>
      </c>
      <c r="E3570">
        <f>'0376 page 464'!G7</f>
        <v>0.5135579293344289</v>
      </c>
    </row>
    <row r="3571" spans="1:5" x14ac:dyDescent="0.35">
      <c r="A3571">
        <v>376</v>
      </c>
      <c r="B3571">
        <v>464</v>
      </c>
      <c r="C3571">
        <f>'0376 page 464'!E8</f>
        <v>100000</v>
      </c>
      <c r="D3571">
        <f>'0376 page 464'!F8</f>
        <v>420</v>
      </c>
      <c r="E3571">
        <f>'0376 page 464'!G8</f>
        <v>0.48883022926137759</v>
      </c>
    </row>
    <row r="3572" spans="1:5" x14ac:dyDescent="0.35">
      <c r="A3572">
        <v>376</v>
      </c>
      <c r="B3572">
        <v>464</v>
      </c>
      <c r="C3572">
        <f>'0376 page 464'!E9</f>
        <v>100000</v>
      </c>
      <c r="D3572">
        <f>'0376 page 464'!F9</f>
        <v>440</v>
      </c>
      <c r="E3572">
        <f>'0376 page 464'!G9</f>
        <v>0.46639615689566721</v>
      </c>
    </row>
    <row r="3573" spans="1:5" x14ac:dyDescent="0.35">
      <c r="A3573">
        <v>376</v>
      </c>
      <c r="B3573">
        <v>464</v>
      </c>
      <c r="C3573">
        <f>'0376 page 464'!E10</f>
        <v>100000</v>
      </c>
      <c r="D3573">
        <f>'0376 page 464'!F10</f>
        <v>460</v>
      </c>
      <c r="E3573">
        <f>'0376 page 464'!G10</f>
        <v>0.4459706551308924</v>
      </c>
    </row>
    <row r="3574" spans="1:5" x14ac:dyDescent="0.35">
      <c r="A3574">
        <v>376</v>
      </c>
      <c r="B3574">
        <v>464</v>
      </c>
      <c r="C3574">
        <f>'0376 page 464'!E11</f>
        <v>100000</v>
      </c>
      <c r="D3574">
        <f>'0376 page 464'!F11</f>
        <v>480</v>
      </c>
      <c r="E3574">
        <f>'0376 page 464'!G11</f>
        <v>0.42725913266396071</v>
      </c>
    </row>
    <row r="3575" spans="1:5" x14ac:dyDescent="0.35">
      <c r="A3575">
        <v>376</v>
      </c>
      <c r="B3575">
        <v>464</v>
      </c>
      <c r="C3575">
        <f>'0376 page 464'!E12</f>
        <v>100000</v>
      </c>
      <c r="D3575">
        <f>'0376 page 464'!F12</f>
        <v>500</v>
      </c>
      <c r="E3575">
        <f>'0376 page 464'!G12</f>
        <v>0.41007135241532028</v>
      </c>
    </row>
    <row r="3576" spans="1:5" x14ac:dyDescent="0.35">
      <c r="A3576">
        <v>376</v>
      </c>
      <c r="B3576">
        <v>464</v>
      </c>
      <c r="C3576">
        <f>'0376 page 464'!E13</f>
        <v>100000</v>
      </c>
      <c r="D3576">
        <f>'0376 page 464'!F13</f>
        <v>520</v>
      </c>
      <c r="E3576">
        <f>'0376 page 464'!G13</f>
        <v>0.39422849483560674</v>
      </c>
    </row>
    <row r="3577" spans="1:5" x14ac:dyDescent="0.35">
      <c r="A3577">
        <v>376</v>
      </c>
      <c r="B3577">
        <v>464</v>
      </c>
      <c r="C3577">
        <f>'0376 page 464'!E14</f>
        <v>100000</v>
      </c>
      <c r="D3577">
        <f>'0376 page 464'!F14</f>
        <v>540</v>
      </c>
      <c r="E3577">
        <f>'0376 page 464'!G14</f>
        <v>0.37954985387330631</v>
      </c>
    </row>
    <row r="3578" spans="1:5" x14ac:dyDescent="0.35">
      <c r="A3578">
        <v>376</v>
      </c>
      <c r="B3578">
        <v>464</v>
      </c>
      <c r="C3578">
        <f>'0376 page 464'!E15</f>
        <v>100000</v>
      </c>
      <c r="D3578">
        <f>'0376 page 464'!F15</f>
        <v>560</v>
      </c>
      <c r="E3578">
        <f>'0376 page 464'!G15</f>
        <v>0.37079609922503609</v>
      </c>
    </row>
    <row r="3579" spans="1:5" x14ac:dyDescent="0.35">
      <c r="A3579">
        <v>376</v>
      </c>
      <c r="B3579">
        <v>464</v>
      </c>
      <c r="C3579">
        <f>'0376 page 464'!E16</f>
        <v>100000</v>
      </c>
      <c r="D3579">
        <f>'0376 page 464'!F16</f>
        <v>580</v>
      </c>
      <c r="E3579">
        <f>'0376 page 464'!G16</f>
        <v>0.35328198968416591</v>
      </c>
    </row>
    <row r="3580" spans="1:5" x14ac:dyDescent="0.35">
      <c r="A3580">
        <v>376</v>
      </c>
      <c r="B3580">
        <v>464</v>
      </c>
      <c r="C3580">
        <f>'0376 page 464'!E17</f>
        <v>500000</v>
      </c>
      <c r="D3580">
        <f>'0376 page 464'!F17</f>
        <v>300</v>
      </c>
      <c r="E3580">
        <f>'0376 page 464'!G17</f>
        <v>3.6075036075036073</v>
      </c>
    </row>
    <row r="3581" spans="1:5" x14ac:dyDescent="0.35">
      <c r="A3581">
        <v>376</v>
      </c>
      <c r="B3581">
        <v>464</v>
      </c>
      <c r="C3581">
        <f>'0376 page 464'!E18</f>
        <v>500000</v>
      </c>
      <c r="D3581">
        <f>'0376 page 464'!F18</f>
        <v>320</v>
      </c>
      <c r="E3581">
        <f>'0376 page 464'!G18</f>
        <v>3.3366700033366703</v>
      </c>
    </row>
    <row r="3582" spans="1:5" x14ac:dyDescent="0.35">
      <c r="A3582">
        <v>376</v>
      </c>
      <c r="B3582">
        <v>464</v>
      </c>
      <c r="C3582">
        <f>'0376 page 464'!E19</f>
        <v>500000</v>
      </c>
      <c r="D3582">
        <f>'0376 page 464'!F19</f>
        <v>340</v>
      </c>
      <c r="E3582">
        <f>'0376 page 464'!G19</f>
        <v>3.1133250311332508</v>
      </c>
    </row>
    <row r="3583" spans="1:5" x14ac:dyDescent="0.35">
      <c r="A3583">
        <v>376</v>
      </c>
      <c r="B3583">
        <v>464</v>
      </c>
      <c r="C3583">
        <f>'0376 page 464'!E20</f>
        <v>500000</v>
      </c>
      <c r="D3583">
        <f>'0376 page 464'!F20</f>
        <v>360</v>
      </c>
      <c r="E3583">
        <f>'0376 page 464'!G20</f>
        <v>2.9222676797194622</v>
      </c>
    </row>
    <row r="3584" spans="1:5" x14ac:dyDescent="0.35">
      <c r="A3584">
        <v>376</v>
      </c>
      <c r="B3584">
        <v>464</v>
      </c>
      <c r="C3584">
        <f>'0376 page 464'!E21</f>
        <v>500000</v>
      </c>
      <c r="D3584">
        <f>'0376 page 464'!F21</f>
        <v>380</v>
      </c>
      <c r="E3584">
        <f>'0376 page 464'!G21</f>
        <v>2.7548209366391188</v>
      </c>
    </row>
    <row r="3585" spans="1:5" x14ac:dyDescent="0.35">
      <c r="A3585">
        <v>376</v>
      </c>
      <c r="B3585">
        <v>464</v>
      </c>
      <c r="C3585">
        <f>'0376 page 464'!E22</f>
        <v>500000</v>
      </c>
      <c r="D3585">
        <f>'0376 page 464'!F22</f>
        <v>400</v>
      </c>
      <c r="E3585">
        <f>'0376 page 464'!G22</f>
        <v>2.6075619295958279</v>
      </c>
    </row>
    <row r="3586" spans="1:5" x14ac:dyDescent="0.35">
      <c r="A3586">
        <v>376</v>
      </c>
      <c r="B3586">
        <v>464</v>
      </c>
      <c r="C3586">
        <f>'0376 page 464'!E23</f>
        <v>500000</v>
      </c>
      <c r="D3586">
        <f>'0376 page 464'!F23</f>
        <v>420</v>
      </c>
      <c r="E3586">
        <f>'0376 page 464'!G23</f>
        <v>2.4758603614756129</v>
      </c>
    </row>
    <row r="3587" spans="1:5" x14ac:dyDescent="0.35">
      <c r="A3587">
        <v>376</v>
      </c>
      <c r="B3587">
        <v>464</v>
      </c>
      <c r="C3587">
        <f>'0376 page 464'!E24</f>
        <v>500000</v>
      </c>
      <c r="D3587">
        <f>'0376 page 464'!F24</f>
        <v>440</v>
      </c>
      <c r="E3587">
        <f>'0376 page 464'!G24</f>
        <v>2.3579344494223062</v>
      </c>
    </row>
    <row r="3588" spans="1:5" x14ac:dyDescent="0.35">
      <c r="A3588">
        <v>376</v>
      </c>
      <c r="B3588">
        <v>464</v>
      </c>
      <c r="C3588">
        <f>'0376 page 464'!E25</f>
        <v>500000</v>
      </c>
      <c r="D3588">
        <f>'0376 page 464'!F25</f>
        <v>460</v>
      </c>
      <c r="E3588">
        <f>'0376 page 464'!G25</f>
        <v>2.2507314877335136</v>
      </c>
    </row>
    <row r="3589" spans="1:5" x14ac:dyDescent="0.35">
      <c r="A3589">
        <v>376</v>
      </c>
      <c r="B3589">
        <v>464</v>
      </c>
      <c r="C3589">
        <f>'0376 page 464'!E26</f>
        <v>500000</v>
      </c>
      <c r="D3589">
        <f>'0376 page 464'!F26</f>
        <v>480</v>
      </c>
      <c r="E3589">
        <f>'0376 page 464'!G26</f>
        <v>2.1537798836958864</v>
      </c>
    </row>
    <row r="3590" spans="1:5" x14ac:dyDescent="0.35">
      <c r="A3590">
        <v>376</v>
      </c>
      <c r="B3590">
        <v>464</v>
      </c>
      <c r="C3590">
        <f>'0376 page 464'!E27</f>
        <v>500000</v>
      </c>
      <c r="D3590">
        <f>'0376 page 464'!F27</f>
        <v>500</v>
      </c>
      <c r="E3590">
        <f>'0376 page 464'!G27</f>
        <v>2.0648358455502787</v>
      </c>
    </row>
    <row r="3591" spans="1:5" x14ac:dyDescent="0.35">
      <c r="A3591">
        <v>376</v>
      </c>
      <c r="B3591">
        <v>464</v>
      </c>
      <c r="C3591">
        <f>'0376 page 464'!E28</f>
        <v>500000</v>
      </c>
      <c r="D3591">
        <f>'0376 page 464'!F28</f>
        <v>520</v>
      </c>
      <c r="E3591">
        <f>'0376 page 464'!G28</f>
        <v>1.9833399444664821</v>
      </c>
    </row>
    <row r="3592" spans="1:5" x14ac:dyDescent="0.35">
      <c r="A3592">
        <v>376</v>
      </c>
      <c r="B3592">
        <v>464</v>
      </c>
      <c r="C3592">
        <f>'0376 page 464'!E29</f>
        <v>500000</v>
      </c>
      <c r="D3592">
        <f>'0376 page 464'!F29</f>
        <v>540</v>
      </c>
      <c r="E3592">
        <f>'0376 page 464'!G29</f>
        <v>1.9080328181644726</v>
      </c>
    </row>
    <row r="3593" spans="1:5" x14ac:dyDescent="0.35">
      <c r="A3593">
        <v>376</v>
      </c>
      <c r="B3593">
        <v>464</v>
      </c>
      <c r="C3593">
        <f>'0376 page 464'!E30</f>
        <v>500000</v>
      </c>
      <c r="D3593">
        <f>'0376 page 464'!F30</f>
        <v>560</v>
      </c>
      <c r="E3593">
        <f>'0376 page 464'!G30</f>
        <v>1.8385732671446959</v>
      </c>
    </row>
    <row r="3594" spans="1:5" x14ac:dyDescent="0.35">
      <c r="A3594">
        <v>376</v>
      </c>
      <c r="B3594">
        <v>464</v>
      </c>
      <c r="C3594">
        <f>'0376 page 464'!E31</f>
        <v>500000</v>
      </c>
      <c r="D3594">
        <f>'0376 page 464'!F31</f>
        <v>580</v>
      </c>
      <c r="E3594">
        <f>'0376 page 464'!G31</f>
        <v>1.7739932588256164</v>
      </c>
    </row>
    <row r="3595" spans="1:5" x14ac:dyDescent="0.35">
      <c r="A3595">
        <v>376</v>
      </c>
      <c r="B3595">
        <v>464</v>
      </c>
      <c r="C3595">
        <f>'0376 page 464'!E32</f>
        <v>1000000</v>
      </c>
      <c r="D3595">
        <f>'0376 page 464'!F32</f>
        <v>300</v>
      </c>
      <c r="E3595">
        <f>'0376 page 464'!G32</f>
        <v>7.7041602465331271</v>
      </c>
    </row>
    <row r="3596" spans="1:5" x14ac:dyDescent="0.35">
      <c r="A3596">
        <v>376</v>
      </c>
      <c r="B3596">
        <v>464</v>
      </c>
      <c r="C3596">
        <f>'0376 page 464'!E33</f>
        <v>1000000</v>
      </c>
      <c r="D3596">
        <f>'0376 page 464'!F33</f>
        <v>320</v>
      </c>
      <c r="E3596">
        <f>'0376 page 464'!G33</f>
        <v>6.9979006298110562</v>
      </c>
    </row>
    <row r="3597" spans="1:5" x14ac:dyDescent="0.35">
      <c r="A3597">
        <v>376</v>
      </c>
      <c r="B3597">
        <v>464</v>
      </c>
      <c r="C3597">
        <f>'0376 page 464'!E34</f>
        <v>1000000</v>
      </c>
      <c r="D3597">
        <f>'0376 page 464'!F34</f>
        <v>340</v>
      </c>
      <c r="E3597">
        <f>'0376 page 464'!G34</f>
        <v>6.4474532559638948</v>
      </c>
    </row>
    <row r="3598" spans="1:5" x14ac:dyDescent="0.35">
      <c r="A3598">
        <v>376</v>
      </c>
      <c r="B3598">
        <v>464</v>
      </c>
      <c r="C3598">
        <f>'0376 page 464'!E35</f>
        <v>1000000</v>
      </c>
      <c r="D3598">
        <f>'0376 page 464'!F35</f>
        <v>360</v>
      </c>
      <c r="E3598">
        <f>'0376 page 464'!G35</f>
        <v>6.0060060060060056</v>
      </c>
    </row>
    <row r="3599" spans="1:5" x14ac:dyDescent="0.35">
      <c r="A3599">
        <v>376</v>
      </c>
      <c r="B3599">
        <v>464</v>
      </c>
      <c r="C3599">
        <f>'0376 page 464'!E36</f>
        <v>1000000</v>
      </c>
      <c r="D3599">
        <f>'0376 page 464'!F36</f>
        <v>380</v>
      </c>
      <c r="E3599">
        <f>'0376 page 464'!G36</f>
        <v>5.6306306306306313</v>
      </c>
    </row>
    <row r="3600" spans="1:5" x14ac:dyDescent="0.35">
      <c r="A3600">
        <v>376</v>
      </c>
      <c r="B3600">
        <v>464</v>
      </c>
      <c r="C3600">
        <f>'0376 page 464'!E37</f>
        <v>1000000</v>
      </c>
      <c r="D3600">
        <f>'0376 page 464'!F37</f>
        <v>400</v>
      </c>
      <c r="E3600">
        <f>'0376 page 464'!G37</f>
        <v>5.3078556263269636</v>
      </c>
    </row>
    <row r="3601" spans="1:5" x14ac:dyDescent="0.35">
      <c r="A3601">
        <v>376</v>
      </c>
      <c r="B3601">
        <v>464</v>
      </c>
      <c r="C3601">
        <f>'0376 page 464'!E38</f>
        <v>1000000</v>
      </c>
      <c r="D3601">
        <f>'0376 page 464'!F38</f>
        <v>420</v>
      </c>
      <c r="E3601">
        <f>'0376 page 464'!G38</f>
        <v>5.0276520864756149</v>
      </c>
    </row>
    <row r="3602" spans="1:5" x14ac:dyDescent="0.35">
      <c r="A3602">
        <v>376</v>
      </c>
      <c r="B3602">
        <v>464</v>
      </c>
      <c r="C3602">
        <f>'0376 page 464'!E39</f>
        <v>1000000</v>
      </c>
      <c r="D3602">
        <f>'0376 page 464'!F39</f>
        <v>440</v>
      </c>
      <c r="E3602">
        <f>'0376 page 464'!G39</f>
        <v>4.7755491881566385</v>
      </c>
    </row>
    <row r="3603" spans="1:5" x14ac:dyDescent="0.35">
      <c r="A3603">
        <v>376</v>
      </c>
      <c r="B3603">
        <v>464</v>
      </c>
      <c r="C3603">
        <f>'0376 page 464'!E40</f>
        <v>1000000</v>
      </c>
      <c r="D3603">
        <f>'0376 page 464'!F40</f>
        <v>460</v>
      </c>
      <c r="E3603">
        <f>'0376 page 464'!G40</f>
        <v>4.5495905368516834</v>
      </c>
    </row>
    <row r="3604" spans="1:5" x14ac:dyDescent="0.35">
      <c r="A3604">
        <v>376</v>
      </c>
      <c r="B3604">
        <v>464</v>
      </c>
      <c r="C3604">
        <f>'0376 page 464'!E41</f>
        <v>1000000</v>
      </c>
      <c r="D3604">
        <f>'0376 page 464'!F41</f>
        <v>480</v>
      </c>
      <c r="E3604">
        <f>'0376 page 464'!G41</f>
        <v>4.3478260869565224</v>
      </c>
    </row>
    <row r="3605" spans="1:5" x14ac:dyDescent="0.35">
      <c r="A3605">
        <v>376</v>
      </c>
      <c r="B3605">
        <v>464</v>
      </c>
      <c r="C3605">
        <f>'0376 page 464'!E42</f>
        <v>1000000</v>
      </c>
      <c r="D3605">
        <f>'0376 page 464'!F42</f>
        <v>500</v>
      </c>
      <c r="E3605">
        <f>'0376 page 464'!G42</f>
        <v>4.1614648356221382</v>
      </c>
    </row>
    <row r="3606" spans="1:5" x14ac:dyDescent="0.35">
      <c r="A3606">
        <v>376</v>
      </c>
      <c r="B3606">
        <v>464</v>
      </c>
      <c r="C3606">
        <f>'0376 page 464'!E43</f>
        <v>1000000</v>
      </c>
      <c r="D3606">
        <f>'0376 page 464'!F43</f>
        <v>520</v>
      </c>
      <c r="E3606">
        <f>'0376 page 464'!G43</f>
        <v>3.9920159680638716</v>
      </c>
    </row>
    <row r="3607" spans="1:5" x14ac:dyDescent="0.35">
      <c r="A3607">
        <v>376</v>
      </c>
      <c r="B3607">
        <v>464</v>
      </c>
      <c r="C3607">
        <f>'0376 page 464'!E44</f>
        <v>1000000</v>
      </c>
      <c r="D3607">
        <f>'0376 page 464'!F44</f>
        <v>540</v>
      </c>
      <c r="E3607">
        <f>'0376 page 464'!G44</f>
        <v>3.8372985418265544</v>
      </c>
    </row>
    <row r="3608" spans="1:5" x14ac:dyDescent="0.35">
      <c r="A3608">
        <v>376</v>
      </c>
      <c r="B3608">
        <v>464</v>
      </c>
      <c r="C3608">
        <f>'0376 page 464'!E45</f>
        <v>1000000</v>
      </c>
      <c r="D3608">
        <f>'0376 page 464'!F45</f>
        <v>560</v>
      </c>
      <c r="E3608">
        <f>'0376 page 464'!G45</f>
        <v>3.6954915003695485</v>
      </c>
    </row>
    <row r="3609" spans="1:5" x14ac:dyDescent="0.35">
      <c r="A3609">
        <v>376</v>
      </c>
      <c r="B3609">
        <v>464</v>
      </c>
      <c r="C3609">
        <f>'0376 page 464'!E46</f>
        <v>1000000</v>
      </c>
      <c r="D3609">
        <f>'0376 page 464'!F46</f>
        <v>580</v>
      </c>
      <c r="E3609">
        <f>'0376 page 464'!G46</f>
        <v>3.5637918745545258</v>
      </c>
    </row>
    <row r="3610" spans="1:5" x14ac:dyDescent="0.35">
      <c r="A3610">
        <v>376</v>
      </c>
      <c r="B3610">
        <v>464</v>
      </c>
      <c r="C3610">
        <f>'0376 page 464'!E47</f>
        <v>1500000</v>
      </c>
      <c r="D3610">
        <f>'0376 page 464'!F47</f>
        <v>320</v>
      </c>
      <c r="E3610">
        <f>'0376 page 464'!G47</f>
        <v>11.102475852115024</v>
      </c>
    </row>
    <row r="3611" spans="1:5" x14ac:dyDescent="0.35">
      <c r="A3611">
        <v>376</v>
      </c>
      <c r="B3611">
        <v>464</v>
      </c>
      <c r="C3611">
        <f>'0376 page 464'!E48</f>
        <v>1500000</v>
      </c>
      <c r="D3611">
        <f>'0376 page 464'!F48</f>
        <v>340</v>
      </c>
      <c r="E3611">
        <f>'0376 page 464'!G48</f>
        <v>10.089799212995661</v>
      </c>
    </row>
    <row r="3612" spans="1:5" x14ac:dyDescent="0.35">
      <c r="A3612">
        <v>376</v>
      </c>
      <c r="B3612">
        <v>464</v>
      </c>
      <c r="C3612">
        <f>'0376 page 464'!E49</f>
        <v>1500000</v>
      </c>
      <c r="D3612">
        <f>'0376 page 464'!F49</f>
        <v>360</v>
      </c>
      <c r="E3612">
        <f>'0376 page 464'!G49</f>
        <v>9.2850510677808717</v>
      </c>
    </row>
    <row r="3613" spans="1:5" x14ac:dyDescent="0.35">
      <c r="A3613">
        <v>376</v>
      </c>
      <c r="B3613">
        <v>464</v>
      </c>
      <c r="C3613">
        <f>'0376 page 464'!E50</f>
        <v>1500000</v>
      </c>
      <c r="D3613">
        <f>'0376 page 464'!F50</f>
        <v>380</v>
      </c>
      <c r="E3613">
        <f>'0376 page 464'!G50</f>
        <v>8.6505190311418687</v>
      </c>
    </row>
    <row r="3614" spans="1:5" x14ac:dyDescent="0.35">
      <c r="A3614">
        <v>376</v>
      </c>
      <c r="B3614">
        <v>464</v>
      </c>
      <c r="C3614">
        <f>'0376 page 464'!E51</f>
        <v>1500000</v>
      </c>
      <c r="D3614">
        <f>'0376 page 464'!F51</f>
        <v>400</v>
      </c>
      <c r="E3614">
        <f>'0376 page 464'!G51</f>
        <v>8.1234768480909825</v>
      </c>
    </row>
    <row r="3615" spans="1:5" x14ac:dyDescent="0.35">
      <c r="A3615">
        <v>376</v>
      </c>
      <c r="B3615">
        <v>464</v>
      </c>
      <c r="C3615">
        <f>'0376 page 464'!E52</f>
        <v>1500000</v>
      </c>
      <c r="D3615">
        <f>'0376 page 464'!F52</f>
        <v>420</v>
      </c>
      <c r="E3615">
        <f>'0376 page 464'!G52</f>
        <v>7.6923076923076934</v>
      </c>
    </row>
    <row r="3616" spans="1:5" x14ac:dyDescent="0.35">
      <c r="A3616">
        <v>376</v>
      </c>
      <c r="B3616">
        <v>464</v>
      </c>
      <c r="C3616">
        <f>'0376 page 464'!E53</f>
        <v>1500000</v>
      </c>
      <c r="D3616">
        <f>'0376 page 464'!F53</f>
        <v>440</v>
      </c>
      <c r="E3616">
        <f>'0376 page 464'!G53</f>
        <v>7.2568940493468794</v>
      </c>
    </row>
    <row r="3617" spans="1:5" x14ac:dyDescent="0.35">
      <c r="A3617">
        <v>376</v>
      </c>
      <c r="B3617">
        <v>464</v>
      </c>
      <c r="C3617">
        <f>'0376 page 464'!E54</f>
        <v>1500000</v>
      </c>
      <c r="D3617">
        <f>'0376 page 464'!F54</f>
        <v>460</v>
      </c>
      <c r="E3617">
        <f>'0376 page 464'!G54</f>
        <v>6.9013112491373363</v>
      </c>
    </row>
    <row r="3618" spans="1:5" x14ac:dyDescent="0.35">
      <c r="A3618">
        <v>376</v>
      </c>
      <c r="B3618">
        <v>464</v>
      </c>
      <c r="C3618">
        <f>'0376 page 464'!E55</f>
        <v>1500000</v>
      </c>
      <c r="D3618">
        <f>'0376 page 464'!F55</f>
        <v>480</v>
      </c>
      <c r="E3618">
        <f>'0376 page 464'!G55</f>
        <v>6.5832784726793951</v>
      </c>
    </row>
    <row r="3619" spans="1:5" x14ac:dyDescent="0.35">
      <c r="A3619">
        <v>376</v>
      </c>
      <c r="B3619">
        <v>464</v>
      </c>
      <c r="C3619">
        <f>'0376 page 464'!E56</f>
        <v>1500000</v>
      </c>
      <c r="D3619">
        <f>'0376 page 464'!F56</f>
        <v>500</v>
      </c>
      <c r="E3619">
        <f>'0376 page 464'!G56</f>
        <v>6.293266205160478</v>
      </c>
    </row>
    <row r="3620" spans="1:5" x14ac:dyDescent="0.35">
      <c r="A3620">
        <v>376</v>
      </c>
      <c r="B3620">
        <v>464</v>
      </c>
      <c r="C3620">
        <f>'0376 page 464'!E57</f>
        <v>1500000</v>
      </c>
      <c r="D3620">
        <f>'0376 page 464'!F57</f>
        <v>520</v>
      </c>
      <c r="E3620">
        <f>'0376 page 464'!G57</f>
        <v>6.0313630880579012</v>
      </c>
    </row>
    <row r="3621" spans="1:5" x14ac:dyDescent="0.35">
      <c r="A3621">
        <v>376</v>
      </c>
      <c r="B3621">
        <v>464</v>
      </c>
      <c r="C3621">
        <f>'0376 page 464'!E58</f>
        <v>1500000</v>
      </c>
      <c r="D3621">
        <f>'0376 page 464'!F58</f>
        <v>540</v>
      </c>
      <c r="E3621">
        <f>'0376 page 464'!G58</f>
        <v>5.793742757821553</v>
      </c>
    </row>
    <row r="3622" spans="1:5" x14ac:dyDescent="0.35">
      <c r="A3622">
        <v>376</v>
      </c>
      <c r="B3622">
        <v>464</v>
      </c>
      <c r="C3622">
        <f>'0376 page 464'!E59</f>
        <v>1500000</v>
      </c>
      <c r="D3622">
        <f>'0376 page 464'!F59</f>
        <v>560</v>
      </c>
      <c r="E3622">
        <f>'0376 page 464'!G59</f>
        <v>5.5710306406685239</v>
      </c>
    </row>
    <row r="3623" spans="1:5" x14ac:dyDescent="0.35">
      <c r="A3623">
        <v>376</v>
      </c>
      <c r="B3623">
        <v>464</v>
      </c>
      <c r="C3623">
        <f>'0376 page 464'!E60</f>
        <v>1500000</v>
      </c>
      <c r="D3623">
        <f>'0376 page 464'!F60</f>
        <v>580</v>
      </c>
      <c r="E3623">
        <f>'0376 page 464'!G60</f>
        <v>5.3705692803437168</v>
      </c>
    </row>
    <row r="3624" spans="1:5" x14ac:dyDescent="0.35">
      <c r="A3624">
        <v>376</v>
      </c>
      <c r="B3624">
        <v>464</v>
      </c>
      <c r="C3624">
        <f>'0376 page 464'!E61</f>
        <v>2000000</v>
      </c>
      <c r="D3624">
        <f>'0376 page 464'!F61</f>
        <v>310</v>
      </c>
      <c r="E3624">
        <f>'0376 page 464'!G61</f>
        <v>584.79532163742692</v>
      </c>
    </row>
    <row r="3625" spans="1:5" x14ac:dyDescent="0.35">
      <c r="A3625">
        <v>376</v>
      </c>
      <c r="B3625">
        <v>464</v>
      </c>
      <c r="C3625">
        <f>'0376 page 464'!E62</f>
        <v>2000000</v>
      </c>
      <c r="D3625">
        <f>'0376 page 464'!F62</f>
        <v>320</v>
      </c>
      <c r="E3625">
        <f>'0376 page 464'!G62</f>
        <v>568.18181818181824</v>
      </c>
    </row>
    <row r="3626" spans="1:5" x14ac:dyDescent="0.35">
      <c r="A3626">
        <v>376</v>
      </c>
      <c r="B3626">
        <v>464</v>
      </c>
      <c r="C3626">
        <f>'0376 page 464'!E63</f>
        <v>2000000</v>
      </c>
      <c r="D3626">
        <f>'0376 page 464'!F63</f>
        <v>340</v>
      </c>
      <c r="E3626">
        <f>'0376 page 464'!G63</f>
        <v>14.05283867341203</v>
      </c>
    </row>
    <row r="3627" spans="1:5" x14ac:dyDescent="0.35">
      <c r="A3627">
        <v>376</v>
      </c>
      <c r="B3627">
        <v>464</v>
      </c>
      <c r="C3627">
        <f>'0376 page 464'!E64</f>
        <v>2000000</v>
      </c>
      <c r="D3627">
        <f>'0376 page 464'!F64</f>
        <v>360</v>
      </c>
      <c r="E3627">
        <f>'0376 page 464'!G64</f>
        <v>12.981955082435414</v>
      </c>
    </row>
    <row r="3628" spans="1:5" x14ac:dyDescent="0.35">
      <c r="A3628">
        <v>376</v>
      </c>
      <c r="B3628">
        <v>464</v>
      </c>
      <c r="C3628">
        <f>'0376 page 464'!E65</f>
        <v>2000000</v>
      </c>
      <c r="D3628">
        <f>'0376 page 464'!F65</f>
        <v>380</v>
      </c>
      <c r="E3628">
        <f>'0376 page 464'!G65</f>
        <v>11.84413123297406</v>
      </c>
    </row>
    <row r="3629" spans="1:5" x14ac:dyDescent="0.35">
      <c r="A3629">
        <v>376</v>
      </c>
      <c r="B3629">
        <v>464</v>
      </c>
      <c r="C3629">
        <f>'0376 page 464'!E66</f>
        <v>2000000</v>
      </c>
      <c r="D3629">
        <f>'0376 page 464'!F66</f>
        <v>400</v>
      </c>
      <c r="E3629">
        <f>'0376 page 464'!G66</f>
        <v>11.052166224580017</v>
      </c>
    </row>
    <row r="3630" spans="1:5" x14ac:dyDescent="0.35">
      <c r="A3630">
        <v>376</v>
      </c>
      <c r="B3630">
        <v>464</v>
      </c>
      <c r="C3630">
        <f>'0376 page 464'!E67</f>
        <v>2000000</v>
      </c>
      <c r="D3630">
        <f>'0376 page 464'!F67</f>
        <v>420</v>
      </c>
      <c r="E3630">
        <f>'0376 page 464'!G67</f>
        <v>10.385294423096894</v>
      </c>
    </row>
    <row r="3631" spans="1:5" x14ac:dyDescent="0.35">
      <c r="A3631">
        <v>376</v>
      </c>
      <c r="B3631">
        <v>464</v>
      </c>
      <c r="C3631">
        <f>'0376 page 464'!E68</f>
        <v>2000000</v>
      </c>
      <c r="D3631">
        <f>'0376 page 464'!F68</f>
        <v>440</v>
      </c>
      <c r="E3631">
        <f>'0376 page 464'!G68</f>
        <v>9.8058442831927835</v>
      </c>
    </row>
    <row r="3632" spans="1:5" x14ac:dyDescent="0.35">
      <c r="A3632">
        <v>376</v>
      </c>
      <c r="B3632">
        <v>464</v>
      </c>
      <c r="C3632">
        <f>'0376 page 464'!E69</f>
        <v>2000000</v>
      </c>
      <c r="D3632">
        <f>'0376 page 464'!F69</f>
        <v>460</v>
      </c>
      <c r="E3632">
        <f>'0376 page 464'!G69</f>
        <v>9.3023255813953494</v>
      </c>
    </row>
    <row r="3633" spans="1:5" x14ac:dyDescent="0.35">
      <c r="A3633">
        <v>376</v>
      </c>
      <c r="B3633">
        <v>464</v>
      </c>
      <c r="C3633">
        <f>'0376 page 464'!E70</f>
        <v>2000000</v>
      </c>
      <c r="D3633">
        <f>'0376 page 464'!F70</f>
        <v>480</v>
      </c>
      <c r="E3633">
        <f>'0376 page 464'!G70</f>
        <v>8.8573959255978725</v>
      </c>
    </row>
    <row r="3634" spans="1:5" x14ac:dyDescent="0.35">
      <c r="A3634">
        <v>376</v>
      </c>
      <c r="B3634">
        <v>464</v>
      </c>
      <c r="C3634">
        <f>'0376 page 464'!E71</f>
        <v>2000000</v>
      </c>
      <c r="D3634">
        <f>'0376 page 464'!F71</f>
        <v>500</v>
      </c>
      <c r="E3634">
        <f>'0376 page 464'!G71</f>
        <v>8.4566596194503187</v>
      </c>
    </row>
    <row r="3635" spans="1:5" x14ac:dyDescent="0.35">
      <c r="A3635">
        <v>376</v>
      </c>
      <c r="B3635">
        <v>464</v>
      </c>
      <c r="C3635">
        <f>'0376 page 464'!E72</f>
        <v>2000000</v>
      </c>
      <c r="D3635">
        <f>'0376 page 464'!F72</f>
        <v>520</v>
      </c>
      <c r="E3635">
        <f>'0376 page 464'!G72</f>
        <v>8.0912695201877174</v>
      </c>
    </row>
    <row r="3636" spans="1:5" x14ac:dyDescent="0.35">
      <c r="A3636">
        <v>376</v>
      </c>
      <c r="B3636">
        <v>464</v>
      </c>
      <c r="C3636">
        <f>'0376 page 464'!E73</f>
        <v>2000000</v>
      </c>
      <c r="D3636">
        <f>'0376 page 464'!F73</f>
        <v>540</v>
      </c>
      <c r="E3636">
        <f>'0376 page 464'!G73</f>
        <v>7.7627697562490301</v>
      </c>
    </row>
    <row r="3637" spans="1:5" x14ac:dyDescent="0.35">
      <c r="A3637">
        <v>376</v>
      </c>
      <c r="B3637">
        <v>464</v>
      </c>
      <c r="C3637">
        <f>'0376 page 464'!E74</f>
        <v>2000000</v>
      </c>
      <c r="D3637">
        <f>'0376 page 464'!F74</f>
        <v>560</v>
      </c>
      <c r="E3637">
        <f>'0376 page 464'!G74</f>
        <v>7.4638005672488443</v>
      </c>
    </row>
    <row r="3638" spans="1:5" x14ac:dyDescent="0.35">
      <c r="A3638">
        <v>376</v>
      </c>
      <c r="B3638">
        <v>464</v>
      </c>
      <c r="C3638">
        <f>'0376 page 464'!E75</f>
        <v>2000000</v>
      </c>
      <c r="D3638">
        <f>'0376 page 464'!F75</f>
        <v>580</v>
      </c>
      <c r="E3638">
        <f>'0376 page 464'!G75</f>
        <v>7.1895894744410098</v>
      </c>
    </row>
    <row r="3639" spans="1:5" x14ac:dyDescent="0.35">
      <c r="A3639">
        <v>376</v>
      </c>
      <c r="B3639">
        <v>464</v>
      </c>
      <c r="C3639">
        <f>'0376 page 464'!E76</f>
        <v>2500000</v>
      </c>
      <c r="D3639">
        <f>'0376 page 464'!F76</f>
        <v>340</v>
      </c>
      <c r="E3639">
        <f>'0376 page 464'!G76</f>
        <v>18.508236165093468</v>
      </c>
    </row>
    <row r="3640" spans="1:5" x14ac:dyDescent="0.35">
      <c r="A3640">
        <v>376</v>
      </c>
      <c r="B3640">
        <v>464</v>
      </c>
      <c r="C3640">
        <f>'0376 page 464'!E77</f>
        <v>2500000</v>
      </c>
      <c r="D3640">
        <f>'0376 page 464'!F77</f>
        <v>360</v>
      </c>
      <c r="E3640">
        <f>'0376 page 464'!G77</f>
        <v>16.58374792703151</v>
      </c>
    </row>
    <row r="3641" spans="1:5" x14ac:dyDescent="0.35">
      <c r="A3641">
        <v>376</v>
      </c>
      <c r="B3641">
        <v>464</v>
      </c>
      <c r="C3641">
        <f>'0376 page 464'!E78</f>
        <v>2500000</v>
      </c>
      <c r="D3641">
        <f>'0376 page 464'!F78</f>
        <v>380</v>
      </c>
      <c r="E3641">
        <f>'0376 page 464'!G78</f>
        <v>15.192950470981465</v>
      </c>
    </row>
    <row r="3642" spans="1:5" x14ac:dyDescent="0.35">
      <c r="A3642">
        <v>376</v>
      </c>
      <c r="B3642">
        <v>464</v>
      </c>
      <c r="C3642">
        <f>'0376 page 464'!E79</f>
        <v>2500000</v>
      </c>
      <c r="D3642">
        <f>'0376 page 464'!F79</f>
        <v>400</v>
      </c>
      <c r="E3642">
        <f>'0376 page 464'!G79</f>
        <v>14.100394811054709</v>
      </c>
    </row>
    <row r="3643" spans="1:5" x14ac:dyDescent="0.35">
      <c r="A3643">
        <v>376</v>
      </c>
      <c r="B3643">
        <v>464</v>
      </c>
      <c r="C3643">
        <f>'0376 page 464'!E80</f>
        <v>2500000</v>
      </c>
      <c r="D3643">
        <f>'0376 page 464'!F80</f>
        <v>420</v>
      </c>
      <c r="E3643">
        <f>'0376 page 464'!G80</f>
        <v>13.192612137203167</v>
      </c>
    </row>
    <row r="3644" spans="1:5" x14ac:dyDescent="0.35">
      <c r="A3644">
        <v>376</v>
      </c>
      <c r="B3644">
        <v>464</v>
      </c>
      <c r="C3644">
        <f>'0376 page 464'!E81</f>
        <v>2500000</v>
      </c>
      <c r="D3644">
        <f>'0376 page 464'!F81</f>
        <v>440</v>
      </c>
      <c r="E3644">
        <f>'0376 page 464'!G81</f>
        <v>12.422360248447205</v>
      </c>
    </row>
    <row r="3645" spans="1:5" x14ac:dyDescent="0.35">
      <c r="A3645">
        <v>376</v>
      </c>
      <c r="B3645">
        <v>464</v>
      </c>
      <c r="C3645">
        <f>'0376 page 464'!E82</f>
        <v>2500000</v>
      </c>
      <c r="D3645">
        <f>'0376 page 464'!F82</f>
        <v>460</v>
      </c>
      <c r="E3645">
        <f>'0376 page 464'!G82</f>
        <v>11.761938367442955</v>
      </c>
    </row>
    <row r="3646" spans="1:5" x14ac:dyDescent="0.35">
      <c r="A3646">
        <v>376</v>
      </c>
      <c r="B3646">
        <v>464</v>
      </c>
      <c r="C3646">
        <f>'0376 page 464'!E83</f>
        <v>2500000</v>
      </c>
      <c r="D3646">
        <f>'0376 page 464'!F83</f>
        <v>480</v>
      </c>
      <c r="E3646">
        <f>'0376 page 464'!G83</f>
        <v>11.183180496533213</v>
      </c>
    </row>
    <row r="3647" spans="1:5" x14ac:dyDescent="0.35">
      <c r="A3647">
        <v>376</v>
      </c>
      <c r="B3647">
        <v>464</v>
      </c>
      <c r="C3647">
        <f>'0376 page 464'!E84</f>
        <v>2500000</v>
      </c>
      <c r="D3647">
        <f>'0376 page 464'!F84</f>
        <v>500</v>
      </c>
      <c r="E3647">
        <f>'0376 page 464'!G84</f>
        <v>10.678056593699944</v>
      </c>
    </row>
    <row r="3648" spans="1:5" x14ac:dyDescent="0.35">
      <c r="A3648">
        <v>376</v>
      </c>
      <c r="B3648">
        <v>464</v>
      </c>
      <c r="C3648">
        <f>'0376 page 464'!E85</f>
        <v>2500000</v>
      </c>
      <c r="D3648">
        <f>'0376 page 464'!F85</f>
        <v>520</v>
      </c>
      <c r="E3648">
        <f>'0376 page 464'!G85</f>
        <v>10.198878123406425</v>
      </c>
    </row>
    <row r="3649" spans="1:5" x14ac:dyDescent="0.35">
      <c r="A3649">
        <v>376</v>
      </c>
      <c r="B3649">
        <v>464</v>
      </c>
      <c r="C3649">
        <f>'0376 page 464'!E86</f>
        <v>2500000</v>
      </c>
      <c r="D3649">
        <f>'0376 page 464'!F86</f>
        <v>540</v>
      </c>
      <c r="E3649">
        <f>'0376 page 464'!G86</f>
        <v>9.7713504006253675</v>
      </c>
    </row>
    <row r="3650" spans="1:5" x14ac:dyDescent="0.35">
      <c r="A3650">
        <v>376</v>
      </c>
      <c r="B3650">
        <v>464</v>
      </c>
      <c r="C3650">
        <f>'0376 page 464'!E87</f>
        <v>2500000</v>
      </c>
      <c r="D3650">
        <f>'0376 page 464'!F87</f>
        <v>560</v>
      </c>
      <c r="E3650">
        <f>'0376 page 464'!G87</f>
        <v>9.3843843843843846</v>
      </c>
    </row>
    <row r="3651" spans="1:5" x14ac:dyDescent="0.35">
      <c r="A3651">
        <v>376</v>
      </c>
      <c r="B3651">
        <v>464</v>
      </c>
      <c r="C3651">
        <f>'0376 page 464'!E88</f>
        <v>2500000</v>
      </c>
      <c r="D3651">
        <f>'0376 page 464'!F88</f>
        <v>580</v>
      </c>
      <c r="E3651">
        <f>'0376 page 464'!G88</f>
        <v>9.0260853867677575</v>
      </c>
    </row>
    <row r="3652" spans="1:5" x14ac:dyDescent="0.35">
      <c r="A3652">
        <v>376</v>
      </c>
      <c r="B3652">
        <v>464</v>
      </c>
      <c r="C3652">
        <f>'0376 page 464'!E89</f>
        <v>3000000</v>
      </c>
      <c r="D3652">
        <f>'0376 page 464'!F89</f>
        <v>310</v>
      </c>
      <c r="E3652">
        <f>'0376 page 464'!G89</f>
        <v>588.23529411764707</v>
      </c>
    </row>
    <row r="3653" spans="1:5" x14ac:dyDescent="0.35">
      <c r="A3653">
        <v>376</v>
      </c>
      <c r="B3653">
        <v>464</v>
      </c>
      <c r="C3653">
        <f>'0376 page 464'!E90</f>
        <v>3000000</v>
      </c>
      <c r="D3653">
        <f>'0376 page 464'!F90</f>
        <v>320</v>
      </c>
      <c r="E3653">
        <f>'0376 page 464'!G90</f>
        <v>568.18181818181824</v>
      </c>
    </row>
    <row r="3654" spans="1:5" x14ac:dyDescent="0.35">
      <c r="A3654">
        <v>376</v>
      </c>
      <c r="B3654">
        <v>464</v>
      </c>
      <c r="C3654">
        <f>'0376 page 464'!E91</f>
        <v>3000000</v>
      </c>
      <c r="D3654">
        <f>'0376 page 464'!F91</f>
        <v>330</v>
      </c>
      <c r="E3654">
        <f>'0376 page 464'!G91</f>
        <v>552.4861878453039</v>
      </c>
    </row>
    <row r="3655" spans="1:5" x14ac:dyDescent="0.35">
      <c r="A3655">
        <v>376</v>
      </c>
      <c r="B3655">
        <v>464</v>
      </c>
      <c r="C3655">
        <f>'0376 page 464'!E92</f>
        <v>3000000</v>
      </c>
      <c r="D3655">
        <f>'0376 page 464'!F92</f>
        <v>340</v>
      </c>
      <c r="E3655">
        <f>'0376 page 464'!G92</f>
        <v>23.849272597185784</v>
      </c>
    </row>
    <row r="3656" spans="1:5" x14ac:dyDescent="0.35">
      <c r="A3656">
        <v>376</v>
      </c>
      <c r="B3656">
        <v>464</v>
      </c>
      <c r="C3656">
        <f>'0376 page 464'!E93</f>
        <v>3000000</v>
      </c>
      <c r="D3656">
        <f>'0376 page 464'!F93</f>
        <v>360</v>
      </c>
      <c r="E3656">
        <f>'0376 page 464'!G93</f>
        <v>20.751193193608636</v>
      </c>
    </row>
    <row r="3657" spans="1:5" x14ac:dyDescent="0.35">
      <c r="A3657">
        <v>376</v>
      </c>
      <c r="B3657">
        <v>464</v>
      </c>
      <c r="C3657">
        <f>'0376 page 464'!E94</f>
        <v>3000000</v>
      </c>
      <c r="D3657">
        <f>'0376 page 464'!F94</f>
        <v>380</v>
      </c>
      <c r="E3657">
        <f>'0376 page 464'!G94</f>
        <v>18.681113394358302</v>
      </c>
    </row>
    <row r="3658" spans="1:5" x14ac:dyDescent="0.35">
      <c r="A3658">
        <v>376</v>
      </c>
      <c r="B3658">
        <v>464</v>
      </c>
      <c r="C3658">
        <f>'0376 page 464'!E95</f>
        <v>3000000</v>
      </c>
      <c r="D3658">
        <f>'0376 page 464'!F95</f>
        <v>400</v>
      </c>
      <c r="E3658">
        <f>'0376 page 464'!G95</f>
        <v>17.292062943109112</v>
      </c>
    </row>
    <row r="3659" spans="1:5" x14ac:dyDescent="0.35">
      <c r="A3659">
        <v>376</v>
      </c>
      <c r="B3659">
        <v>464</v>
      </c>
      <c r="C3659">
        <f>'0376 page 464'!E96</f>
        <v>3000000</v>
      </c>
      <c r="D3659">
        <f>'0376 page 464'!F96</f>
        <v>420</v>
      </c>
      <c r="E3659">
        <f>'0376 page 464'!G96</f>
        <v>16.097875080489377</v>
      </c>
    </row>
    <row r="3660" spans="1:5" x14ac:dyDescent="0.35">
      <c r="A3660">
        <v>376</v>
      </c>
      <c r="B3660">
        <v>464</v>
      </c>
      <c r="C3660">
        <f>'0376 page 464'!E97</f>
        <v>3000000</v>
      </c>
      <c r="D3660">
        <f>'0376 page 464'!F97</f>
        <v>440</v>
      </c>
      <c r="E3660">
        <f>'0376 page 464'!G97</f>
        <v>15.112588786459119</v>
      </c>
    </row>
    <row r="3661" spans="1:5" x14ac:dyDescent="0.35">
      <c r="A3661">
        <v>376</v>
      </c>
      <c r="B3661">
        <v>464</v>
      </c>
      <c r="C3661">
        <f>'0376 page 464'!E98</f>
        <v>3000000</v>
      </c>
      <c r="D3661">
        <f>'0376 page 464'!F98</f>
        <v>460</v>
      </c>
      <c r="E3661">
        <f>'0376 page 464'!G98</f>
        <v>14.265335235378032</v>
      </c>
    </row>
    <row r="3662" spans="1:5" x14ac:dyDescent="0.35">
      <c r="A3662">
        <v>376</v>
      </c>
      <c r="B3662">
        <v>464</v>
      </c>
      <c r="C3662">
        <f>'0376 page 464'!E99</f>
        <v>3000000</v>
      </c>
      <c r="D3662">
        <f>'0376 page 464'!F99</f>
        <v>480</v>
      </c>
      <c r="E3662">
        <f>'0376 page 464'!G99</f>
        <v>13.539128080151638</v>
      </c>
    </row>
    <row r="3663" spans="1:5" x14ac:dyDescent="0.35">
      <c r="A3663">
        <v>376</v>
      </c>
      <c r="B3663">
        <v>464</v>
      </c>
      <c r="C3663">
        <f>'0376 page 464'!E100</f>
        <v>3000000</v>
      </c>
      <c r="D3663">
        <f>'0376 page 464'!F100</f>
        <v>500</v>
      </c>
      <c r="E3663">
        <f>'0376 page 464'!G100</f>
        <v>12.893243940175347</v>
      </c>
    </row>
    <row r="3664" spans="1:5" x14ac:dyDescent="0.35">
      <c r="A3664">
        <v>376</v>
      </c>
      <c r="B3664">
        <v>464</v>
      </c>
      <c r="C3664">
        <f>'0376 page 464'!E101</f>
        <v>3000000</v>
      </c>
      <c r="D3664">
        <f>'0376 page 464'!F101</f>
        <v>520</v>
      </c>
      <c r="E3664">
        <f>'0376 page 464'!G101</f>
        <v>12.324377618930242</v>
      </c>
    </row>
    <row r="3665" spans="1:5" x14ac:dyDescent="0.35">
      <c r="A3665">
        <v>376</v>
      </c>
      <c r="B3665">
        <v>464</v>
      </c>
      <c r="C3665">
        <f>'0376 page 464'!E102</f>
        <v>3000000</v>
      </c>
      <c r="D3665">
        <f>'0376 page 464'!F102</f>
        <v>540</v>
      </c>
      <c r="E3665">
        <f>'0376 page 464'!G102</f>
        <v>11.803588290840416</v>
      </c>
    </row>
    <row r="3666" spans="1:5" x14ac:dyDescent="0.35">
      <c r="A3666">
        <v>376</v>
      </c>
      <c r="B3666">
        <v>464</v>
      </c>
      <c r="C3666">
        <f>'0376 page 464'!E103</f>
        <v>3000000</v>
      </c>
      <c r="D3666">
        <f>'0376 page 464'!F103</f>
        <v>560</v>
      </c>
      <c r="E3666">
        <f>'0376 page 464'!G103</f>
        <v>11.325028312570783</v>
      </c>
    </row>
    <row r="3667" spans="1:5" x14ac:dyDescent="0.35">
      <c r="A3667">
        <v>376</v>
      </c>
      <c r="B3667">
        <v>464</v>
      </c>
      <c r="C3667">
        <f>'0376 page 464'!E104</f>
        <v>3000000</v>
      </c>
      <c r="D3667">
        <f>'0376 page 464'!F104</f>
        <v>580</v>
      </c>
      <c r="E3667">
        <f>'0376 page 464'!G104</f>
        <v>10.889687465969727</v>
      </c>
    </row>
    <row r="3668" spans="1:5" x14ac:dyDescent="0.35">
      <c r="A3668">
        <v>376</v>
      </c>
      <c r="B3668">
        <v>464</v>
      </c>
      <c r="C3668">
        <f>'0376 page 464'!E105</f>
        <v>4000000</v>
      </c>
      <c r="D3668">
        <f>'0376 page 464'!F105</f>
        <v>310</v>
      </c>
      <c r="E3668">
        <f>'0376 page 464'!G105</f>
        <v>588.23529411764707</v>
      </c>
    </row>
    <row r="3669" spans="1:5" x14ac:dyDescent="0.35">
      <c r="A3669">
        <v>376</v>
      </c>
      <c r="B3669">
        <v>464</v>
      </c>
      <c r="C3669">
        <f>'0376 page 464'!E106</f>
        <v>4000000</v>
      </c>
      <c r="D3669">
        <f>'0376 page 464'!F106</f>
        <v>320</v>
      </c>
      <c r="E3669">
        <f>'0376 page 464'!G106</f>
        <v>571.42857142857133</v>
      </c>
    </row>
    <row r="3670" spans="1:5" x14ac:dyDescent="0.35">
      <c r="A3670">
        <v>376</v>
      </c>
      <c r="B3670">
        <v>464</v>
      </c>
      <c r="C3670">
        <f>'0376 page 464'!E107</f>
        <v>4000000</v>
      </c>
      <c r="D3670">
        <f>'0376 page 464'!F107</f>
        <v>330</v>
      </c>
      <c r="E3670">
        <f>'0376 page 464'!G107</f>
        <v>555.55555555555554</v>
      </c>
    </row>
    <row r="3671" spans="1:5" x14ac:dyDescent="0.35">
      <c r="A3671">
        <v>376</v>
      </c>
      <c r="B3671">
        <v>464</v>
      </c>
      <c r="C3671">
        <f>'0376 page 464'!E108</f>
        <v>4000000</v>
      </c>
      <c r="D3671">
        <f>'0376 page 464'!F108</f>
        <v>340</v>
      </c>
      <c r="E3671">
        <f>'0376 page 464'!G108</f>
        <v>534.75935828876993</v>
      </c>
    </row>
    <row r="3672" spans="1:5" x14ac:dyDescent="0.35">
      <c r="A3672">
        <v>376</v>
      </c>
      <c r="B3672">
        <v>464</v>
      </c>
      <c r="C3672">
        <f>'0376 page 464'!E109</f>
        <v>4000000</v>
      </c>
      <c r="D3672">
        <f>'0376 page 464'!F109</f>
        <v>350</v>
      </c>
      <c r="E3672">
        <f>'0376 page 464'!G109</f>
        <v>512.82051282051293</v>
      </c>
    </row>
    <row r="3673" spans="1:5" x14ac:dyDescent="0.35">
      <c r="A3673">
        <v>376</v>
      </c>
      <c r="B3673">
        <v>464</v>
      </c>
      <c r="C3673">
        <f>'0376 page 464'!E110</f>
        <v>4000000</v>
      </c>
      <c r="D3673">
        <f>'0376 page 464'!F110</f>
        <v>360</v>
      </c>
      <c r="E3673">
        <f>'0376 page 464'!G110</f>
        <v>30.590394616090553</v>
      </c>
    </row>
    <row r="3674" spans="1:5" x14ac:dyDescent="0.35">
      <c r="A3674">
        <v>376</v>
      </c>
      <c r="B3674">
        <v>464</v>
      </c>
      <c r="C3674">
        <f>'0376 page 464'!E111</f>
        <v>4000000</v>
      </c>
      <c r="D3674">
        <f>'0376 page 464'!F111</f>
        <v>380</v>
      </c>
      <c r="E3674">
        <f>'0376 page 464'!G111</f>
        <v>26.737967914438503</v>
      </c>
    </row>
    <row r="3675" spans="1:5" x14ac:dyDescent="0.35">
      <c r="A3675">
        <v>376</v>
      </c>
      <c r="B3675">
        <v>464</v>
      </c>
      <c r="C3675">
        <f>'0376 page 464'!E112</f>
        <v>4000000</v>
      </c>
      <c r="D3675">
        <f>'0376 page 464'!F112</f>
        <v>400</v>
      </c>
      <c r="E3675">
        <f>'0376 page 464'!G112</f>
        <v>24.201355275895452</v>
      </c>
    </row>
    <row r="3676" spans="1:5" x14ac:dyDescent="0.35">
      <c r="A3676">
        <v>376</v>
      </c>
      <c r="B3676">
        <v>464</v>
      </c>
      <c r="C3676">
        <f>'0376 page 464'!E113</f>
        <v>4000000</v>
      </c>
      <c r="D3676">
        <f>'0376 page 464'!F113</f>
        <v>420</v>
      </c>
      <c r="E3676">
        <f>'0376 page 464'!G113</f>
        <v>22.301516503122212</v>
      </c>
    </row>
    <row r="3677" spans="1:5" x14ac:dyDescent="0.35">
      <c r="A3677">
        <v>376</v>
      </c>
      <c r="B3677">
        <v>464</v>
      </c>
      <c r="C3677">
        <f>'0376 page 464'!E114</f>
        <v>4000000</v>
      </c>
      <c r="D3677">
        <f>'0376 page 464'!F114</f>
        <v>440</v>
      </c>
      <c r="E3677">
        <f>'0376 page 464'!G114</f>
        <v>20.77706212341575</v>
      </c>
    </row>
    <row r="3678" spans="1:5" x14ac:dyDescent="0.35">
      <c r="A3678">
        <v>376</v>
      </c>
      <c r="B3678">
        <v>464</v>
      </c>
      <c r="C3678">
        <f>'0376 page 464'!E115</f>
        <v>4000000</v>
      </c>
      <c r="D3678">
        <f>'0376 page 464'!F115</f>
        <v>460</v>
      </c>
      <c r="E3678">
        <f>'0376 page 464'!G115</f>
        <v>19.504583577140625</v>
      </c>
    </row>
    <row r="3679" spans="1:5" x14ac:dyDescent="0.35">
      <c r="A3679">
        <v>376</v>
      </c>
      <c r="B3679">
        <v>464</v>
      </c>
      <c r="C3679">
        <f>'0376 page 464'!E116</f>
        <v>4000000</v>
      </c>
      <c r="D3679">
        <f>'0376 page 464'!F116</f>
        <v>480</v>
      </c>
      <c r="E3679">
        <f>'0376 page 464'!G116</f>
        <v>18.419598452753732</v>
      </c>
    </row>
    <row r="3680" spans="1:5" x14ac:dyDescent="0.35">
      <c r="A3680">
        <v>376</v>
      </c>
      <c r="B3680">
        <v>464</v>
      </c>
      <c r="C3680">
        <f>'0376 page 464'!E117</f>
        <v>4000000</v>
      </c>
      <c r="D3680">
        <f>'0376 page 464'!F117</f>
        <v>500</v>
      </c>
      <c r="E3680">
        <f>'0376 page 464'!G117</f>
        <v>17.48251748251748</v>
      </c>
    </row>
    <row r="3681" spans="1:5" x14ac:dyDescent="0.35">
      <c r="A3681">
        <v>376</v>
      </c>
      <c r="B3681">
        <v>464</v>
      </c>
      <c r="C3681">
        <f>'0376 page 464'!E118</f>
        <v>4000000</v>
      </c>
      <c r="D3681">
        <f>'0376 page 464'!F118</f>
        <v>520</v>
      </c>
      <c r="E3681">
        <f>'0376 page 464'!G118</f>
        <v>16.650016650016649</v>
      </c>
    </row>
    <row r="3682" spans="1:5" x14ac:dyDescent="0.35">
      <c r="A3682">
        <v>376</v>
      </c>
      <c r="B3682">
        <v>464</v>
      </c>
      <c r="C3682">
        <f>'0376 page 464'!E119</f>
        <v>4000000</v>
      </c>
      <c r="D3682">
        <f>'0376 page 464'!F119</f>
        <v>540</v>
      </c>
      <c r="E3682">
        <f>'0376 page 464'!G119</f>
        <v>15.903307888040713</v>
      </c>
    </row>
    <row r="3683" spans="1:5" x14ac:dyDescent="0.35">
      <c r="A3683">
        <v>376</v>
      </c>
      <c r="B3683">
        <v>464</v>
      </c>
      <c r="C3683">
        <f>'0376 page 464'!E120</f>
        <v>4000000</v>
      </c>
      <c r="D3683">
        <f>'0376 page 464'!F120</f>
        <v>560</v>
      </c>
      <c r="E3683">
        <f>'0376 page 464'!G120</f>
        <v>15.234613040828764</v>
      </c>
    </row>
    <row r="3684" spans="1:5" x14ac:dyDescent="0.35">
      <c r="A3684">
        <v>376</v>
      </c>
      <c r="B3684">
        <v>464</v>
      </c>
      <c r="C3684">
        <f>'0376 page 464'!E121</f>
        <v>4000000</v>
      </c>
      <c r="D3684">
        <f>'0376 page 464'!F121</f>
        <v>580</v>
      </c>
      <c r="E3684">
        <f>'0376 page 464'!G121</f>
        <v>14.645577035735208</v>
      </c>
    </row>
    <row r="3685" spans="1:5" x14ac:dyDescent="0.35">
      <c r="A3685">
        <v>376</v>
      </c>
      <c r="B3685">
        <v>464</v>
      </c>
      <c r="C3685">
        <f>'0376 page 464'!E122</f>
        <v>5000000</v>
      </c>
      <c r="D3685">
        <f>'0376 page 464'!F122</f>
        <v>310</v>
      </c>
      <c r="E3685">
        <f>'0376 page 464'!G122</f>
        <v>591.71597633136093</v>
      </c>
    </row>
    <row r="3686" spans="1:5" x14ac:dyDescent="0.35">
      <c r="A3686">
        <v>376</v>
      </c>
      <c r="B3686">
        <v>464</v>
      </c>
      <c r="C3686">
        <f>'0376 page 464'!E123</f>
        <v>5000000</v>
      </c>
      <c r="D3686">
        <f>'0376 page 464'!F123</f>
        <v>320</v>
      </c>
      <c r="E3686">
        <f>'0376 page 464'!G123</f>
        <v>574.71264367816093</v>
      </c>
    </row>
    <row r="3687" spans="1:5" x14ac:dyDescent="0.35">
      <c r="A3687">
        <v>376</v>
      </c>
      <c r="B3687">
        <v>464</v>
      </c>
      <c r="C3687">
        <f>'0376 page 464'!E124</f>
        <v>5000000</v>
      </c>
      <c r="D3687">
        <f>'0376 page 464'!F124</f>
        <v>330</v>
      </c>
      <c r="E3687">
        <f>'0376 page 464'!G124</f>
        <v>555.55555555555554</v>
      </c>
    </row>
    <row r="3688" spans="1:5" x14ac:dyDescent="0.35">
      <c r="A3688">
        <v>376</v>
      </c>
      <c r="B3688">
        <v>464</v>
      </c>
      <c r="C3688">
        <f>'0376 page 464'!E125</f>
        <v>5000000</v>
      </c>
      <c r="D3688">
        <f>'0376 page 464'!F125</f>
        <v>340</v>
      </c>
      <c r="E3688">
        <f>'0376 page 464'!G125</f>
        <v>537.63440860215053</v>
      </c>
    </row>
    <row r="3689" spans="1:5" x14ac:dyDescent="0.35">
      <c r="A3689">
        <v>376</v>
      </c>
      <c r="B3689">
        <v>464</v>
      </c>
      <c r="C3689">
        <f>'0376 page 464'!E126</f>
        <v>5000000</v>
      </c>
      <c r="D3689">
        <f>'0376 page 464'!F126</f>
        <v>350</v>
      </c>
      <c r="E3689">
        <f>'0376 page 464'!G126</f>
        <v>515.46391752577335</v>
      </c>
    </row>
    <row r="3690" spans="1:5" x14ac:dyDescent="0.35">
      <c r="A3690">
        <v>376</v>
      </c>
      <c r="B3690">
        <v>464</v>
      </c>
      <c r="C3690">
        <f>'0376 page 464'!E127</f>
        <v>5000000</v>
      </c>
      <c r="D3690">
        <f>'0376 page 464'!F127</f>
        <v>360</v>
      </c>
      <c r="E3690">
        <f>'0376 page 464'!G127</f>
        <v>490.19607843137254</v>
      </c>
    </row>
    <row r="3691" spans="1:5" x14ac:dyDescent="0.35">
      <c r="A3691">
        <v>376</v>
      </c>
      <c r="B3691">
        <v>464</v>
      </c>
      <c r="C3691">
        <f>'0376 page 464'!E128</f>
        <v>5000000</v>
      </c>
      <c r="D3691">
        <f>'0376 page 464'!F128</f>
        <v>380</v>
      </c>
      <c r="E3691">
        <f>'0376 page 464'!G128</f>
        <v>36.245016310257341</v>
      </c>
    </row>
    <row r="3692" spans="1:5" x14ac:dyDescent="0.35">
      <c r="A3692">
        <v>376</v>
      </c>
      <c r="B3692">
        <v>464</v>
      </c>
      <c r="C3692">
        <f>'0376 page 464'!E129</f>
        <v>5000000</v>
      </c>
      <c r="D3692">
        <f>'0376 page 464'!F129</f>
        <v>400</v>
      </c>
      <c r="E3692">
        <f>'0376 page 464'!G129</f>
        <v>31.928480204342275</v>
      </c>
    </row>
    <row r="3693" spans="1:5" x14ac:dyDescent="0.35">
      <c r="A3693">
        <v>376</v>
      </c>
      <c r="B3693">
        <v>464</v>
      </c>
      <c r="C3693">
        <f>'0376 page 464'!E130</f>
        <v>5000000</v>
      </c>
      <c r="D3693">
        <f>'0376 page 464'!F130</f>
        <v>420</v>
      </c>
      <c r="E3693">
        <f>'0376 page 464'!G130</f>
        <v>29.019152640742888</v>
      </c>
    </row>
    <row r="3694" spans="1:5" x14ac:dyDescent="0.35">
      <c r="A3694">
        <v>376</v>
      </c>
      <c r="B3694">
        <v>464</v>
      </c>
      <c r="C3694">
        <f>'0376 page 464'!E131</f>
        <v>5000000</v>
      </c>
      <c r="D3694">
        <f>'0376 page 464'!F131</f>
        <v>440</v>
      </c>
      <c r="E3694">
        <f>'0376 page 464'!G131</f>
        <v>26.788106080900082</v>
      </c>
    </row>
    <row r="3695" spans="1:5" x14ac:dyDescent="0.35">
      <c r="A3695">
        <v>376</v>
      </c>
      <c r="B3695">
        <v>464</v>
      </c>
      <c r="C3695">
        <f>'0376 page 464'!E132</f>
        <v>5000000</v>
      </c>
      <c r="D3695">
        <f>'0376 page 464'!F132</f>
        <v>460</v>
      </c>
      <c r="E3695">
        <f>'0376 page 464'!G132</f>
        <v>24.987506246876563</v>
      </c>
    </row>
    <row r="3696" spans="1:5" x14ac:dyDescent="0.35">
      <c r="A3696">
        <v>376</v>
      </c>
      <c r="B3696">
        <v>464</v>
      </c>
      <c r="C3696">
        <f>'0376 page 464'!E133</f>
        <v>5000000</v>
      </c>
      <c r="D3696">
        <f>'0376 page 464'!F133</f>
        <v>480</v>
      </c>
      <c r="E3696">
        <f>'0376 page 464'!G133</f>
        <v>23.490721165139767</v>
      </c>
    </row>
    <row r="3697" spans="1:5" x14ac:dyDescent="0.35">
      <c r="A3697">
        <v>376</v>
      </c>
      <c r="B3697">
        <v>464</v>
      </c>
      <c r="C3697">
        <f>'0376 page 464'!E134</f>
        <v>5000000</v>
      </c>
      <c r="D3697">
        <f>'0376 page 464'!F134</f>
        <v>500</v>
      </c>
      <c r="E3697">
        <f>'0376 page 464'!G134</f>
        <v>22.212350066637047</v>
      </c>
    </row>
    <row r="3698" spans="1:5" x14ac:dyDescent="0.35">
      <c r="A3698">
        <v>376</v>
      </c>
      <c r="B3698">
        <v>464</v>
      </c>
      <c r="C3698">
        <f>'0376 page 464'!E135</f>
        <v>5000000</v>
      </c>
      <c r="D3698">
        <f>'0376 page 464'!F135</f>
        <v>520</v>
      </c>
      <c r="E3698">
        <f>'0376 page 464'!G135</f>
        <v>21.09704641350211</v>
      </c>
    </row>
    <row r="3699" spans="1:5" x14ac:dyDescent="0.35">
      <c r="A3699">
        <v>376</v>
      </c>
      <c r="B3699">
        <v>464</v>
      </c>
      <c r="C3699">
        <f>'0376 page 464'!E136</f>
        <v>5000000</v>
      </c>
      <c r="D3699">
        <f>'0376 page 464'!F136</f>
        <v>540</v>
      </c>
      <c r="E3699">
        <f>'0376 page 464'!G136</f>
        <v>20.11263073209976</v>
      </c>
    </row>
    <row r="3700" spans="1:5" x14ac:dyDescent="0.35">
      <c r="A3700">
        <v>376</v>
      </c>
      <c r="B3700">
        <v>464</v>
      </c>
      <c r="C3700">
        <f>'0376 page 464'!E137</f>
        <v>5000000</v>
      </c>
      <c r="D3700">
        <f>'0376 page 464'!F137</f>
        <v>560</v>
      </c>
      <c r="E3700">
        <f>'0376 page 464'!G137</f>
        <v>19.234468166955185</v>
      </c>
    </row>
    <row r="3701" spans="1:5" x14ac:dyDescent="0.35">
      <c r="A3701">
        <v>376</v>
      </c>
      <c r="B3701">
        <v>464</v>
      </c>
      <c r="C3701">
        <f>'0376 page 464'!E138</f>
        <v>5000000</v>
      </c>
      <c r="D3701">
        <f>'0376 page 464'!F138</f>
        <v>580</v>
      </c>
      <c r="E3701">
        <f>'0376 page 464'!G138</f>
        <v>18.450184501845019</v>
      </c>
    </row>
    <row r="3702" spans="1:5" x14ac:dyDescent="0.35">
      <c r="A3702">
        <v>376</v>
      </c>
      <c r="B3702">
        <v>464</v>
      </c>
      <c r="C3702">
        <f>'0376 page 464'!E139</f>
        <v>6000000</v>
      </c>
      <c r="D3702">
        <f>'0376 page 464'!F139</f>
        <v>310</v>
      </c>
      <c r="E3702">
        <f>'0376 page 464'!G139</f>
        <v>591.71597633136093</v>
      </c>
    </row>
    <row r="3703" spans="1:5" x14ac:dyDescent="0.35">
      <c r="A3703">
        <v>376</v>
      </c>
      <c r="B3703">
        <v>464</v>
      </c>
      <c r="C3703">
        <f>'0376 page 464'!E140</f>
        <v>6000000</v>
      </c>
      <c r="D3703">
        <f>'0376 page 464'!F140</f>
        <v>320</v>
      </c>
      <c r="E3703">
        <f>'0376 page 464'!G140</f>
        <v>574.71264367816093</v>
      </c>
    </row>
    <row r="3704" spans="1:5" x14ac:dyDescent="0.35">
      <c r="A3704">
        <v>376</v>
      </c>
      <c r="B3704">
        <v>464</v>
      </c>
      <c r="C3704">
        <f>'0376 page 464'!E141</f>
        <v>6000000</v>
      </c>
      <c r="D3704">
        <f>'0376 page 464'!F141</f>
        <v>330</v>
      </c>
      <c r="E3704">
        <f>'0376 page 464'!G141</f>
        <v>558.65921787709487</v>
      </c>
    </row>
    <row r="3705" spans="1:5" x14ac:dyDescent="0.35">
      <c r="A3705">
        <v>376</v>
      </c>
      <c r="B3705">
        <v>464</v>
      </c>
      <c r="C3705">
        <f>'0376 page 464'!E142</f>
        <v>6000000</v>
      </c>
      <c r="D3705">
        <f>'0376 page 464'!F142</f>
        <v>340</v>
      </c>
      <c r="E3705">
        <f>'0376 page 464'!G142</f>
        <v>540.54054054054041</v>
      </c>
    </row>
    <row r="3706" spans="1:5" x14ac:dyDescent="0.35">
      <c r="A3706">
        <v>376</v>
      </c>
      <c r="B3706">
        <v>464</v>
      </c>
      <c r="C3706">
        <f>'0376 page 464'!E143</f>
        <v>6000000</v>
      </c>
      <c r="D3706">
        <f>'0376 page 464'!F143</f>
        <v>350</v>
      </c>
      <c r="E3706">
        <f>'0376 page 464'!G143</f>
        <v>518.13471502590687</v>
      </c>
    </row>
    <row r="3707" spans="1:5" x14ac:dyDescent="0.35">
      <c r="A3707">
        <v>376</v>
      </c>
      <c r="B3707">
        <v>464</v>
      </c>
      <c r="C3707">
        <f>'0376 page 464'!E144</f>
        <v>6000000</v>
      </c>
      <c r="D3707">
        <f>'0376 page 464'!F144</f>
        <v>360</v>
      </c>
      <c r="E3707">
        <f>'0376 page 464'!G144</f>
        <v>492.61083743842374</v>
      </c>
    </row>
    <row r="3708" spans="1:5" x14ac:dyDescent="0.35">
      <c r="A3708">
        <v>376</v>
      </c>
      <c r="B3708">
        <v>464</v>
      </c>
      <c r="C3708">
        <f>'0376 page 464'!E145</f>
        <v>6000000</v>
      </c>
      <c r="D3708">
        <f>'0376 page 464'!F145</f>
        <v>370</v>
      </c>
      <c r="E3708">
        <f>'0376 page 464'!G145</f>
        <v>467.28971962616822</v>
      </c>
    </row>
    <row r="3709" spans="1:5" x14ac:dyDescent="0.35">
      <c r="A3709">
        <v>376</v>
      </c>
      <c r="B3709">
        <v>464</v>
      </c>
      <c r="C3709">
        <f>'0376 page 464'!E146</f>
        <v>6000000</v>
      </c>
      <c r="D3709">
        <f>'0376 page 464'!F146</f>
        <v>380</v>
      </c>
      <c r="E3709">
        <f>'0376 page 464'!G146</f>
        <v>47.460844803037489</v>
      </c>
    </row>
    <row r="3710" spans="1:5" x14ac:dyDescent="0.35">
      <c r="A3710">
        <v>376</v>
      </c>
      <c r="B3710">
        <v>464</v>
      </c>
      <c r="C3710">
        <f>'0376 page 464'!E147</f>
        <v>6000000</v>
      </c>
      <c r="D3710">
        <f>'0376 page 464'!F147</f>
        <v>400</v>
      </c>
      <c r="E3710">
        <f>'0376 page 464'!G147</f>
        <v>40.666937779585197</v>
      </c>
    </row>
    <row r="3711" spans="1:5" x14ac:dyDescent="0.35">
      <c r="A3711">
        <v>376</v>
      </c>
      <c r="B3711">
        <v>464</v>
      </c>
      <c r="C3711">
        <f>'0376 page 464'!E148</f>
        <v>6000000</v>
      </c>
      <c r="D3711">
        <f>'0376 page 464'!F148</f>
        <v>420</v>
      </c>
      <c r="E3711">
        <f>'0376 page 464'!G148</f>
        <v>36.205648081100648</v>
      </c>
    </row>
    <row r="3712" spans="1:5" x14ac:dyDescent="0.35">
      <c r="A3712">
        <v>376</v>
      </c>
      <c r="B3712">
        <v>464</v>
      </c>
      <c r="C3712">
        <f>'0376 page 464'!E149</f>
        <v>6000000</v>
      </c>
      <c r="D3712">
        <f>'0376 page 464'!F149</f>
        <v>440</v>
      </c>
      <c r="E3712">
        <f>'0376 page 464'!G149</f>
        <v>33.068783068783077</v>
      </c>
    </row>
    <row r="3713" spans="1:5" x14ac:dyDescent="0.35">
      <c r="A3713">
        <v>376</v>
      </c>
      <c r="B3713">
        <v>464</v>
      </c>
      <c r="C3713">
        <f>'0376 page 464'!E150</f>
        <v>6000000</v>
      </c>
      <c r="D3713">
        <f>'0376 page 464'!F150</f>
        <v>460</v>
      </c>
      <c r="E3713">
        <f>'0376 page 464'!G150</f>
        <v>30.637254901960784</v>
      </c>
    </row>
    <row r="3714" spans="1:5" x14ac:dyDescent="0.35">
      <c r="A3714">
        <v>376</v>
      </c>
      <c r="B3714">
        <v>464</v>
      </c>
      <c r="C3714">
        <f>'0376 page 464'!E151</f>
        <v>6000000</v>
      </c>
      <c r="D3714">
        <f>'0376 page 464'!F151</f>
        <v>480</v>
      </c>
      <c r="E3714">
        <f>'0376 page 464'!G151</f>
        <v>28.68617326448652</v>
      </c>
    </row>
    <row r="3715" spans="1:5" x14ac:dyDescent="0.35">
      <c r="A3715">
        <v>376</v>
      </c>
      <c r="B3715">
        <v>464</v>
      </c>
      <c r="C3715">
        <f>'0376 page 464'!E152</f>
        <v>6000000</v>
      </c>
      <c r="D3715">
        <f>'0376 page 464'!F152</f>
        <v>500</v>
      </c>
      <c r="E3715">
        <f>'0376 page 464'!G152</f>
        <v>26.997840172786177</v>
      </c>
    </row>
    <row r="3716" spans="1:5" x14ac:dyDescent="0.35">
      <c r="A3716">
        <v>376</v>
      </c>
      <c r="B3716">
        <v>464</v>
      </c>
      <c r="C3716">
        <f>'0376 page 464'!E153</f>
        <v>6000000</v>
      </c>
      <c r="D3716">
        <f>'0376 page 464'!F153</f>
        <v>520</v>
      </c>
      <c r="E3716">
        <f>'0376 page 464'!G153</f>
        <v>25.601638504864312</v>
      </c>
    </row>
    <row r="3717" spans="1:5" x14ac:dyDescent="0.35">
      <c r="A3717">
        <v>376</v>
      </c>
      <c r="B3717">
        <v>464</v>
      </c>
      <c r="C3717">
        <f>'0376 page 464'!E154</f>
        <v>6000000</v>
      </c>
      <c r="D3717">
        <f>'0376 page 464'!F154</f>
        <v>540</v>
      </c>
      <c r="E3717">
        <f>'0376 page 464'!G154</f>
        <v>24.354603019970774</v>
      </c>
    </row>
    <row r="3718" spans="1:5" x14ac:dyDescent="0.35">
      <c r="A3718">
        <v>376</v>
      </c>
      <c r="B3718">
        <v>464</v>
      </c>
      <c r="C3718">
        <f>'0376 page 464'!E155</f>
        <v>6000000</v>
      </c>
      <c r="D3718">
        <f>'0376 page 464'!F155</f>
        <v>560</v>
      </c>
      <c r="E3718">
        <f>'0376 page 464'!G155</f>
        <v>23.239600278875205</v>
      </c>
    </row>
    <row r="3719" spans="1:5" x14ac:dyDescent="0.35">
      <c r="A3719">
        <v>376</v>
      </c>
      <c r="B3719">
        <v>464</v>
      </c>
      <c r="C3719">
        <f>'0376 page 464'!E156</f>
        <v>6000000</v>
      </c>
      <c r="D3719">
        <f>'0376 page 464'!F156</f>
        <v>580</v>
      </c>
      <c r="E3719">
        <f>'0376 page 464'!G156</f>
        <v>22.251891410769918</v>
      </c>
    </row>
    <row r="3720" spans="1:5" x14ac:dyDescent="0.35">
      <c r="A3720">
        <v>376</v>
      </c>
      <c r="B3720">
        <v>464</v>
      </c>
      <c r="C3720">
        <f>'0376 page 464'!E157</f>
        <v>7000000</v>
      </c>
      <c r="D3720">
        <f>'0376 page 464'!F157</f>
        <v>310</v>
      </c>
      <c r="E3720">
        <f>'0376 page 464'!G157</f>
        <v>595.2380952380953</v>
      </c>
    </row>
    <row r="3721" spans="1:5" x14ac:dyDescent="0.35">
      <c r="A3721">
        <v>376</v>
      </c>
      <c r="B3721">
        <v>464</v>
      </c>
      <c r="C3721">
        <f>'0376 page 464'!E158</f>
        <v>7000000</v>
      </c>
      <c r="D3721">
        <f>'0376 page 464'!F158</f>
        <v>320</v>
      </c>
      <c r="E3721">
        <f>'0376 page 464'!G158</f>
        <v>578.03468208092488</v>
      </c>
    </row>
    <row r="3722" spans="1:5" x14ac:dyDescent="0.35">
      <c r="A3722">
        <v>376</v>
      </c>
      <c r="B3722">
        <v>464</v>
      </c>
      <c r="C3722">
        <f>'0376 page 464'!E159</f>
        <v>7000000</v>
      </c>
      <c r="D3722">
        <f>'0376 page 464'!F159</f>
        <v>330</v>
      </c>
      <c r="E3722">
        <f>'0376 page 464'!G159</f>
        <v>561.79775280898878</v>
      </c>
    </row>
    <row r="3723" spans="1:5" x14ac:dyDescent="0.35">
      <c r="A3723">
        <v>376</v>
      </c>
      <c r="B3723">
        <v>464</v>
      </c>
      <c r="C3723">
        <f>'0376 page 464'!E160</f>
        <v>7000000</v>
      </c>
      <c r="D3723">
        <f>'0376 page 464'!F160</f>
        <v>340</v>
      </c>
      <c r="E3723">
        <f>'0376 page 464'!G160</f>
        <v>543.47826086956525</v>
      </c>
    </row>
    <row r="3724" spans="1:5" x14ac:dyDescent="0.35">
      <c r="A3724">
        <v>376</v>
      </c>
      <c r="B3724">
        <v>464</v>
      </c>
      <c r="C3724">
        <f>'0376 page 464'!E161</f>
        <v>7000000</v>
      </c>
      <c r="D3724">
        <f>'0376 page 464'!F161</f>
        <v>350</v>
      </c>
      <c r="E3724">
        <f>'0376 page 464'!G161</f>
        <v>523.56020942408384</v>
      </c>
    </row>
    <row r="3725" spans="1:5" x14ac:dyDescent="0.35">
      <c r="A3725">
        <v>376</v>
      </c>
      <c r="B3725">
        <v>464</v>
      </c>
      <c r="C3725">
        <f>'0376 page 464'!E162</f>
        <v>7000000</v>
      </c>
      <c r="D3725">
        <f>'0376 page 464'!F162</f>
        <v>360</v>
      </c>
      <c r="E3725">
        <f>'0376 page 464'!G162</f>
        <v>497.51243781094536</v>
      </c>
    </row>
    <row r="3726" spans="1:5" x14ac:dyDescent="0.35">
      <c r="A3726">
        <v>376</v>
      </c>
      <c r="B3726">
        <v>464</v>
      </c>
      <c r="C3726">
        <f>'0376 page 464'!E163</f>
        <v>7000000</v>
      </c>
      <c r="D3726">
        <f>'0376 page 464'!F163</f>
        <v>370</v>
      </c>
      <c r="E3726">
        <f>'0376 page 464'!G163</f>
        <v>471.69811320754712</v>
      </c>
    </row>
    <row r="3727" spans="1:5" x14ac:dyDescent="0.35">
      <c r="A3727">
        <v>376</v>
      </c>
      <c r="B3727">
        <v>464</v>
      </c>
      <c r="C3727">
        <f>'0376 page 464'!E164</f>
        <v>7000000</v>
      </c>
      <c r="D3727">
        <f>'0376 page 464'!F164</f>
        <v>380</v>
      </c>
      <c r="E3727">
        <f>'0376 page 464'!G164</f>
        <v>64.977257959714095</v>
      </c>
    </row>
    <row r="3728" spans="1:5" x14ac:dyDescent="0.35">
      <c r="A3728">
        <v>376</v>
      </c>
      <c r="B3728">
        <v>464</v>
      </c>
      <c r="C3728">
        <f>'0376 page 464'!E165</f>
        <v>7000000</v>
      </c>
      <c r="D3728">
        <f>'0376 page 464'!F165</f>
        <v>400</v>
      </c>
      <c r="E3728">
        <f>'0376 page 464'!G165</f>
        <v>50.942435048395318</v>
      </c>
    </row>
    <row r="3729" spans="1:5" x14ac:dyDescent="0.35">
      <c r="A3729">
        <v>376</v>
      </c>
      <c r="B3729">
        <v>464</v>
      </c>
      <c r="C3729">
        <f>'0376 page 464'!E166</f>
        <v>7000000</v>
      </c>
      <c r="D3729">
        <f>'0376 page 464'!F166</f>
        <v>420</v>
      </c>
      <c r="E3729">
        <f>'0376 page 464'!G166</f>
        <v>44.464206313917302</v>
      </c>
    </row>
    <row r="3730" spans="1:5" x14ac:dyDescent="0.35">
      <c r="A3730">
        <v>376</v>
      </c>
      <c r="B3730">
        <v>464</v>
      </c>
      <c r="C3730">
        <f>'0376 page 464'!E167</f>
        <v>7000000</v>
      </c>
      <c r="D3730">
        <f>'0376 page 464'!F167</f>
        <v>440</v>
      </c>
      <c r="E3730">
        <f>'0376 page 464'!G167</f>
        <v>40.016006402561025</v>
      </c>
    </row>
    <row r="3731" spans="1:5" x14ac:dyDescent="0.35">
      <c r="A3731">
        <v>376</v>
      </c>
      <c r="B3731">
        <v>464</v>
      </c>
      <c r="C3731">
        <f>'0376 page 464'!E168</f>
        <v>7000000</v>
      </c>
      <c r="D3731">
        <f>'0376 page 464'!F168</f>
        <v>460</v>
      </c>
      <c r="E3731">
        <f>'0376 page 464'!G168</f>
        <v>36.710719530102793</v>
      </c>
    </row>
    <row r="3732" spans="1:5" x14ac:dyDescent="0.35">
      <c r="A3732">
        <v>376</v>
      </c>
      <c r="B3732">
        <v>464</v>
      </c>
      <c r="C3732">
        <f>'0376 page 464'!E169</f>
        <v>7000000</v>
      </c>
      <c r="D3732">
        <f>'0376 page 464'!F169</f>
        <v>480</v>
      </c>
      <c r="E3732">
        <f>'0376 page 464'!G169</f>
        <v>34.153005464480877</v>
      </c>
    </row>
    <row r="3733" spans="1:5" x14ac:dyDescent="0.35">
      <c r="A3733">
        <v>376</v>
      </c>
      <c r="B3733">
        <v>464</v>
      </c>
      <c r="C3733">
        <f>'0376 page 464'!E170</f>
        <v>7000000</v>
      </c>
      <c r="D3733">
        <f>'0376 page 464'!F170</f>
        <v>500</v>
      </c>
      <c r="E3733">
        <f>'0376 page 464'!G170</f>
        <v>32.071840923669022</v>
      </c>
    </row>
    <row r="3734" spans="1:5" x14ac:dyDescent="0.35">
      <c r="A3734">
        <v>376</v>
      </c>
      <c r="B3734">
        <v>464</v>
      </c>
      <c r="C3734">
        <f>'0376 page 464'!E171</f>
        <v>7000000</v>
      </c>
      <c r="D3734">
        <f>'0376 page 464'!F171</f>
        <v>520</v>
      </c>
      <c r="E3734">
        <f>'0376 page 464'!G171</f>
        <v>30.321406913280779</v>
      </c>
    </row>
    <row r="3735" spans="1:5" x14ac:dyDescent="0.35">
      <c r="A3735">
        <v>376</v>
      </c>
      <c r="B3735">
        <v>464</v>
      </c>
      <c r="C3735">
        <f>'0376 page 464'!E172</f>
        <v>7000000</v>
      </c>
      <c r="D3735">
        <f>'0376 page 464'!F172</f>
        <v>540</v>
      </c>
      <c r="E3735">
        <f>'0376 page 464'!G172</f>
        <v>28.826751225136928</v>
      </c>
    </row>
    <row r="3736" spans="1:5" x14ac:dyDescent="0.35">
      <c r="A3736">
        <v>376</v>
      </c>
      <c r="B3736">
        <v>464</v>
      </c>
      <c r="C3736">
        <f>'0376 page 464'!E173</f>
        <v>7000000</v>
      </c>
      <c r="D3736">
        <f>'0376 page 464'!F173</f>
        <v>560</v>
      </c>
      <c r="E3736">
        <f>'0376 page 464'!G173</f>
        <v>27.4423710208562</v>
      </c>
    </row>
    <row r="3737" spans="1:5" x14ac:dyDescent="0.35">
      <c r="A3737">
        <v>376</v>
      </c>
      <c r="B3737">
        <v>464</v>
      </c>
      <c r="C3737">
        <f>'0376 page 464'!E174</f>
        <v>7000000</v>
      </c>
      <c r="D3737">
        <f>'0376 page 464'!F174</f>
        <v>580</v>
      </c>
      <c r="E3737">
        <f>'0376 page 464'!G174</f>
        <v>26.246719160104988</v>
      </c>
    </row>
    <row r="3738" spans="1:5" x14ac:dyDescent="0.35">
      <c r="A3738">
        <v>376</v>
      </c>
      <c r="B3738">
        <v>464</v>
      </c>
      <c r="C3738">
        <f>'0376 page 464'!E175</f>
        <v>8000000</v>
      </c>
      <c r="D3738">
        <f>'0376 page 464'!F175</f>
        <v>310</v>
      </c>
      <c r="E3738">
        <f>'0376 page 464'!G175</f>
        <v>595.2380952380953</v>
      </c>
    </row>
    <row r="3739" spans="1:5" x14ac:dyDescent="0.35">
      <c r="A3739">
        <v>376</v>
      </c>
      <c r="B3739">
        <v>464</v>
      </c>
      <c r="C3739">
        <f>'0376 page 464'!E176</f>
        <v>8000000</v>
      </c>
      <c r="D3739">
        <f>'0376 page 464'!F176</f>
        <v>320</v>
      </c>
      <c r="E3739">
        <f>'0376 page 464'!G176</f>
        <v>578.03468208092488</v>
      </c>
    </row>
    <row r="3740" spans="1:5" x14ac:dyDescent="0.35">
      <c r="A3740">
        <v>376</v>
      </c>
      <c r="B3740">
        <v>464</v>
      </c>
      <c r="C3740">
        <f>'0376 page 464'!E177</f>
        <v>8000000</v>
      </c>
      <c r="D3740">
        <f>'0376 page 464'!F177</f>
        <v>330</v>
      </c>
      <c r="E3740">
        <f>'0376 page 464'!G177</f>
        <v>561.79775280898878</v>
      </c>
    </row>
    <row r="3741" spans="1:5" x14ac:dyDescent="0.35">
      <c r="A3741">
        <v>376</v>
      </c>
      <c r="B3741">
        <v>464</v>
      </c>
      <c r="C3741">
        <f>'0376 page 464'!E178</f>
        <v>8000000</v>
      </c>
      <c r="D3741">
        <f>'0376 page 464'!F178</f>
        <v>340</v>
      </c>
      <c r="E3741">
        <f>'0376 page 464'!G178</f>
        <v>543.47826086956525</v>
      </c>
    </row>
    <row r="3742" spans="1:5" x14ac:dyDescent="0.35">
      <c r="A3742">
        <v>376</v>
      </c>
      <c r="B3742">
        <v>464</v>
      </c>
      <c r="C3742">
        <f>'0376 page 464'!E179</f>
        <v>8000000</v>
      </c>
      <c r="D3742">
        <f>'0376 page 464'!F179</f>
        <v>350</v>
      </c>
      <c r="E3742">
        <f>'0376 page 464'!G179</f>
        <v>523.56020942408384</v>
      </c>
    </row>
    <row r="3743" spans="1:5" x14ac:dyDescent="0.35">
      <c r="A3743">
        <v>376</v>
      </c>
      <c r="B3743">
        <v>464</v>
      </c>
      <c r="C3743">
        <f>'0376 page 464'!E180</f>
        <v>8000000</v>
      </c>
      <c r="D3743">
        <f>'0376 page 464'!F180</f>
        <v>360</v>
      </c>
      <c r="E3743">
        <f>'0376 page 464'!G180</f>
        <v>500</v>
      </c>
    </row>
    <row r="3744" spans="1:5" x14ac:dyDescent="0.35">
      <c r="A3744">
        <v>376</v>
      </c>
      <c r="B3744">
        <v>464</v>
      </c>
      <c r="C3744">
        <f>'0376 page 464'!E181</f>
        <v>8000000</v>
      </c>
      <c r="D3744">
        <f>'0376 page 464'!F181</f>
        <v>370</v>
      </c>
      <c r="E3744">
        <f>'0376 page 464'!G181</f>
        <v>473.93364928909955</v>
      </c>
    </row>
    <row r="3745" spans="1:5" x14ac:dyDescent="0.35">
      <c r="A3745">
        <v>376</v>
      </c>
      <c r="B3745">
        <v>464</v>
      </c>
      <c r="C3745">
        <f>'0376 page 464'!E182</f>
        <v>8000000</v>
      </c>
      <c r="D3745">
        <f>'0376 page 464'!F182</f>
        <v>380</v>
      </c>
      <c r="E3745">
        <f>'0376 page 464'!G182</f>
        <v>442.47787610619474</v>
      </c>
    </row>
    <row r="3746" spans="1:5" x14ac:dyDescent="0.35">
      <c r="A3746">
        <v>376</v>
      </c>
      <c r="B3746">
        <v>464</v>
      </c>
      <c r="C3746">
        <f>'0376 page 464'!E183</f>
        <v>8000000</v>
      </c>
      <c r="D3746">
        <f>'0376 page 464'!F183</f>
        <v>400</v>
      </c>
      <c r="E3746">
        <f>'0376 page 464'!G183</f>
        <v>63.532401524777647</v>
      </c>
    </row>
    <row r="3747" spans="1:5" x14ac:dyDescent="0.35">
      <c r="A3747">
        <v>376</v>
      </c>
      <c r="B3747">
        <v>464</v>
      </c>
      <c r="C3747">
        <f>'0376 page 464'!E184</f>
        <v>8000000</v>
      </c>
      <c r="D3747">
        <f>'0376 page 464'!F184</f>
        <v>420</v>
      </c>
      <c r="E3747">
        <f>'0376 page 464'!G184</f>
        <v>53.792361484669179</v>
      </c>
    </row>
    <row r="3748" spans="1:5" x14ac:dyDescent="0.35">
      <c r="A3748">
        <v>376</v>
      </c>
      <c r="B3748">
        <v>464</v>
      </c>
      <c r="C3748">
        <f>'0376 page 464'!E185</f>
        <v>8000000</v>
      </c>
      <c r="D3748">
        <f>'0376 page 464'!F185</f>
        <v>440</v>
      </c>
      <c r="E3748">
        <f>'0376 page 464'!G185</f>
        <v>47.61904761904762</v>
      </c>
    </row>
    <row r="3749" spans="1:5" x14ac:dyDescent="0.35">
      <c r="A3749">
        <v>376</v>
      </c>
      <c r="B3749">
        <v>464</v>
      </c>
      <c r="C3749">
        <f>'0376 page 464'!E186</f>
        <v>8000000</v>
      </c>
      <c r="D3749">
        <f>'0376 page 464'!F186</f>
        <v>460</v>
      </c>
      <c r="E3749">
        <f>'0376 page 464'!G186</f>
        <v>43.290043290043293</v>
      </c>
    </row>
    <row r="3750" spans="1:5" x14ac:dyDescent="0.35">
      <c r="A3750">
        <v>376</v>
      </c>
      <c r="B3750">
        <v>464</v>
      </c>
      <c r="C3750">
        <f>'0376 page 464'!E187</f>
        <v>8000000</v>
      </c>
      <c r="D3750">
        <f>'0376 page 464'!F187</f>
        <v>480</v>
      </c>
      <c r="E3750">
        <f>'0376 page 464'!G187</f>
        <v>40.016006402561025</v>
      </c>
    </row>
    <row r="3751" spans="1:5" x14ac:dyDescent="0.35">
      <c r="A3751">
        <v>376</v>
      </c>
      <c r="B3751">
        <v>464</v>
      </c>
      <c r="C3751">
        <f>'0376 page 464'!E188</f>
        <v>8000000</v>
      </c>
      <c r="D3751">
        <f>'0376 page 464'!F188</f>
        <v>500</v>
      </c>
      <c r="E3751">
        <f>'0376 page 464'!G188</f>
        <v>37.369207772795214</v>
      </c>
    </row>
    <row r="3752" spans="1:5" x14ac:dyDescent="0.35">
      <c r="A3752">
        <v>376</v>
      </c>
      <c r="B3752">
        <v>464</v>
      </c>
      <c r="C3752">
        <f>'0376 page 464'!E189</f>
        <v>8000000</v>
      </c>
      <c r="D3752">
        <f>'0376 page 464'!F189</f>
        <v>520</v>
      </c>
      <c r="E3752">
        <f>'0376 page 464'!G189</f>
        <v>35.174111853675697</v>
      </c>
    </row>
    <row r="3753" spans="1:5" x14ac:dyDescent="0.35">
      <c r="A3753">
        <v>376</v>
      </c>
      <c r="B3753">
        <v>464</v>
      </c>
      <c r="C3753">
        <f>'0376 page 464'!E190</f>
        <v>8000000</v>
      </c>
      <c r="D3753">
        <f>'0376 page 464'!F190</f>
        <v>540</v>
      </c>
      <c r="E3753">
        <f>'0376 page 464'!G190</f>
        <v>33.277870216306155</v>
      </c>
    </row>
    <row r="3754" spans="1:5" x14ac:dyDescent="0.35">
      <c r="A3754">
        <v>376</v>
      </c>
      <c r="B3754">
        <v>464</v>
      </c>
      <c r="C3754">
        <f>'0376 page 464'!E191</f>
        <v>8000000</v>
      </c>
      <c r="D3754">
        <f>'0376 page 464'!F191</f>
        <v>560</v>
      </c>
      <c r="E3754">
        <f>'0376 page 464'!G191</f>
        <v>31.65558721114277</v>
      </c>
    </row>
    <row r="3755" spans="1:5" x14ac:dyDescent="0.35">
      <c r="A3755">
        <v>376</v>
      </c>
      <c r="B3755">
        <v>464</v>
      </c>
      <c r="C3755">
        <f>'0376 page 464'!E192</f>
        <v>8000000</v>
      </c>
      <c r="D3755">
        <f>'0376 page 464'!F192</f>
        <v>580</v>
      </c>
      <c r="E3755">
        <f>'0376 page 464'!G192</f>
        <v>30.229746070133011</v>
      </c>
    </row>
    <row r="3756" spans="1:5" x14ac:dyDescent="0.35">
      <c r="A3756">
        <v>376</v>
      </c>
      <c r="B3756">
        <v>464</v>
      </c>
      <c r="C3756">
        <f>'0376 page 464'!E193</f>
        <v>9000000</v>
      </c>
      <c r="D3756">
        <f>'0376 page 464'!F193</f>
        <v>310</v>
      </c>
      <c r="E3756">
        <f>'0376 page 464'!G193</f>
        <v>595.2380952380953</v>
      </c>
    </row>
    <row r="3757" spans="1:5" x14ac:dyDescent="0.35">
      <c r="A3757">
        <v>376</v>
      </c>
      <c r="B3757">
        <v>464</v>
      </c>
      <c r="C3757">
        <f>'0376 page 464'!E194</f>
        <v>9000000</v>
      </c>
      <c r="D3757">
        <f>'0376 page 464'!F194</f>
        <v>320</v>
      </c>
      <c r="E3757">
        <f>'0376 page 464'!G194</f>
        <v>578.03468208092488</v>
      </c>
    </row>
    <row r="3758" spans="1:5" x14ac:dyDescent="0.35">
      <c r="A3758">
        <v>376</v>
      </c>
      <c r="B3758">
        <v>464</v>
      </c>
      <c r="C3758">
        <f>'0376 page 464'!E195</f>
        <v>9000000</v>
      </c>
      <c r="D3758">
        <f>'0376 page 464'!F195</f>
        <v>330</v>
      </c>
      <c r="E3758">
        <f>'0376 page 464'!G195</f>
        <v>564.9717514124294</v>
      </c>
    </row>
    <row r="3759" spans="1:5" x14ac:dyDescent="0.35">
      <c r="A3759">
        <v>376</v>
      </c>
      <c r="B3759">
        <v>464</v>
      </c>
      <c r="C3759">
        <f>'0376 page 464'!E196</f>
        <v>9000000</v>
      </c>
      <c r="D3759">
        <f>'0376 page 464'!F196</f>
        <v>340</v>
      </c>
      <c r="E3759">
        <f>'0376 page 464'!G196</f>
        <v>531.06744556558681</v>
      </c>
    </row>
    <row r="3760" spans="1:5" x14ac:dyDescent="0.35">
      <c r="A3760">
        <v>376</v>
      </c>
      <c r="B3760">
        <v>464</v>
      </c>
      <c r="C3760">
        <f>'0376 page 464'!E197</f>
        <v>9000000</v>
      </c>
      <c r="D3760">
        <f>'0376 page 464'!F197</f>
        <v>350</v>
      </c>
      <c r="E3760">
        <f>'0376 page 464'!G197</f>
        <v>526.31578947368416</v>
      </c>
    </row>
    <row r="3761" spans="1:5" x14ac:dyDescent="0.35">
      <c r="A3761">
        <v>376</v>
      </c>
      <c r="B3761">
        <v>464</v>
      </c>
      <c r="C3761">
        <f>'0376 page 464'!E198</f>
        <v>9000000</v>
      </c>
      <c r="D3761">
        <f>'0376 page 464'!F198</f>
        <v>360</v>
      </c>
      <c r="E3761">
        <f>'0376 page 464'!G198</f>
        <v>505.05050505050502</v>
      </c>
    </row>
    <row r="3762" spans="1:5" x14ac:dyDescent="0.35">
      <c r="A3762">
        <v>376</v>
      </c>
      <c r="B3762">
        <v>464</v>
      </c>
      <c r="C3762">
        <f>'0376 page 464'!E199</f>
        <v>9000000</v>
      </c>
      <c r="D3762">
        <f>'0376 page 464'!F199</f>
        <v>370</v>
      </c>
      <c r="E3762">
        <f>'0376 page 464'!G199</f>
        <v>476.1904761904762</v>
      </c>
    </row>
    <row r="3763" spans="1:5" x14ac:dyDescent="0.35">
      <c r="A3763">
        <v>376</v>
      </c>
      <c r="B3763">
        <v>464</v>
      </c>
      <c r="C3763">
        <f>'0376 page 464'!E200</f>
        <v>9000000</v>
      </c>
      <c r="D3763">
        <f>'0376 page 464'!F200</f>
        <v>380</v>
      </c>
      <c r="E3763">
        <f>'0376 page 464'!G200</f>
        <v>446.42857142857139</v>
      </c>
    </row>
    <row r="3764" spans="1:5" x14ac:dyDescent="0.35">
      <c r="A3764">
        <v>376</v>
      </c>
      <c r="B3764">
        <v>464</v>
      </c>
      <c r="C3764">
        <f>'0376 page 464'!E201</f>
        <v>9000000</v>
      </c>
      <c r="D3764">
        <f>'0376 page 464'!F201</f>
        <v>390</v>
      </c>
      <c r="E3764">
        <f>'0376 page 464'!G201</f>
        <v>404.85829959514166</v>
      </c>
    </row>
    <row r="3765" spans="1:5" x14ac:dyDescent="0.35">
      <c r="A3765">
        <v>376</v>
      </c>
      <c r="B3765">
        <v>464</v>
      </c>
      <c r="C3765">
        <f>'0376 page 464'!E202</f>
        <v>9000000</v>
      </c>
      <c r="D3765">
        <f>'0376 page 464'!F202</f>
        <v>400</v>
      </c>
      <c r="E3765">
        <f>'0376 page 464'!G202</f>
        <v>79.051383399209485</v>
      </c>
    </row>
    <row r="3766" spans="1:5" x14ac:dyDescent="0.35">
      <c r="A3766">
        <v>376</v>
      </c>
      <c r="B3766">
        <v>464</v>
      </c>
      <c r="C3766">
        <f>'0376 page 464'!E203</f>
        <v>9000000</v>
      </c>
      <c r="D3766">
        <f>'0376 page 464'!F203</f>
        <v>420</v>
      </c>
      <c r="E3766">
        <f>'0376 page 464'!G203</f>
        <v>63.331222292590255</v>
      </c>
    </row>
    <row r="3767" spans="1:5" x14ac:dyDescent="0.35">
      <c r="A3767">
        <v>376</v>
      </c>
      <c r="B3767">
        <v>464</v>
      </c>
      <c r="C3767">
        <f>'0376 page 464'!E204</f>
        <v>9000000</v>
      </c>
      <c r="D3767">
        <f>'0376 page 464'!F204</f>
        <v>440</v>
      </c>
      <c r="E3767">
        <f>'0376 page 464'!G204</f>
        <v>55.710306406685241</v>
      </c>
    </row>
    <row r="3768" spans="1:5" x14ac:dyDescent="0.35">
      <c r="A3768">
        <v>376</v>
      </c>
      <c r="B3768">
        <v>464</v>
      </c>
      <c r="C3768">
        <f>'0376 page 464'!E205</f>
        <v>9000000</v>
      </c>
      <c r="D3768">
        <f>'0376 page 464'!F205</f>
        <v>460</v>
      </c>
      <c r="E3768">
        <f>'0376 page 464'!G205</f>
        <v>50.175614651279488</v>
      </c>
    </row>
    <row r="3769" spans="1:5" x14ac:dyDescent="0.35">
      <c r="A3769">
        <v>376</v>
      </c>
      <c r="B3769">
        <v>464</v>
      </c>
      <c r="C3769">
        <f>'0376 page 464'!E206</f>
        <v>9000000</v>
      </c>
      <c r="D3769">
        <f>'0376 page 464'!F206</f>
        <v>480</v>
      </c>
      <c r="E3769">
        <f>'0376 page 464'!G206</f>
        <v>46.082949308755758</v>
      </c>
    </row>
    <row r="3770" spans="1:5" x14ac:dyDescent="0.35">
      <c r="A3770">
        <v>376</v>
      </c>
      <c r="B3770">
        <v>464</v>
      </c>
      <c r="C3770">
        <f>'0376 page 464'!E207</f>
        <v>9000000</v>
      </c>
      <c r="D3770">
        <f>'0376 page 464'!F207</f>
        <v>500</v>
      </c>
      <c r="E3770">
        <f>'0376 page 464'!G207</f>
        <v>42.826552462526763</v>
      </c>
    </row>
    <row r="3771" spans="1:5" x14ac:dyDescent="0.35">
      <c r="A3771">
        <v>376</v>
      </c>
      <c r="B3771">
        <v>464</v>
      </c>
      <c r="C3771">
        <f>'0376 page 464'!E208</f>
        <v>9000000</v>
      </c>
      <c r="D3771">
        <f>'0376 page 464'!F208</f>
        <v>520</v>
      </c>
      <c r="E3771">
        <f>'0376 page 464'!G208</f>
        <v>40.160642570281126</v>
      </c>
    </row>
    <row r="3772" spans="1:5" x14ac:dyDescent="0.35">
      <c r="A3772">
        <v>376</v>
      </c>
      <c r="B3772">
        <v>464</v>
      </c>
      <c r="C3772">
        <f>'0376 page 464'!E209</f>
        <v>9000000</v>
      </c>
      <c r="D3772">
        <f>'0376 page 464'!F209</f>
        <v>540</v>
      </c>
      <c r="E3772">
        <f>'0376 page 464'!G209</f>
        <v>37.921880925293898</v>
      </c>
    </row>
    <row r="3773" spans="1:5" x14ac:dyDescent="0.35">
      <c r="A3773">
        <v>376</v>
      </c>
      <c r="B3773">
        <v>464</v>
      </c>
      <c r="C3773">
        <f>'0376 page 464'!E210</f>
        <v>9000000</v>
      </c>
      <c r="D3773">
        <f>'0376 page 464'!F210</f>
        <v>560</v>
      </c>
      <c r="E3773">
        <f>'0376 page 464'!G210</f>
        <v>35.997120230381569</v>
      </c>
    </row>
    <row r="3774" spans="1:5" x14ac:dyDescent="0.35">
      <c r="A3774">
        <v>376</v>
      </c>
      <c r="B3774">
        <v>464</v>
      </c>
      <c r="C3774">
        <f>'0376 page 464'!E211</f>
        <v>9000000</v>
      </c>
      <c r="D3774">
        <f>'0376 page 464'!F211</f>
        <v>580</v>
      </c>
      <c r="E3774">
        <f>'0376 page 464'!G211</f>
        <v>34.305317324185253</v>
      </c>
    </row>
    <row r="3775" spans="1:5" x14ac:dyDescent="0.35">
      <c r="A3775">
        <v>376</v>
      </c>
      <c r="B3775">
        <v>464</v>
      </c>
      <c r="C3775">
        <f>'0376 page 464'!E212</f>
        <v>10000000</v>
      </c>
      <c r="D3775">
        <f>'0376 page 464'!F212</f>
        <v>310</v>
      </c>
      <c r="E3775">
        <f>'0376 page 464'!G212</f>
        <v>595.2380952380953</v>
      </c>
    </row>
    <row r="3776" spans="1:5" x14ac:dyDescent="0.35">
      <c r="A3776">
        <v>376</v>
      </c>
      <c r="B3776">
        <v>464</v>
      </c>
      <c r="C3776">
        <f>'0376 page 464'!E213</f>
        <v>10000000</v>
      </c>
      <c r="D3776">
        <f>'0376 page 464'!F213</f>
        <v>320</v>
      </c>
      <c r="E3776">
        <f>'0376 page 464'!G213</f>
        <v>581.39534883720933</v>
      </c>
    </row>
    <row r="3777" spans="1:5" x14ac:dyDescent="0.35">
      <c r="A3777">
        <v>376</v>
      </c>
      <c r="B3777">
        <v>464</v>
      </c>
      <c r="C3777">
        <f>'0376 page 464'!E214</f>
        <v>10000000</v>
      </c>
      <c r="D3777">
        <f>'0376 page 464'!F214</f>
        <v>330</v>
      </c>
      <c r="E3777">
        <f>'0376 page 464'!G214</f>
        <v>564.9717514124294</v>
      </c>
    </row>
    <row r="3778" spans="1:5" x14ac:dyDescent="0.35">
      <c r="A3778">
        <v>376</v>
      </c>
      <c r="B3778">
        <v>464</v>
      </c>
      <c r="C3778">
        <f>'0376 page 464'!E215</f>
        <v>10000000</v>
      </c>
      <c r="D3778">
        <f>'0376 page 464'!F215</f>
        <v>340</v>
      </c>
      <c r="E3778">
        <f>'0376 page 464'!G215</f>
        <v>546.44808743169403</v>
      </c>
    </row>
    <row r="3779" spans="1:5" x14ac:dyDescent="0.35">
      <c r="A3779">
        <v>376</v>
      </c>
      <c r="B3779">
        <v>464</v>
      </c>
      <c r="C3779">
        <f>'0376 page 464'!E216</f>
        <v>10000000</v>
      </c>
      <c r="D3779">
        <f>'0376 page 464'!F216</f>
        <v>350</v>
      </c>
      <c r="E3779">
        <f>'0376 page 464'!G216</f>
        <v>529.10052910052923</v>
      </c>
    </row>
    <row r="3780" spans="1:5" x14ac:dyDescent="0.35">
      <c r="A3780">
        <v>376</v>
      </c>
      <c r="B3780">
        <v>464</v>
      </c>
      <c r="C3780">
        <f>'0376 page 464'!E217</f>
        <v>10000000</v>
      </c>
      <c r="D3780">
        <f>'0376 page 464'!F217</f>
        <v>360</v>
      </c>
      <c r="E3780">
        <f>'0376 page 464'!G217</f>
        <v>507.61421319796955</v>
      </c>
    </row>
    <row r="3781" spans="1:5" x14ac:dyDescent="0.35">
      <c r="A3781">
        <v>376</v>
      </c>
      <c r="B3781">
        <v>464</v>
      </c>
      <c r="C3781">
        <f>'0376 page 464'!E218</f>
        <v>10000000</v>
      </c>
      <c r="D3781">
        <f>'0376 page 464'!F218</f>
        <v>370</v>
      </c>
      <c r="E3781">
        <f>'0376 page 464'!G218</f>
        <v>480.76923076923072</v>
      </c>
    </row>
    <row r="3782" spans="1:5" x14ac:dyDescent="0.35">
      <c r="A3782">
        <v>376</v>
      </c>
      <c r="B3782">
        <v>464</v>
      </c>
      <c r="C3782">
        <f>'0376 page 464'!E219</f>
        <v>10000000</v>
      </c>
      <c r="D3782">
        <f>'0376 page 464'!F219</f>
        <v>380</v>
      </c>
      <c r="E3782">
        <f>'0376 page 464'!G219</f>
        <v>450.45045045045038</v>
      </c>
    </row>
    <row r="3783" spans="1:5" x14ac:dyDescent="0.35">
      <c r="A3783">
        <v>376</v>
      </c>
      <c r="B3783">
        <v>464</v>
      </c>
      <c r="C3783">
        <f>'0376 page 464'!E220</f>
        <v>10000000</v>
      </c>
      <c r="D3783">
        <f>'0376 page 464'!F220</f>
        <v>390</v>
      </c>
      <c r="E3783">
        <f>'0376 page 464'!G220</f>
        <v>413.22314049586782</v>
      </c>
    </row>
    <row r="3784" spans="1:5" x14ac:dyDescent="0.35">
      <c r="A3784">
        <v>376</v>
      </c>
      <c r="B3784">
        <v>464</v>
      </c>
      <c r="C3784">
        <f>'0376 page 464'!E221</f>
        <v>10000000</v>
      </c>
      <c r="D3784">
        <f>'0376 page 464'!F221</f>
        <v>400</v>
      </c>
      <c r="E3784">
        <f>'0376 page 464'!G221</f>
        <v>115.60693641618496</v>
      </c>
    </row>
    <row r="3785" spans="1:5" x14ac:dyDescent="0.35">
      <c r="A3785">
        <v>376</v>
      </c>
      <c r="B3785">
        <v>464</v>
      </c>
      <c r="C3785">
        <f>'0376 page 464'!E222</f>
        <v>10000000</v>
      </c>
      <c r="D3785">
        <f>'0376 page 464'!F222</f>
        <v>420</v>
      </c>
      <c r="E3785">
        <f>'0376 page 464'!G222</f>
        <v>75.244544770504135</v>
      </c>
    </row>
    <row r="3786" spans="1:5" x14ac:dyDescent="0.35">
      <c r="A3786">
        <v>376</v>
      </c>
      <c r="B3786">
        <v>464</v>
      </c>
      <c r="C3786">
        <f>'0376 page 464'!E223</f>
        <v>10000000</v>
      </c>
      <c r="D3786">
        <f>'0376 page 464'!F223</f>
        <v>440</v>
      </c>
      <c r="E3786">
        <f>'0376 page 464'!G223</f>
        <v>64.599483204134359</v>
      </c>
    </row>
    <row r="3787" spans="1:5" x14ac:dyDescent="0.35">
      <c r="A3787">
        <v>376</v>
      </c>
      <c r="B3787">
        <v>464</v>
      </c>
      <c r="C3787">
        <f>'0376 page 464'!E224</f>
        <v>10000000</v>
      </c>
      <c r="D3787">
        <f>'0376 page 464'!F224</f>
        <v>460</v>
      </c>
      <c r="E3787">
        <f>'0376 page 464'!G224</f>
        <v>57.471264367816097</v>
      </c>
    </row>
    <row r="3788" spans="1:5" x14ac:dyDescent="0.35">
      <c r="A3788">
        <v>376</v>
      </c>
      <c r="B3788">
        <v>464</v>
      </c>
      <c r="C3788">
        <f>'0376 page 464'!E225</f>
        <v>10000000</v>
      </c>
      <c r="D3788">
        <f>'0376 page 464'!F225</f>
        <v>480</v>
      </c>
      <c r="E3788">
        <f>'0376 page 464'!G225</f>
        <v>52.356020942408371</v>
      </c>
    </row>
    <row r="3789" spans="1:5" x14ac:dyDescent="0.35">
      <c r="A3789">
        <v>376</v>
      </c>
      <c r="B3789">
        <v>464</v>
      </c>
      <c r="C3789">
        <f>'0376 page 464'!E226</f>
        <v>10000000</v>
      </c>
      <c r="D3789">
        <f>'0376 page 464'!F226</f>
        <v>500</v>
      </c>
      <c r="E3789">
        <f>'0376 page 464'!G226</f>
        <v>48.402710551790904</v>
      </c>
    </row>
    <row r="3790" spans="1:5" x14ac:dyDescent="0.35">
      <c r="A3790">
        <v>376</v>
      </c>
      <c r="B3790">
        <v>464</v>
      </c>
      <c r="C3790">
        <f>'0376 page 464'!E227</f>
        <v>10000000</v>
      </c>
      <c r="D3790">
        <f>'0376 page 464'!F227</f>
        <v>520</v>
      </c>
      <c r="E3790">
        <f>'0376 page 464'!G227</f>
        <v>45.248868778280546</v>
      </c>
    </row>
    <row r="3791" spans="1:5" x14ac:dyDescent="0.35">
      <c r="A3791">
        <v>376</v>
      </c>
      <c r="B3791">
        <v>464</v>
      </c>
      <c r="C3791">
        <f>'0376 page 464'!E228</f>
        <v>10000000</v>
      </c>
      <c r="D3791">
        <f>'0376 page 464'!F228</f>
        <v>540</v>
      </c>
      <c r="E3791">
        <f>'0376 page 464'!G228</f>
        <v>42.607584149978699</v>
      </c>
    </row>
    <row r="3792" spans="1:5" x14ac:dyDescent="0.35">
      <c r="A3792">
        <v>376</v>
      </c>
      <c r="B3792">
        <v>464</v>
      </c>
      <c r="C3792">
        <f>'0376 page 464'!E229</f>
        <v>10000000</v>
      </c>
      <c r="D3792">
        <f>'0376 page 464'!F229</f>
        <v>560</v>
      </c>
      <c r="E3792">
        <f>'0376 page 464'!G229</f>
        <v>40.355125100887811</v>
      </c>
    </row>
    <row r="3793" spans="1:5" x14ac:dyDescent="0.35">
      <c r="A3793">
        <v>376</v>
      </c>
      <c r="B3793">
        <v>464</v>
      </c>
      <c r="C3793">
        <f>'0376 page 464'!E230</f>
        <v>10000000</v>
      </c>
      <c r="D3793">
        <f>'0376 page 464'!F230</f>
        <v>580</v>
      </c>
      <c r="E3793">
        <f>'0376 page 464'!G230</f>
        <v>38.387715930902111</v>
      </c>
    </row>
    <row r="3794" spans="1:5" x14ac:dyDescent="0.35">
      <c r="A3794">
        <v>376</v>
      </c>
      <c r="B3794">
        <v>464</v>
      </c>
      <c r="C3794">
        <f>'0376 page 464'!E231</f>
        <v>12000000</v>
      </c>
      <c r="D3794">
        <f>'0376 page 464'!F231</f>
        <v>310</v>
      </c>
      <c r="E3794">
        <f>'0376 page 464'!G231</f>
        <v>598.80239520958094</v>
      </c>
    </row>
    <row r="3795" spans="1:5" x14ac:dyDescent="0.35">
      <c r="A3795">
        <v>376</v>
      </c>
      <c r="B3795">
        <v>464</v>
      </c>
      <c r="C3795">
        <f>'0376 page 464'!E232</f>
        <v>12000000</v>
      </c>
      <c r="D3795">
        <f>'0376 page 464'!F232</f>
        <v>320</v>
      </c>
      <c r="E3795">
        <f>'0376 page 464'!G232</f>
        <v>584.79532163742692</v>
      </c>
    </row>
    <row r="3796" spans="1:5" x14ac:dyDescent="0.35">
      <c r="A3796">
        <v>376</v>
      </c>
      <c r="B3796">
        <v>464</v>
      </c>
      <c r="C3796">
        <f>'0376 page 464'!E233</f>
        <v>12000000</v>
      </c>
      <c r="D3796">
        <f>'0376 page 464'!F233</f>
        <v>330</v>
      </c>
      <c r="E3796">
        <f>'0376 page 464'!G233</f>
        <v>568.18181818181824</v>
      </c>
    </row>
    <row r="3797" spans="1:5" x14ac:dyDescent="0.35">
      <c r="A3797">
        <v>376</v>
      </c>
      <c r="B3797">
        <v>464</v>
      </c>
      <c r="C3797">
        <f>'0376 page 464'!E234</f>
        <v>12000000</v>
      </c>
      <c r="D3797">
        <f>'0376 page 464'!F234</f>
        <v>340</v>
      </c>
      <c r="E3797">
        <f>'0376 page 464'!G234</f>
        <v>552.4861878453039</v>
      </c>
    </row>
    <row r="3798" spans="1:5" x14ac:dyDescent="0.35">
      <c r="A3798">
        <v>376</v>
      </c>
      <c r="B3798">
        <v>464</v>
      </c>
      <c r="C3798">
        <f>'0376 page 464'!E235</f>
        <v>12000000</v>
      </c>
      <c r="D3798">
        <f>'0376 page 464'!F235</f>
        <v>350</v>
      </c>
      <c r="E3798">
        <f>'0376 page 464'!G235</f>
        <v>531.91489361702133</v>
      </c>
    </row>
    <row r="3799" spans="1:5" x14ac:dyDescent="0.35">
      <c r="A3799">
        <v>376</v>
      </c>
      <c r="B3799">
        <v>464</v>
      </c>
      <c r="C3799">
        <f>'0376 page 464'!E236</f>
        <v>12000000</v>
      </c>
      <c r="D3799">
        <f>'0376 page 464'!F236</f>
        <v>360</v>
      </c>
      <c r="E3799">
        <f>'0376 page 464'!G236</f>
        <v>510.20408163265313</v>
      </c>
    </row>
    <row r="3800" spans="1:5" x14ac:dyDescent="0.35">
      <c r="A3800">
        <v>376</v>
      </c>
      <c r="B3800">
        <v>464</v>
      </c>
      <c r="C3800">
        <f>'0376 page 464'!E237</f>
        <v>12000000</v>
      </c>
      <c r="D3800">
        <f>'0376 page 464'!F237</f>
        <v>370</v>
      </c>
      <c r="E3800">
        <f>'0376 page 464'!G237</f>
        <v>487.80487804878055</v>
      </c>
    </row>
    <row r="3801" spans="1:5" x14ac:dyDescent="0.35">
      <c r="A3801">
        <v>376</v>
      </c>
      <c r="B3801">
        <v>464</v>
      </c>
      <c r="C3801">
        <f>'0376 page 464'!E238</f>
        <v>12000000</v>
      </c>
      <c r="D3801">
        <f>'0376 page 464'!F238</f>
        <v>380</v>
      </c>
      <c r="E3801">
        <f>'0376 page 464'!G238</f>
        <v>458.71559633027522</v>
      </c>
    </row>
    <row r="3802" spans="1:5" x14ac:dyDescent="0.35">
      <c r="A3802">
        <v>376</v>
      </c>
      <c r="B3802">
        <v>464</v>
      </c>
      <c r="C3802">
        <f>'0376 page 464'!E239</f>
        <v>12000000</v>
      </c>
      <c r="D3802">
        <f>'0376 page 464'!F239</f>
        <v>390</v>
      </c>
      <c r="E3802">
        <f>'0376 page 464'!G239</f>
        <v>427.35042735042742</v>
      </c>
    </row>
    <row r="3803" spans="1:5" x14ac:dyDescent="0.35">
      <c r="A3803">
        <v>376</v>
      </c>
      <c r="B3803">
        <v>464</v>
      </c>
      <c r="C3803">
        <f>'0376 page 464'!E240</f>
        <v>12000000</v>
      </c>
      <c r="D3803">
        <f>'0376 page 464'!F240</f>
        <v>400</v>
      </c>
      <c r="E3803">
        <f>'0376 page 464'!G240</f>
        <v>375.93984962406012</v>
      </c>
    </row>
    <row r="3804" spans="1:5" x14ac:dyDescent="0.35">
      <c r="A3804">
        <v>376</v>
      </c>
      <c r="B3804">
        <v>464</v>
      </c>
      <c r="C3804">
        <f>'0376 page 464'!E241</f>
        <v>12000000</v>
      </c>
      <c r="D3804">
        <f>'0376 page 464'!F241</f>
        <v>420</v>
      </c>
      <c r="E3804">
        <f>'0376 page 464'!G241</f>
        <v>107.64262648008614</v>
      </c>
    </row>
    <row r="3805" spans="1:5" x14ac:dyDescent="0.35">
      <c r="A3805">
        <v>376</v>
      </c>
      <c r="B3805">
        <v>464</v>
      </c>
      <c r="C3805">
        <f>'0376 page 464'!E242</f>
        <v>12000000</v>
      </c>
      <c r="D3805">
        <f>'0376 page 464'!F242</f>
        <v>440</v>
      </c>
      <c r="E3805">
        <f>'0376 page 464'!G242</f>
        <v>84.961767204757848</v>
      </c>
    </row>
    <row r="3806" spans="1:5" x14ac:dyDescent="0.35">
      <c r="A3806">
        <v>376</v>
      </c>
      <c r="B3806">
        <v>464</v>
      </c>
      <c r="C3806">
        <f>'0376 page 464'!E243</f>
        <v>12000000</v>
      </c>
      <c r="D3806">
        <f>'0376 page 464'!F243</f>
        <v>460</v>
      </c>
      <c r="E3806">
        <f>'0376 page 464'!G243</f>
        <v>73.152889539136794</v>
      </c>
    </row>
    <row r="3807" spans="1:5" x14ac:dyDescent="0.35">
      <c r="A3807">
        <v>376</v>
      </c>
      <c r="B3807">
        <v>464</v>
      </c>
      <c r="C3807">
        <f>'0376 page 464'!E244</f>
        <v>12000000</v>
      </c>
      <c r="D3807">
        <f>'0376 page 464'!F244</f>
        <v>480</v>
      </c>
      <c r="E3807">
        <f>'0376 page 464'!G244</f>
        <v>65.919578114700059</v>
      </c>
    </row>
    <row r="3808" spans="1:5" x14ac:dyDescent="0.35">
      <c r="A3808">
        <v>376</v>
      </c>
      <c r="B3808">
        <v>464</v>
      </c>
      <c r="C3808">
        <f>'0376 page 464'!E245</f>
        <v>12000000</v>
      </c>
      <c r="D3808">
        <f>'0376 page 464'!F245</f>
        <v>500</v>
      </c>
      <c r="E3808">
        <f>'0376 page 464'!G245</f>
        <v>60.422960725075527</v>
      </c>
    </row>
    <row r="3809" spans="1:5" x14ac:dyDescent="0.35">
      <c r="A3809">
        <v>376</v>
      </c>
      <c r="B3809">
        <v>464</v>
      </c>
      <c r="C3809">
        <f>'0376 page 464'!E246</f>
        <v>12000000</v>
      </c>
      <c r="D3809">
        <f>'0376 page 464'!F246</f>
        <v>520</v>
      </c>
      <c r="E3809">
        <f>'0376 page 464'!G246</f>
        <v>56.053811659192824</v>
      </c>
    </row>
    <row r="3810" spans="1:5" x14ac:dyDescent="0.35">
      <c r="A3810">
        <v>376</v>
      </c>
      <c r="B3810">
        <v>464</v>
      </c>
      <c r="C3810">
        <f>'0376 page 464'!E247</f>
        <v>12000000</v>
      </c>
      <c r="D3810">
        <f>'0376 page 464'!F247</f>
        <v>540</v>
      </c>
      <c r="E3810">
        <f>'0376 page 464'!G247</f>
        <v>52.410901467505248</v>
      </c>
    </row>
    <row r="3811" spans="1:5" x14ac:dyDescent="0.35">
      <c r="A3811">
        <v>376</v>
      </c>
      <c r="B3811">
        <v>464</v>
      </c>
      <c r="C3811">
        <f>'0376 page 464'!E248</f>
        <v>12000000</v>
      </c>
      <c r="D3811">
        <f>'0376 page 464'!F248</f>
        <v>560</v>
      </c>
      <c r="E3811">
        <f>'0376 page 464'!G248</f>
        <v>49.382716049382715</v>
      </c>
    </row>
    <row r="3812" spans="1:5" x14ac:dyDescent="0.35">
      <c r="A3812">
        <v>376</v>
      </c>
      <c r="B3812">
        <v>464</v>
      </c>
      <c r="C3812">
        <f>'0376 page 464'!E249</f>
        <v>14000000</v>
      </c>
      <c r="D3812">
        <f>'0376 page 464'!F249</f>
        <v>310</v>
      </c>
      <c r="E3812">
        <f>'0376 page 464'!G249</f>
        <v>598.80239520958094</v>
      </c>
    </row>
    <row r="3813" spans="1:5" x14ac:dyDescent="0.35">
      <c r="A3813">
        <v>376</v>
      </c>
      <c r="B3813">
        <v>464</v>
      </c>
      <c r="C3813">
        <f>'0376 page 464'!E250</f>
        <v>14000000</v>
      </c>
      <c r="D3813">
        <f>'0376 page 464'!F250</f>
        <v>320</v>
      </c>
      <c r="E3813">
        <f>'0376 page 464'!G250</f>
        <v>584.79532163742692</v>
      </c>
    </row>
    <row r="3814" spans="1:5" x14ac:dyDescent="0.35">
      <c r="A3814">
        <v>376</v>
      </c>
      <c r="B3814">
        <v>464</v>
      </c>
      <c r="C3814">
        <f>'0376 page 464'!E251</f>
        <v>14000000</v>
      </c>
      <c r="D3814">
        <f>'0376 page 464'!F251</f>
        <v>330</v>
      </c>
      <c r="E3814">
        <f>'0376 page 464'!G251</f>
        <v>568.18181818181824</v>
      </c>
    </row>
    <row r="3815" spans="1:5" x14ac:dyDescent="0.35">
      <c r="A3815">
        <v>376</v>
      </c>
      <c r="B3815">
        <v>464</v>
      </c>
      <c r="C3815">
        <f>'0376 page 464'!E252</f>
        <v>14000000</v>
      </c>
      <c r="D3815">
        <f>'0376 page 464'!F252</f>
        <v>340</v>
      </c>
      <c r="E3815">
        <f>'0376 page 464'!G252</f>
        <v>552.4861878453039</v>
      </c>
    </row>
    <row r="3816" spans="1:5" x14ac:dyDescent="0.35">
      <c r="A3816">
        <v>376</v>
      </c>
      <c r="B3816">
        <v>464</v>
      </c>
      <c r="C3816">
        <f>'0376 page 464'!E253</f>
        <v>14000000</v>
      </c>
      <c r="D3816">
        <f>'0376 page 464'!F253</f>
        <v>350</v>
      </c>
      <c r="E3816">
        <f>'0376 page 464'!G253</f>
        <v>534.75935828876993</v>
      </c>
    </row>
    <row r="3817" spans="1:5" x14ac:dyDescent="0.35">
      <c r="A3817">
        <v>376</v>
      </c>
      <c r="B3817">
        <v>464</v>
      </c>
      <c r="C3817">
        <f>'0376 page 464'!E254</f>
        <v>14000000</v>
      </c>
      <c r="D3817">
        <f>'0376 page 464'!F254</f>
        <v>360</v>
      </c>
      <c r="E3817">
        <f>'0376 page 464'!G254</f>
        <v>515.46391752577335</v>
      </c>
    </row>
    <row r="3818" spans="1:5" x14ac:dyDescent="0.35">
      <c r="A3818">
        <v>376</v>
      </c>
      <c r="B3818">
        <v>464</v>
      </c>
      <c r="C3818">
        <f>'0376 page 464'!E255</f>
        <v>14000000</v>
      </c>
      <c r="D3818">
        <f>'0376 page 464'!F255</f>
        <v>370</v>
      </c>
      <c r="E3818">
        <f>'0376 page 464'!G255</f>
        <v>492.61083743842374</v>
      </c>
    </row>
    <row r="3819" spans="1:5" x14ac:dyDescent="0.35">
      <c r="A3819">
        <v>376</v>
      </c>
      <c r="B3819">
        <v>464</v>
      </c>
      <c r="C3819">
        <f>'0376 page 464'!E256</f>
        <v>14000000</v>
      </c>
      <c r="D3819">
        <f>'0376 page 464'!F256</f>
        <v>380</v>
      </c>
      <c r="E3819">
        <f>'0376 page 464'!G256</f>
        <v>467.28971962616822</v>
      </c>
    </row>
    <row r="3820" spans="1:5" x14ac:dyDescent="0.35">
      <c r="A3820">
        <v>376</v>
      </c>
      <c r="B3820">
        <v>464</v>
      </c>
      <c r="C3820">
        <f>'0376 page 464'!E257</f>
        <v>14000000</v>
      </c>
      <c r="D3820">
        <f>'0376 page 464'!F257</f>
        <v>390</v>
      </c>
      <c r="E3820">
        <f>'0376 page 464'!G257</f>
        <v>438.59649122807025</v>
      </c>
    </row>
    <row r="3821" spans="1:5" x14ac:dyDescent="0.35">
      <c r="A3821">
        <v>376</v>
      </c>
      <c r="B3821">
        <v>464</v>
      </c>
      <c r="C3821">
        <f>'0376 page 464'!E258</f>
        <v>14000000</v>
      </c>
      <c r="D3821">
        <f>'0376 page 464'!F258</f>
        <v>400</v>
      </c>
      <c r="E3821">
        <f>'0376 page 464'!G258</f>
        <v>398.4063745019921</v>
      </c>
    </row>
    <row r="3822" spans="1:5" x14ac:dyDescent="0.35">
      <c r="A3822">
        <v>376</v>
      </c>
      <c r="B3822">
        <v>464</v>
      </c>
      <c r="C3822">
        <f>'0376 page 464'!E259</f>
        <v>14000000</v>
      </c>
      <c r="D3822">
        <f>'0376 page 464'!F259</f>
        <v>420</v>
      </c>
      <c r="E3822">
        <f>'0376 page 464'!G259</f>
        <v>186.21973929236498</v>
      </c>
    </row>
    <row r="3823" spans="1:5" x14ac:dyDescent="0.35">
      <c r="A3823">
        <v>376</v>
      </c>
      <c r="B3823">
        <v>464</v>
      </c>
      <c r="C3823">
        <f>'0376 page 464'!E260</f>
        <v>14000000</v>
      </c>
      <c r="D3823">
        <f>'0376 page 464'!F260</f>
        <v>440</v>
      </c>
      <c r="E3823">
        <f>'0376 page 464'!G260</f>
        <v>113.89521640091118</v>
      </c>
    </row>
    <row r="3824" spans="1:5" x14ac:dyDescent="0.35">
      <c r="A3824">
        <v>376</v>
      </c>
      <c r="B3824">
        <v>464</v>
      </c>
      <c r="C3824">
        <f>'0376 page 464'!E261</f>
        <v>14000000</v>
      </c>
      <c r="D3824">
        <f>'0376 page 464'!F261</f>
        <v>460</v>
      </c>
      <c r="E3824">
        <f>'0376 page 464'!G261</f>
        <v>93.023255813953483</v>
      </c>
    </row>
    <row r="3825" spans="1:5" x14ac:dyDescent="0.35">
      <c r="A3825">
        <v>376</v>
      </c>
      <c r="B3825">
        <v>464</v>
      </c>
      <c r="C3825">
        <f>'0376 page 464'!E262</f>
        <v>14000000</v>
      </c>
      <c r="D3825">
        <f>'0376 page 464'!F262</f>
        <v>480</v>
      </c>
      <c r="E3825">
        <f>'0376 page 464'!G262</f>
        <v>81.632653061224488</v>
      </c>
    </row>
    <row r="3826" spans="1:5" x14ac:dyDescent="0.35">
      <c r="A3826">
        <v>376</v>
      </c>
      <c r="B3826">
        <v>464</v>
      </c>
      <c r="C3826">
        <f>'0376 page 464'!E263</f>
        <v>14000000</v>
      </c>
      <c r="D3826">
        <f>'0376 page 464'!F263</f>
        <v>500</v>
      </c>
      <c r="E3826">
        <f>'0376 page 464'!G263</f>
        <v>73.746312684365776</v>
      </c>
    </row>
    <row r="3827" spans="1:5" x14ac:dyDescent="0.35">
      <c r="A3827">
        <v>376</v>
      </c>
      <c r="B3827">
        <v>464</v>
      </c>
      <c r="C3827">
        <f>'0376 page 464'!E264</f>
        <v>14000000</v>
      </c>
      <c r="D3827">
        <f>'0376 page 464'!F264</f>
        <v>520</v>
      </c>
      <c r="E3827">
        <f>'0376 page 464'!G264</f>
        <v>67.79661016949153</v>
      </c>
    </row>
    <row r="3828" spans="1:5" x14ac:dyDescent="0.35">
      <c r="A3828">
        <v>376</v>
      </c>
      <c r="B3828">
        <v>464</v>
      </c>
      <c r="C3828">
        <f>'0376 page 464'!E265</f>
        <v>14000000</v>
      </c>
      <c r="D3828">
        <f>'0376 page 464'!F265</f>
        <v>540</v>
      </c>
      <c r="E3828">
        <f>'0376 page 464'!G265</f>
        <v>62.97229219143577</v>
      </c>
    </row>
    <row r="3829" spans="1:5" x14ac:dyDescent="0.35">
      <c r="A3829">
        <v>376</v>
      </c>
      <c r="B3829">
        <v>464</v>
      </c>
      <c r="C3829">
        <f>'0376 page 464'!E266</f>
        <v>14000000</v>
      </c>
      <c r="D3829">
        <f>'0376 page 464'!F266</f>
        <v>560</v>
      </c>
      <c r="E3829">
        <f>'0376 page 464'!G266</f>
        <v>59.031877213695388</v>
      </c>
    </row>
    <row r="3830" spans="1:5" x14ac:dyDescent="0.35">
      <c r="A3830">
        <v>376</v>
      </c>
      <c r="B3830">
        <v>464</v>
      </c>
      <c r="C3830">
        <f>'0376 page 464'!E267</f>
        <v>16000000</v>
      </c>
      <c r="D3830">
        <f>'0376 page 464'!F267</f>
        <v>310</v>
      </c>
      <c r="E3830">
        <f>'0376 page 464'!G267</f>
        <v>602.40963855421694</v>
      </c>
    </row>
    <row r="3831" spans="1:5" x14ac:dyDescent="0.35">
      <c r="A3831">
        <v>376</v>
      </c>
      <c r="B3831">
        <v>464</v>
      </c>
      <c r="C3831">
        <f>'0376 page 464'!E268</f>
        <v>16000000</v>
      </c>
      <c r="D3831">
        <f>'0376 page 464'!F268</f>
        <v>320</v>
      </c>
      <c r="E3831">
        <f>'0376 page 464'!G268</f>
        <v>588.23529411764707</v>
      </c>
    </row>
    <row r="3832" spans="1:5" x14ac:dyDescent="0.35">
      <c r="A3832">
        <v>376</v>
      </c>
      <c r="B3832">
        <v>464</v>
      </c>
      <c r="C3832">
        <f>'0376 page 464'!E269</f>
        <v>16000000</v>
      </c>
      <c r="D3832">
        <f>'0376 page 464'!F269</f>
        <v>330</v>
      </c>
      <c r="E3832">
        <f>'0376 page 464'!G269</f>
        <v>571.42857142857133</v>
      </c>
    </row>
    <row r="3833" spans="1:5" x14ac:dyDescent="0.35">
      <c r="A3833">
        <v>376</v>
      </c>
      <c r="B3833">
        <v>464</v>
      </c>
      <c r="C3833">
        <f>'0376 page 464'!E270</f>
        <v>16000000</v>
      </c>
      <c r="D3833">
        <f>'0376 page 464'!F270</f>
        <v>340</v>
      </c>
      <c r="E3833">
        <f>'0376 page 464'!G270</f>
        <v>555.55555555555554</v>
      </c>
    </row>
    <row r="3834" spans="1:5" x14ac:dyDescent="0.35">
      <c r="A3834">
        <v>376</v>
      </c>
      <c r="B3834">
        <v>464</v>
      </c>
      <c r="C3834">
        <f>'0376 page 464'!E271</f>
        <v>16000000</v>
      </c>
      <c r="D3834">
        <f>'0376 page 464'!F271</f>
        <v>350</v>
      </c>
      <c r="E3834">
        <f>'0376 page 464'!G271</f>
        <v>537.63440860215053</v>
      </c>
    </row>
    <row r="3835" spans="1:5" x14ac:dyDescent="0.35">
      <c r="A3835">
        <v>376</v>
      </c>
      <c r="B3835">
        <v>464</v>
      </c>
      <c r="C3835">
        <f>'0376 page 464'!E272</f>
        <v>16000000</v>
      </c>
      <c r="D3835">
        <f>'0376 page 464'!F272</f>
        <v>360</v>
      </c>
      <c r="E3835">
        <f>'0376 page 464'!G272</f>
        <v>518.13471502590687</v>
      </c>
    </row>
    <row r="3836" spans="1:5" x14ac:dyDescent="0.35">
      <c r="A3836">
        <v>376</v>
      </c>
      <c r="B3836">
        <v>464</v>
      </c>
      <c r="C3836">
        <f>'0376 page 464'!E273</f>
        <v>16000000</v>
      </c>
      <c r="D3836">
        <f>'0376 page 464'!F273</f>
        <v>370</v>
      </c>
      <c r="E3836">
        <f>'0376 page 464'!G273</f>
        <v>497.51243781094536</v>
      </c>
    </row>
    <row r="3837" spans="1:5" x14ac:dyDescent="0.35">
      <c r="A3837">
        <v>376</v>
      </c>
      <c r="B3837">
        <v>464</v>
      </c>
      <c r="C3837">
        <f>'0376 page 464'!E274</f>
        <v>16000000</v>
      </c>
      <c r="D3837">
        <f>'0376 page 464'!F274</f>
        <v>380</v>
      </c>
      <c r="E3837">
        <f>'0376 page 464'!G274</f>
        <v>473.93364928909955</v>
      </c>
    </row>
    <row r="3838" spans="1:5" x14ac:dyDescent="0.35">
      <c r="A3838">
        <v>376</v>
      </c>
      <c r="B3838">
        <v>464</v>
      </c>
      <c r="C3838">
        <f>'0376 page 464'!E275</f>
        <v>16000000</v>
      </c>
      <c r="D3838">
        <f>'0376 page 464'!F275</f>
        <v>390</v>
      </c>
      <c r="E3838">
        <f>'0376 page 464'!G275</f>
        <v>448.4304932735426</v>
      </c>
    </row>
    <row r="3839" spans="1:5" x14ac:dyDescent="0.35">
      <c r="A3839">
        <v>376</v>
      </c>
      <c r="B3839">
        <v>464</v>
      </c>
      <c r="C3839">
        <f>'0376 page 464'!E276</f>
        <v>16000000</v>
      </c>
      <c r="D3839">
        <f>'0376 page 464'!F276</f>
        <v>400</v>
      </c>
      <c r="E3839">
        <f>'0376 page 464'!G276</f>
        <v>416.66666666666669</v>
      </c>
    </row>
    <row r="3840" spans="1:5" x14ac:dyDescent="0.35">
      <c r="A3840">
        <v>376</v>
      </c>
      <c r="B3840">
        <v>464</v>
      </c>
      <c r="C3840">
        <f>'0376 page 464'!E277</f>
        <v>16000000</v>
      </c>
      <c r="D3840">
        <f>'0376 page 464'!F277</f>
        <v>420</v>
      </c>
      <c r="E3840">
        <f>'0376 page 464'!G277</f>
        <v>291.54518950437313</v>
      </c>
    </row>
    <row r="3841" spans="1:5" x14ac:dyDescent="0.35">
      <c r="A3841">
        <v>376</v>
      </c>
      <c r="B3841">
        <v>464</v>
      </c>
      <c r="C3841">
        <f>'0376 page 464'!E278</f>
        <v>16000000</v>
      </c>
      <c r="D3841">
        <f>'0376 page 464'!F278</f>
        <v>440</v>
      </c>
      <c r="E3841">
        <f>'0376 page 464'!G278</f>
        <v>159.48963317384371</v>
      </c>
    </row>
    <row r="3842" spans="1:5" x14ac:dyDescent="0.35">
      <c r="A3842">
        <v>376</v>
      </c>
      <c r="B3842">
        <v>464</v>
      </c>
      <c r="C3842">
        <f>'0376 page 464'!E279</f>
        <v>16000000</v>
      </c>
      <c r="D3842">
        <f>'0376 page 464'!F279</f>
        <v>460</v>
      </c>
      <c r="E3842">
        <f>'0376 page 464'!G279</f>
        <v>117.09601873536302</v>
      </c>
    </row>
    <row r="3843" spans="1:5" x14ac:dyDescent="0.35">
      <c r="A3843">
        <v>376</v>
      </c>
      <c r="B3843">
        <v>464</v>
      </c>
      <c r="C3843">
        <f>'0376 page 464'!E280</f>
        <v>16000000</v>
      </c>
      <c r="D3843">
        <f>'0376 page 464'!F280</f>
        <v>480</v>
      </c>
      <c r="E3843">
        <f>'0376 page 464'!G280</f>
        <v>99.403578528827026</v>
      </c>
    </row>
    <row r="3844" spans="1:5" x14ac:dyDescent="0.35">
      <c r="A3844">
        <v>376</v>
      </c>
      <c r="B3844">
        <v>464</v>
      </c>
      <c r="C3844">
        <f>'0376 page 464'!E281</f>
        <v>16000000</v>
      </c>
      <c r="D3844">
        <f>'0376 page 464'!F281</f>
        <v>500</v>
      </c>
      <c r="E3844">
        <f>'0376 page 464'!G281</f>
        <v>88.417329796640132</v>
      </c>
    </row>
    <row r="3845" spans="1:5" x14ac:dyDescent="0.35">
      <c r="A3845">
        <v>376</v>
      </c>
      <c r="B3845">
        <v>464</v>
      </c>
      <c r="C3845">
        <f>'0376 page 464'!E282</f>
        <v>16000000</v>
      </c>
      <c r="D3845">
        <f>'0376 page 464'!F282</f>
        <v>520</v>
      </c>
      <c r="E3845">
        <f>'0376 page 464'!G282</f>
        <v>80.385852090032159</v>
      </c>
    </row>
    <row r="3846" spans="1:5" x14ac:dyDescent="0.35">
      <c r="A3846">
        <v>376</v>
      </c>
      <c r="B3846">
        <v>464</v>
      </c>
      <c r="C3846">
        <f>'0376 page 464'!E283</f>
        <v>16000000</v>
      </c>
      <c r="D3846">
        <f>'0376 page 464'!F283</f>
        <v>540</v>
      </c>
      <c r="E3846">
        <f>'0376 page 464'!G283</f>
        <v>74.128984432913271</v>
      </c>
    </row>
    <row r="3847" spans="1:5" x14ac:dyDescent="0.35">
      <c r="A3847">
        <v>376</v>
      </c>
      <c r="B3847">
        <v>464</v>
      </c>
      <c r="C3847">
        <f>'0376 page 464'!E284</f>
        <v>16000000</v>
      </c>
      <c r="D3847">
        <f>'0376 page 464'!F284</f>
        <v>560</v>
      </c>
      <c r="E3847">
        <f>'0376 page 464'!G284</f>
        <v>69.060773480662988</v>
      </c>
    </row>
    <row r="3848" spans="1:5" x14ac:dyDescent="0.35">
      <c r="A3848">
        <v>376</v>
      </c>
      <c r="B3848">
        <v>464</v>
      </c>
      <c r="C3848">
        <f>'0376 page 464'!E285</f>
        <v>18000000</v>
      </c>
      <c r="D3848">
        <f>'0376 page 464'!F285</f>
        <v>310</v>
      </c>
      <c r="E3848">
        <f>'0376 page 464'!G285</f>
        <v>602.40963855421694</v>
      </c>
    </row>
    <row r="3849" spans="1:5" x14ac:dyDescent="0.35">
      <c r="A3849">
        <v>376</v>
      </c>
      <c r="B3849">
        <v>464</v>
      </c>
      <c r="C3849">
        <f>'0376 page 464'!E286</f>
        <v>18000000</v>
      </c>
      <c r="D3849">
        <f>'0376 page 464'!F286</f>
        <v>320</v>
      </c>
      <c r="E3849">
        <f>'0376 page 464'!G286</f>
        <v>588.23529411764707</v>
      </c>
    </row>
    <row r="3850" spans="1:5" x14ac:dyDescent="0.35">
      <c r="A3850">
        <v>376</v>
      </c>
      <c r="B3850">
        <v>464</v>
      </c>
      <c r="C3850">
        <f>'0376 page 464'!E287</f>
        <v>18000000</v>
      </c>
      <c r="D3850">
        <f>'0376 page 464'!F287</f>
        <v>330</v>
      </c>
      <c r="E3850">
        <f>'0376 page 464'!G287</f>
        <v>574.71264367816093</v>
      </c>
    </row>
    <row r="3851" spans="1:5" x14ac:dyDescent="0.35">
      <c r="A3851">
        <v>376</v>
      </c>
      <c r="B3851">
        <v>464</v>
      </c>
      <c r="C3851">
        <f>'0376 page 464'!E288</f>
        <v>18000000</v>
      </c>
      <c r="D3851">
        <f>'0376 page 464'!F288</f>
        <v>340</v>
      </c>
      <c r="E3851">
        <f>'0376 page 464'!G288</f>
        <v>558.65921787709487</v>
      </c>
    </row>
    <row r="3852" spans="1:5" x14ac:dyDescent="0.35">
      <c r="A3852">
        <v>376</v>
      </c>
      <c r="B3852">
        <v>464</v>
      </c>
      <c r="C3852">
        <f>'0376 page 464'!E289</f>
        <v>18000000</v>
      </c>
      <c r="D3852">
        <f>'0376 page 464'!F289</f>
        <v>350</v>
      </c>
      <c r="E3852">
        <f>'0376 page 464'!G289</f>
        <v>543.47826086956525</v>
      </c>
    </row>
    <row r="3853" spans="1:5" x14ac:dyDescent="0.35">
      <c r="A3853">
        <v>376</v>
      </c>
      <c r="B3853">
        <v>464</v>
      </c>
      <c r="C3853">
        <f>'0376 page 464'!E290</f>
        <v>18000000</v>
      </c>
      <c r="D3853">
        <f>'0376 page 464'!F290</f>
        <v>360</v>
      </c>
      <c r="E3853">
        <f>'0376 page 464'!G290</f>
        <v>523.56020942408384</v>
      </c>
    </row>
    <row r="3854" spans="1:5" x14ac:dyDescent="0.35">
      <c r="A3854">
        <v>376</v>
      </c>
      <c r="B3854">
        <v>464</v>
      </c>
      <c r="C3854">
        <f>'0376 page 464'!E291</f>
        <v>18000000</v>
      </c>
      <c r="D3854">
        <f>'0376 page 464'!F291</f>
        <v>370</v>
      </c>
      <c r="E3854">
        <f>'0376 page 464'!G291</f>
        <v>505.05050505050502</v>
      </c>
    </row>
    <row r="3855" spans="1:5" x14ac:dyDescent="0.35">
      <c r="A3855">
        <v>376</v>
      </c>
      <c r="B3855">
        <v>464</v>
      </c>
      <c r="C3855">
        <f>'0376 page 464'!E292</f>
        <v>18000000</v>
      </c>
      <c r="D3855">
        <f>'0376 page 464'!F292</f>
        <v>380</v>
      </c>
      <c r="E3855">
        <f>'0376 page 464'!G292</f>
        <v>480.76923076923072</v>
      </c>
    </row>
    <row r="3856" spans="1:5" x14ac:dyDescent="0.35">
      <c r="A3856">
        <v>376</v>
      </c>
      <c r="B3856">
        <v>464</v>
      </c>
      <c r="C3856">
        <f>'0376 page 464'!E293</f>
        <v>18000000</v>
      </c>
      <c r="D3856">
        <f>'0376 page 464'!F293</f>
        <v>390</v>
      </c>
      <c r="E3856">
        <f>'0376 page 464'!G293</f>
        <v>458.71559633027522</v>
      </c>
    </row>
    <row r="3857" spans="1:5" x14ac:dyDescent="0.35">
      <c r="A3857">
        <v>376</v>
      </c>
      <c r="B3857">
        <v>464</v>
      </c>
      <c r="C3857">
        <f>'0376 page 464'!E294</f>
        <v>18000000</v>
      </c>
      <c r="D3857">
        <f>'0376 page 464'!F294</f>
        <v>400</v>
      </c>
      <c r="E3857">
        <f>'0376 page 464'!G294</f>
        <v>431.03448275862075</v>
      </c>
    </row>
    <row r="3858" spans="1:5" x14ac:dyDescent="0.35">
      <c r="A3858">
        <v>376</v>
      </c>
      <c r="B3858">
        <v>464</v>
      </c>
      <c r="C3858">
        <f>'0376 page 464'!E295</f>
        <v>18000000</v>
      </c>
      <c r="D3858">
        <f>'0376 page 464'!F295</f>
        <v>420</v>
      </c>
      <c r="E3858">
        <f>'0376 page 464'!G295</f>
        <v>347.22222222222223</v>
      </c>
    </row>
    <row r="3859" spans="1:5" x14ac:dyDescent="0.35">
      <c r="A3859">
        <v>376</v>
      </c>
      <c r="B3859">
        <v>464</v>
      </c>
      <c r="C3859">
        <f>'0376 page 464'!E296</f>
        <v>18000000</v>
      </c>
      <c r="D3859">
        <f>'0376 page 464'!F296</f>
        <v>440</v>
      </c>
      <c r="E3859">
        <f>'0376 page 464'!G296</f>
        <v>225.22522522522519</v>
      </c>
    </row>
    <row r="3860" spans="1:5" x14ac:dyDescent="0.35">
      <c r="A3860">
        <v>376</v>
      </c>
      <c r="B3860">
        <v>464</v>
      </c>
      <c r="C3860">
        <f>'0376 page 464'!E297</f>
        <v>18000000</v>
      </c>
      <c r="D3860">
        <f>'0376 page 464'!F297</f>
        <v>460</v>
      </c>
      <c r="E3860">
        <f>'0376 page 464'!G297</f>
        <v>147.71048744460859</v>
      </c>
    </row>
    <row r="3861" spans="1:5" x14ac:dyDescent="0.35">
      <c r="A3861">
        <v>376</v>
      </c>
      <c r="B3861">
        <v>464</v>
      </c>
      <c r="C3861">
        <f>'0376 page 464'!E298</f>
        <v>18000000</v>
      </c>
      <c r="D3861">
        <f>'0376 page 464'!F298</f>
        <v>480</v>
      </c>
      <c r="E3861">
        <f>'0376 page 464'!G298</f>
        <v>120.19230769230768</v>
      </c>
    </row>
    <row r="3862" spans="1:5" x14ac:dyDescent="0.35">
      <c r="A3862">
        <v>376</v>
      </c>
      <c r="B3862">
        <v>464</v>
      </c>
      <c r="C3862">
        <f>'0376 page 464'!E299</f>
        <v>18000000</v>
      </c>
      <c r="D3862">
        <f>'0376 page 464'!F299</f>
        <v>500</v>
      </c>
      <c r="E3862">
        <f>'0376 page 464'!G299</f>
        <v>104.38413361169103</v>
      </c>
    </row>
    <row r="3863" spans="1:5" x14ac:dyDescent="0.35">
      <c r="A3863">
        <v>376</v>
      </c>
      <c r="B3863">
        <v>464</v>
      </c>
      <c r="C3863">
        <f>'0376 page 464'!E300</f>
        <v>18000000</v>
      </c>
      <c r="D3863">
        <f>'0376 page 464'!F300</f>
        <v>520</v>
      </c>
      <c r="E3863">
        <f>'0376 page 464'!G300</f>
        <v>93.808630393996253</v>
      </c>
    </row>
    <row r="3864" spans="1:5" x14ac:dyDescent="0.35">
      <c r="A3864">
        <v>376</v>
      </c>
      <c r="B3864">
        <v>464</v>
      </c>
      <c r="C3864">
        <f>'0376 page 464'!E301</f>
        <v>18000000</v>
      </c>
      <c r="D3864">
        <f>'0376 page 464'!F301</f>
        <v>540</v>
      </c>
      <c r="E3864">
        <f>'0376 page 464'!G301</f>
        <v>85.910652920962207</v>
      </c>
    </row>
    <row r="3865" spans="1:5" x14ac:dyDescent="0.35">
      <c r="A3865">
        <v>376</v>
      </c>
      <c r="B3865">
        <v>464</v>
      </c>
      <c r="C3865">
        <f>'0376 page 464'!E302</f>
        <v>18000000</v>
      </c>
      <c r="D3865">
        <f>'0376 page 464'!F302</f>
        <v>560</v>
      </c>
      <c r="E3865">
        <f>'0376 page 464'!G302</f>
        <v>79.554494828957843</v>
      </c>
    </row>
    <row r="3866" spans="1:5" x14ac:dyDescent="0.35">
      <c r="A3866">
        <v>376</v>
      </c>
      <c r="B3866">
        <v>464</v>
      </c>
      <c r="C3866">
        <f>'0376 page 464'!E303</f>
        <v>20000000</v>
      </c>
      <c r="D3866">
        <f>'0376 page 464'!F303</f>
        <v>310</v>
      </c>
      <c r="E3866">
        <f>'0376 page 464'!G303</f>
        <v>602.40963855421694</v>
      </c>
    </row>
    <row r="3867" spans="1:5" x14ac:dyDescent="0.35">
      <c r="A3867">
        <v>376</v>
      </c>
      <c r="B3867">
        <v>464</v>
      </c>
      <c r="C3867">
        <f>'0376 page 464'!E304</f>
        <v>20000000</v>
      </c>
      <c r="D3867">
        <f>'0376 page 464'!F304</f>
        <v>320</v>
      </c>
      <c r="E3867">
        <f>'0376 page 464'!G304</f>
        <v>591.71597633136093</v>
      </c>
    </row>
    <row r="3868" spans="1:5" x14ac:dyDescent="0.35">
      <c r="A3868">
        <v>376</v>
      </c>
      <c r="B3868">
        <v>464</v>
      </c>
      <c r="C3868">
        <f>'0376 page 464'!E305</f>
        <v>20000000</v>
      </c>
      <c r="D3868">
        <f>'0376 page 464'!F305</f>
        <v>330</v>
      </c>
      <c r="E3868">
        <f>'0376 page 464'!G305</f>
        <v>578.03468208092488</v>
      </c>
    </row>
    <row r="3869" spans="1:5" x14ac:dyDescent="0.35">
      <c r="A3869">
        <v>376</v>
      </c>
      <c r="B3869">
        <v>464</v>
      </c>
      <c r="C3869">
        <f>'0376 page 464'!E306</f>
        <v>20000000</v>
      </c>
      <c r="D3869">
        <f>'0376 page 464'!F306</f>
        <v>340</v>
      </c>
      <c r="E3869">
        <f>'0376 page 464'!G306</f>
        <v>561.79775280898878</v>
      </c>
    </row>
    <row r="3870" spans="1:5" x14ac:dyDescent="0.35">
      <c r="A3870">
        <v>376</v>
      </c>
      <c r="B3870">
        <v>464</v>
      </c>
      <c r="C3870">
        <f>'0376 page 464'!E307</f>
        <v>20000000</v>
      </c>
      <c r="D3870">
        <f>'0376 page 464'!F307</f>
        <v>350</v>
      </c>
      <c r="E3870">
        <f>'0376 page 464'!G307</f>
        <v>546.44808743169403</v>
      </c>
    </row>
    <row r="3871" spans="1:5" x14ac:dyDescent="0.35">
      <c r="A3871">
        <v>376</v>
      </c>
      <c r="B3871">
        <v>464</v>
      </c>
      <c r="C3871">
        <f>'0376 page 464'!E308</f>
        <v>20000000</v>
      </c>
      <c r="D3871">
        <f>'0376 page 464'!F308</f>
        <v>360</v>
      </c>
      <c r="E3871">
        <f>'0376 page 464'!G308</f>
        <v>526.31578947368416</v>
      </c>
    </row>
    <row r="3872" spans="1:5" x14ac:dyDescent="0.35">
      <c r="A3872">
        <v>376</v>
      </c>
      <c r="B3872">
        <v>464</v>
      </c>
      <c r="C3872">
        <f>'0376 page 464'!E309</f>
        <v>20000000</v>
      </c>
      <c r="D3872">
        <f>'0376 page 464'!F309</f>
        <v>370</v>
      </c>
      <c r="E3872">
        <f>'0376 page 464'!G309</f>
        <v>510.20408163265313</v>
      </c>
    </row>
    <row r="3873" spans="1:5" x14ac:dyDescent="0.35">
      <c r="A3873">
        <v>376</v>
      </c>
      <c r="B3873">
        <v>464</v>
      </c>
      <c r="C3873">
        <f>'0376 page 464'!E310</f>
        <v>20000000</v>
      </c>
      <c r="D3873">
        <f>'0376 page 464'!F310</f>
        <v>380</v>
      </c>
      <c r="E3873">
        <f>'0376 page 464'!G310</f>
        <v>487.80487804878055</v>
      </c>
    </row>
    <row r="3874" spans="1:5" x14ac:dyDescent="0.35">
      <c r="A3874">
        <v>376</v>
      </c>
      <c r="B3874">
        <v>464</v>
      </c>
      <c r="C3874">
        <f>'0376 page 464'!E311</f>
        <v>20000000</v>
      </c>
      <c r="D3874">
        <f>'0376 page 464'!F311</f>
        <v>390</v>
      </c>
      <c r="E3874">
        <f>'0376 page 464'!G311</f>
        <v>465.11627906976747</v>
      </c>
    </row>
    <row r="3875" spans="1:5" x14ac:dyDescent="0.35">
      <c r="A3875">
        <v>376</v>
      </c>
      <c r="B3875">
        <v>464</v>
      </c>
      <c r="C3875">
        <f>'0376 page 464'!E312</f>
        <v>20000000</v>
      </c>
      <c r="D3875">
        <f>'0376 page 464'!F312</f>
        <v>400</v>
      </c>
      <c r="E3875">
        <f>'0376 page 464'!G312</f>
        <v>440.52863436123346</v>
      </c>
    </row>
    <row r="3876" spans="1:5" x14ac:dyDescent="0.35">
      <c r="A3876">
        <v>376</v>
      </c>
      <c r="B3876">
        <v>464</v>
      </c>
      <c r="C3876">
        <f>'0376 page 464'!E313</f>
        <v>20000000</v>
      </c>
      <c r="D3876">
        <f>'0376 page 464'!F313</f>
        <v>420</v>
      </c>
      <c r="E3876">
        <f>'0376 page 464'!G313</f>
        <v>371.74721189591082</v>
      </c>
    </row>
    <row r="3877" spans="1:5" x14ac:dyDescent="0.35">
      <c r="A3877">
        <v>376</v>
      </c>
      <c r="B3877">
        <v>464</v>
      </c>
      <c r="C3877">
        <f>'0376 page 464'!E314</f>
        <v>20000000</v>
      </c>
      <c r="D3877">
        <f>'0376 page 464'!F314</f>
        <v>440</v>
      </c>
      <c r="E3877">
        <f>'0376 page 464'!G314</f>
        <v>268.81720430107526</v>
      </c>
    </row>
    <row r="3878" spans="1:5" x14ac:dyDescent="0.35">
      <c r="A3878">
        <v>376</v>
      </c>
      <c r="B3878">
        <v>464</v>
      </c>
      <c r="C3878">
        <f>'0376 page 464'!E315</f>
        <v>20000000</v>
      </c>
      <c r="D3878">
        <f>'0376 page 464'!F315</f>
        <v>460</v>
      </c>
      <c r="E3878">
        <f>'0376 page 464'!G315</f>
        <v>183.48623853211009</v>
      </c>
    </row>
    <row r="3879" spans="1:5" x14ac:dyDescent="0.35">
      <c r="A3879">
        <v>376</v>
      </c>
      <c r="B3879">
        <v>464</v>
      </c>
      <c r="C3879">
        <f>'0376 page 464'!E316</f>
        <v>20000000</v>
      </c>
      <c r="D3879">
        <f>'0376 page 464'!F316</f>
        <v>480</v>
      </c>
      <c r="E3879">
        <f>'0376 page 464'!G316</f>
        <v>143.67816091954023</v>
      </c>
    </row>
    <row r="3880" spans="1:5" x14ac:dyDescent="0.35">
      <c r="A3880">
        <v>376</v>
      </c>
      <c r="B3880">
        <v>464</v>
      </c>
      <c r="C3880">
        <f>'0376 page 464'!E317</f>
        <v>20000000</v>
      </c>
      <c r="D3880">
        <f>'0376 page 464'!F317</f>
        <v>500</v>
      </c>
      <c r="E3880">
        <f>'0376 page 464'!G317</f>
        <v>121.50668286755771</v>
      </c>
    </row>
    <row r="3881" spans="1:5" x14ac:dyDescent="0.35">
      <c r="A3881">
        <v>376</v>
      </c>
      <c r="B3881">
        <v>464</v>
      </c>
      <c r="C3881">
        <f>'0376 page 464'!E318</f>
        <v>20000000</v>
      </c>
      <c r="D3881">
        <f>'0376 page 464'!F318</f>
        <v>520</v>
      </c>
      <c r="E3881">
        <f>'0376 page 464'!G318</f>
        <v>108.10810810810813</v>
      </c>
    </row>
    <row r="3882" spans="1:5" x14ac:dyDescent="0.35">
      <c r="A3882">
        <v>376</v>
      </c>
      <c r="B3882">
        <v>464</v>
      </c>
      <c r="C3882">
        <f>'0376 page 464'!E319</f>
        <v>20000000</v>
      </c>
      <c r="D3882">
        <f>'0376 page 464'!F319</f>
        <v>540</v>
      </c>
      <c r="E3882">
        <f>'0376 page 464'!G319</f>
        <v>98.135426889106967</v>
      </c>
    </row>
    <row r="3883" spans="1:5" x14ac:dyDescent="0.35">
      <c r="A3883">
        <v>376</v>
      </c>
      <c r="B3883">
        <v>464</v>
      </c>
      <c r="C3883">
        <f>'0376 page 464'!E320</f>
        <v>20000000</v>
      </c>
      <c r="D3883">
        <f>'0376 page 464'!F320</f>
        <v>560</v>
      </c>
      <c r="E3883">
        <f>'0376 page 464'!G320</f>
        <v>90.334236675700097</v>
      </c>
    </row>
    <row r="3884" spans="1:5" x14ac:dyDescent="0.35">
      <c r="A3884">
        <v>376</v>
      </c>
      <c r="B3884">
        <v>464</v>
      </c>
      <c r="C3884">
        <f>'0376 page 464'!E321</f>
        <v>22000000</v>
      </c>
      <c r="D3884">
        <f>'0376 page 464'!F321</f>
        <v>310</v>
      </c>
      <c r="E3884">
        <f>'0376 page 464'!G321</f>
        <v>606.06060606060601</v>
      </c>
    </row>
    <row r="3885" spans="1:5" x14ac:dyDescent="0.35">
      <c r="A3885">
        <v>376</v>
      </c>
      <c r="B3885">
        <v>464</v>
      </c>
      <c r="C3885">
        <f>'0376 page 464'!E322</f>
        <v>22000000</v>
      </c>
      <c r="D3885">
        <f>'0376 page 464'!F322</f>
        <v>320</v>
      </c>
      <c r="E3885">
        <f>'0376 page 464'!G322</f>
        <v>595.2380952380953</v>
      </c>
    </row>
    <row r="3886" spans="1:5" x14ac:dyDescent="0.35">
      <c r="A3886">
        <v>376</v>
      </c>
      <c r="B3886">
        <v>464</v>
      </c>
      <c r="C3886">
        <f>'0376 page 464'!E323</f>
        <v>22000000</v>
      </c>
      <c r="D3886">
        <f>'0376 page 464'!F323</f>
        <v>330</v>
      </c>
      <c r="E3886">
        <f>'0376 page 464'!G323</f>
        <v>578.03468208092488</v>
      </c>
    </row>
    <row r="3887" spans="1:5" x14ac:dyDescent="0.35">
      <c r="A3887">
        <v>376</v>
      </c>
      <c r="B3887">
        <v>464</v>
      </c>
      <c r="C3887">
        <f>'0376 page 464'!E324</f>
        <v>22000000</v>
      </c>
      <c r="D3887">
        <f>'0376 page 464'!F324</f>
        <v>340</v>
      </c>
      <c r="E3887">
        <f>'0376 page 464'!G324</f>
        <v>564.9717514124294</v>
      </c>
    </row>
    <row r="3888" spans="1:5" x14ac:dyDescent="0.35">
      <c r="A3888">
        <v>376</v>
      </c>
      <c r="B3888">
        <v>464</v>
      </c>
      <c r="C3888">
        <f>'0376 page 464'!E325</f>
        <v>22000000</v>
      </c>
      <c r="D3888">
        <f>'0376 page 464'!F325</f>
        <v>350</v>
      </c>
      <c r="E3888">
        <f>'0376 page 464'!G325</f>
        <v>546.44808743169403</v>
      </c>
    </row>
    <row r="3889" spans="1:5" x14ac:dyDescent="0.35">
      <c r="A3889">
        <v>376</v>
      </c>
      <c r="B3889">
        <v>464</v>
      </c>
      <c r="C3889">
        <f>'0376 page 464'!E326</f>
        <v>22000000</v>
      </c>
      <c r="D3889">
        <f>'0376 page 464'!F326</f>
        <v>360</v>
      </c>
      <c r="E3889">
        <f>'0376 page 464'!G326</f>
        <v>531.91489361702133</v>
      </c>
    </row>
    <row r="3890" spans="1:5" x14ac:dyDescent="0.35">
      <c r="A3890">
        <v>376</v>
      </c>
      <c r="B3890">
        <v>464</v>
      </c>
      <c r="C3890">
        <f>'0376 page 464'!E327</f>
        <v>22000000</v>
      </c>
      <c r="D3890">
        <f>'0376 page 464'!F327</f>
        <v>370</v>
      </c>
      <c r="E3890">
        <f>'0376 page 464'!G327</f>
        <v>512.82051282051293</v>
      </c>
    </row>
    <row r="3891" spans="1:5" x14ac:dyDescent="0.35">
      <c r="A3891">
        <v>376</v>
      </c>
      <c r="B3891">
        <v>464</v>
      </c>
      <c r="C3891">
        <f>'0376 page 464'!E328</f>
        <v>22000000</v>
      </c>
      <c r="D3891">
        <f>'0376 page 464'!F328</f>
        <v>380</v>
      </c>
      <c r="E3891">
        <f>'0376 page 464'!G328</f>
        <v>492.61083743842374</v>
      </c>
    </row>
    <row r="3892" spans="1:5" x14ac:dyDescent="0.35">
      <c r="A3892">
        <v>376</v>
      </c>
      <c r="B3892">
        <v>464</v>
      </c>
      <c r="C3892">
        <f>'0376 page 464'!E329</f>
        <v>22000000</v>
      </c>
      <c r="D3892">
        <f>'0376 page 464'!F329</f>
        <v>390</v>
      </c>
      <c r="E3892">
        <f>'0376 page 464'!G329</f>
        <v>471.69811320754712</v>
      </c>
    </row>
    <row r="3893" spans="1:5" x14ac:dyDescent="0.35">
      <c r="A3893">
        <v>376</v>
      </c>
      <c r="B3893">
        <v>464</v>
      </c>
      <c r="C3893">
        <f>'0376 page 464'!E330</f>
        <v>22000000</v>
      </c>
      <c r="D3893">
        <f>'0376 page 464'!F330</f>
        <v>400</v>
      </c>
      <c r="E3893">
        <f>'0376 page 464'!G330</f>
        <v>448.4304932735426</v>
      </c>
    </row>
    <row r="3894" spans="1:5" x14ac:dyDescent="0.35">
      <c r="A3894">
        <v>376</v>
      </c>
      <c r="B3894">
        <v>464</v>
      </c>
      <c r="C3894">
        <f>'0376 page 464'!E331</f>
        <v>22000000</v>
      </c>
      <c r="D3894">
        <f>'0376 page 464'!F331</f>
        <v>420</v>
      </c>
      <c r="E3894">
        <f>'0376 page 464'!G331</f>
        <v>387.59689922480618</v>
      </c>
    </row>
    <row r="3895" spans="1:5" x14ac:dyDescent="0.35">
      <c r="A3895">
        <v>376</v>
      </c>
      <c r="B3895">
        <v>464</v>
      </c>
      <c r="C3895">
        <f>'0376 page 464'!E332</f>
        <v>22000000</v>
      </c>
      <c r="D3895">
        <f>'0376 page 464'!F332</f>
        <v>440</v>
      </c>
      <c r="E3895">
        <f>'0376 page 464'!G332</f>
        <v>302.11480362537765</v>
      </c>
    </row>
    <row r="3896" spans="1:5" x14ac:dyDescent="0.35">
      <c r="A3896">
        <v>376</v>
      </c>
      <c r="B3896">
        <v>464</v>
      </c>
      <c r="C3896">
        <f>'0376 page 464'!E333</f>
        <v>22000000</v>
      </c>
      <c r="D3896">
        <f>'0376 page 464'!F333</f>
        <v>460</v>
      </c>
      <c r="E3896">
        <f>'0376 page 464'!G333</f>
        <v>219.29824561403512</v>
      </c>
    </row>
    <row r="3897" spans="1:5" x14ac:dyDescent="0.35">
      <c r="A3897">
        <v>376</v>
      </c>
      <c r="B3897">
        <v>464</v>
      </c>
      <c r="C3897">
        <f>'0376 page 464'!E334</f>
        <v>22000000</v>
      </c>
      <c r="D3897">
        <f>'0376 page 464'!F334</f>
        <v>480</v>
      </c>
      <c r="E3897">
        <f>'0376 page 464'!G334</f>
        <v>168.91891891891893</v>
      </c>
    </row>
    <row r="3898" spans="1:5" x14ac:dyDescent="0.35">
      <c r="A3898">
        <v>376</v>
      </c>
      <c r="B3898">
        <v>464</v>
      </c>
      <c r="C3898">
        <f>'0376 page 464'!E335</f>
        <v>22000000</v>
      </c>
      <c r="D3898">
        <f>'0376 page 464'!F335</f>
        <v>500</v>
      </c>
      <c r="E3898">
        <f>'0376 page 464'!G335</f>
        <v>140.25245441795232</v>
      </c>
    </row>
    <row r="3899" spans="1:5" x14ac:dyDescent="0.35">
      <c r="A3899">
        <v>376</v>
      </c>
      <c r="B3899">
        <v>464</v>
      </c>
      <c r="C3899">
        <f>'0376 page 464'!E336</f>
        <v>22000000</v>
      </c>
      <c r="D3899">
        <f>'0376 page 464'!F336</f>
        <v>520</v>
      </c>
      <c r="E3899">
        <f>'0376 page 464'!G336</f>
        <v>123.15270935960594</v>
      </c>
    </row>
    <row r="3900" spans="1:5" x14ac:dyDescent="0.35">
      <c r="A3900">
        <v>376</v>
      </c>
      <c r="B3900">
        <v>464</v>
      </c>
      <c r="C3900">
        <f>'0376 page 464'!E337</f>
        <v>22000000</v>
      </c>
      <c r="D3900">
        <f>'0376 page 464'!F337</f>
        <v>540</v>
      </c>
      <c r="E3900">
        <f>'0376 page 464'!G337</f>
        <v>110.86474501108648</v>
      </c>
    </row>
    <row r="3901" spans="1:5" x14ac:dyDescent="0.35">
      <c r="A3901">
        <v>376</v>
      </c>
      <c r="B3901">
        <v>464</v>
      </c>
      <c r="C3901">
        <f>'0376 page 464'!E338</f>
        <v>22000000</v>
      </c>
      <c r="D3901">
        <f>'0376 page 464'!F338</f>
        <v>560</v>
      </c>
      <c r="E3901">
        <f>'0376 page 464'!G338</f>
        <v>101.5228426395939</v>
      </c>
    </row>
    <row r="3902" spans="1:5" x14ac:dyDescent="0.35">
      <c r="A3902">
        <v>376</v>
      </c>
      <c r="B3902">
        <v>464</v>
      </c>
      <c r="C3902">
        <f>'0376 page 464'!E339</f>
        <v>24000000</v>
      </c>
      <c r="D3902">
        <f>'0376 page 464'!F339</f>
        <v>310</v>
      </c>
      <c r="E3902">
        <f>'0376 page 464'!G339</f>
        <v>609.7560975609756</v>
      </c>
    </row>
    <row r="3903" spans="1:5" x14ac:dyDescent="0.35">
      <c r="A3903">
        <v>376</v>
      </c>
      <c r="B3903">
        <v>464</v>
      </c>
      <c r="C3903">
        <f>'0376 page 464'!E340</f>
        <v>24000000</v>
      </c>
      <c r="D3903">
        <f>'0376 page 464'!F340</f>
        <v>320</v>
      </c>
      <c r="E3903">
        <f>'0376 page 464'!G340</f>
        <v>595.2380952380953</v>
      </c>
    </row>
    <row r="3904" spans="1:5" x14ac:dyDescent="0.35">
      <c r="A3904">
        <v>376</v>
      </c>
      <c r="B3904">
        <v>464</v>
      </c>
      <c r="C3904">
        <f>'0376 page 464'!E341</f>
        <v>24000000</v>
      </c>
      <c r="D3904">
        <f>'0376 page 464'!F341</f>
        <v>330</v>
      </c>
      <c r="E3904">
        <f>'0376 page 464'!G341</f>
        <v>581.39534883720933</v>
      </c>
    </row>
    <row r="3905" spans="1:5" x14ac:dyDescent="0.35">
      <c r="A3905">
        <v>376</v>
      </c>
      <c r="B3905">
        <v>464</v>
      </c>
      <c r="C3905">
        <f>'0376 page 464'!E342</f>
        <v>24000000</v>
      </c>
      <c r="D3905">
        <f>'0376 page 464'!F342</f>
        <v>340</v>
      </c>
      <c r="E3905">
        <f>'0376 page 464'!G342</f>
        <v>564.9717514124294</v>
      </c>
    </row>
    <row r="3906" spans="1:5" x14ac:dyDescent="0.35">
      <c r="A3906">
        <v>376</v>
      </c>
      <c r="B3906">
        <v>464</v>
      </c>
      <c r="C3906">
        <f>'0376 page 464'!E343</f>
        <v>24000000</v>
      </c>
      <c r="D3906">
        <f>'0376 page 464'!F343</f>
        <v>350</v>
      </c>
      <c r="E3906">
        <f>'0376 page 464'!G343</f>
        <v>552.4861878453039</v>
      </c>
    </row>
    <row r="3907" spans="1:5" x14ac:dyDescent="0.35">
      <c r="A3907">
        <v>376</v>
      </c>
      <c r="B3907">
        <v>464</v>
      </c>
      <c r="C3907">
        <f>'0376 page 464'!E344</f>
        <v>24000000</v>
      </c>
      <c r="D3907">
        <f>'0376 page 464'!F344</f>
        <v>360</v>
      </c>
      <c r="E3907">
        <f>'0376 page 464'!G344</f>
        <v>534.75935828876993</v>
      </c>
    </row>
    <row r="3908" spans="1:5" x14ac:dyDescent="0.35">
      <c r="A3908">
        <v>376</v>
      </c>
      <c r="B3908">
        <v>464</v>
      </c>
      <c r="C3908">
        <f>'0376 page 464'!E345</f>
        <v>24000000</v>
      </c>
      <c r="D3908">
        <f>'0376 page 464'!F345</f>
        <v>370</v>
      </c>
      <c r="E3908">
        <f>'0376 page 464'!G345</f>
        <v>515.46391752577335</v>
      </c>
    </row>
    <row r="3909" spans="1:5" x14ac:dyDescent="0.35">
      <c r="A3909">
        <v>376</v>
      </c>
      <c r="B3909">
        <v>464</v>
      </c>
      <c r="C3909">
        <f>'0376 page 464'!E346</f>
        <v>24000000</v>
      </c>
      <c r="D3909">
        <f>'0376 page 464'!F346</f>
        <v>380</v>
      </c>
      <c r="E3909">
        <f>'0376 page 464'!G346</f>
        <v>497.51243781094536</v>
      </c>
    </row>
    <row r="3910" spans="1:5" x14ac:dyDescent="0.35">
      <c r="A3910">
        <v>376</v>
      </c>
      <c r="B3910">
        <v>464</v>
      </c>
      <c r="C3910">
        <f>'0376 page 464'!E347</f>
        <v>24000000</v>
      </c>
      <c r="D3910">
        <f>'0376 page 464'!F347</f>
        <v>390</v>
      </c>
      <c r="E3910">
        <f>'0376 page 464'!G347</f>
        <v>476.1904761904762</v>
      </c>
    </row>
    <row r="3911" spans="1:5" x14ac:dyDescent="0.35">
      <c r="A3911">
        <v>376</v>
      </c>
      <c r="B3911">
        <v>464</v>
      </c>
      <c r="C3911">
        <f>'0376 page 464'!E348</f>
        <v>24000000</v>
      </c>
      <c r="D3911">
        <f>'0376 page 464'!F348</f>
        <v>400</v>
      </c>
      <c r="E3911">
        <f>'0376 page 464'!G348</f>
        <v>454.54545454545456</v>
      </c>
    </row>
    <row r="3912" spans="1:5" x14ac:dyDescent="0.35">
      <c r="A3912">
        <v>376</v>
      </c>
      <c r="B3912">
        <v>464</v>
      </c>
      <c r="C3912">
        <f>'0376 page 464'!E349</f>
        <v>24000000</v>
      </c>
      <c r="D3912">
        <f>'0376 page 464'!F349</f>
        <v>420</v>
      </c>
      <c r="E3912">
        <f>'0376 page 464'!G349</f>
        <v>400</v>
      </c>
    </row>
    <row r="3913" spans="1:5" x14ac:dyDescent="0.35">
      <c r="A3913">
        <v>376</v>
      </c>
      <c r="B3913">
        <v>464</v>
      </c>
      <c r="C3913">
        <f>'0376 page 464'!E350</f>
        <v>24000000</v>
      </c>
      <c r="D3913">
        <f>'0376 page 464'!F350</f>
        <v>440</v>
      </c>
      <c r="E3913">
        <f>'0376 page 464'!G350</f>
        <v>327.86885245901647</v>
      </c>
    </row>
    <row r="3914" spans="1:5" x14ac:dyDescent="0.35">
      <c r="A3914">
        <v>376</v>
      </c>
      <c r="B3914">
        <v>464</v>
      </c>
      <c r="C3914">
        <f>'0376 page 464'!E351</f>
        <v>24000000</v>
      </c>
      <c r="D3914">
        <f>'0376 page 464'!F351</f>
        <v>460</v>
      </c>
      <c r="E3914">
        <f>'0376 page 464'!G351</f>
        <v>251.88916876574308</v>
      </c>
    </row>
    <row r="3915" spans="1:5" x14ac:dyDescent="0.35">
      <c r="A3915">
        <v>376</v>
      </c>
      <c r="B3915">
        <v>464</v>
      </c>
      <c r="C3915">
        <f>'0376 page 464'!E352</f>
        <v>24000000</v>
      </c>
      <c r="D3915">
        <f>'0376 page 464'!F352</f>
        <v>480</v>
      </c>
      <c r="E3915">
        <f>'0376 page 464'!G352</f>
        <v>194.5525291828794</v>
      </c>
    </row>
    <row r="3916" spans="1:5" x14ac:dyDescent="0.35">
      <c r="A3916">
        <v>376</v>
      </c>
      <c r="B3916">
        <v>464</v>
      </c>
      <c r="C3916">
        <f>'0376 page 464'!E353</f>
        <v>24000000</v>
      </c>
      <c r="D3916">
        <f>'0376 page 464'!F353</f>
        <v>500</v>
      </c>
      <c r="E3916">
        <f>'0376 page 464'!G353</f>
        <v>160</v>
      </c>
    </row>
    <row r="3917" spans="1:5" x14ac:dyDescent="0.35">
      <c r="A3917">
        <v>376</v>
      </c>
      <c r="B3917">
        <v>464</v>
      </c>
      <c r="C3917">
        <f>'0376 page 464'!E354</f>
        <v>24000000</v>
      </c>
      <c r="D3917">
        <f>'0376 page 464'!F354</f>
        <v>520</v>
      </c>
      <c r="E3917">
        <f>'0376 page 464'!G354</f>
        <v>138.88888888888889</v>
      </c>
    </row>
    <row r="3918" spans="1:5" x14ac:dyDescent="0.35">
      <c r="A3918">
        <v>376</v>
      </c>
      <c r="B3918">
        <v>464</v>
      </c>
      <c r="C3918">
        <f>'0376 page 464'!E355</f>
        <v>24000000</v>
      </c>
      <c r="D3918">
        <f>'0376 page 464'!F355</f>
        <v>540</v>
      </c>
      <c r="E3918">
        <f>'0376 page 464'!G355</f>
        <v>124.06947890818859</v>
      </c>
    </row>
    <row r="3919" spans="1:5" x14ac:dyDescent="0.35">
      <c r="A3919">
        <v>376</v>
      </c>
      <c r="B3919">
        <v>464</v>
      </c>
      <c r="C3919">
        <f>'0376 page 464'!E356</f>
        <v>24000000</v>
      </c>
      <c r="D3919">
        <f>'0376 page 464'!F356</f>
        <v>560</v>
      </c>
      <c r="E3919">
        <f>'0376 page 464'!G356</f>
        <v>112.99435028248587</v>
      </c>
    </row>
    <row r="3920" spans="1:5" x14ac:dyDescent="0.35">
      <c r="A3920">
        <v>376</v>
      </c>
      <c r="B3920">
        <v>464</v>
      </c>
      <c r="C3920">
        <f>'0376 page 464'!E357</f>
        <v>26000000</v>
      </c>
      <c r="D3920">
        <f>'0376 page 464'!F357</f>
        <v>310</v>
      </c>
      <c r="E3920">
        <f>'0376 page 464'!G357</f>
        <v>609.7560975609756</v>
      </c>
    </row>
    <row r="3921" spans="1:5" x14ac:dyDescent="0.35">
      <c r="A3921">
        <v>376</v>
      </c>
      <c r="B3921">
        <v>464</v>
      </c>
      <c r="C3921">
        <f>'0376 page 464'!E358</f>
        <v>26000000</v>
      </c>
      <c r="D3921">
        <f>'0376 page 464'!F358</f>
        <v>320</v>
      </c>
      <c r="E3921">
        <f>'0376 page 464'!G358</f>
        <v>598.80239520958094</v>
      </c>
    </row>
    <row r="3922" spans="1:5" x14ac:dyDescent="0.35">
      <c r="A3922">
        <v>376</v>
      </c>
      <c r="B3922">
        <v>464</v>
      </c>
      <c r="C3922">
        <f>'0376 page 464'!E359</f>
        <v>26000000</v>
      </c>
      <c r="D3922">
        <f>'0376 page 464'!F359</f>
        <v>330</v>
      </c>
      <c r="E3922">
        <f>'0376 page 464'!G359</f>
        <v>584.79532163742692</v>
      </c>
    </row>
    <row r="3923" spans="1:5" x14ac:dyDescent="0.35">
      <c r="A3923">
        <v>376</v>
      </c>
      <c r="B3923">
        <v>464</v>
      </c>
      <c r="C3923">
        <f>'0376 page 464'!E360</f>
        <v>26000000</v>
      </c>
      <c r="D3923">
        <f>'0376 page 464'!F360</f>
        <v>340</v>
      </c>
      <c r="E3923">
        <f>'0376 page 464'!G360</f>
        <v>568.18181818181824</v>
      </c>
    </row>
    <row r="3924" spans="1:5" x14ac:dyDescent="0.35">
      <c r="A3924">
        <v>376</v>
      </c>
      <c r="B3924">
        <v>464</v>
      </c>
      <c r="C3924">
        <f>'0376 page 464'!E361</f>
        <v>26000000</v>
      </c>
      <c r="D3924">
        <f>'0376 page 464'!F361</f>
        <v>350</v>
      </c>
      <c r="E3924">
        <f>'0376 page 464'!G361</f>
        <v>552.4861878453039</v>
      </c>
    </row>
    <row r="3925" spans="1:5" x14ac:dyDescent="0.35">
      <c r="A3925">
        <v>376</v>
      </c>
      <c r="B3925">
        <v>464</v>
      </c>
      <c r="C3925">
        <f>'0376 page 464'!E362</f>
        <v>26000000</v>
      </c>
      <c r="D3925">
        <f>'0376 page 464'!F362</f>
        <v>360</v>
      </c>
      <c r="E3925">
        <f>'0376 page 464'!G362</f>
        <v>537.63440860215053</v>
      </c>
    </row>
    <row r="3926" spans="1:5" x14ac:dyDescent="0.35">
      <c r="A3926">
        <v>376</v>
      </c>
      <c r="B3926">
        <v>464</v>
      </c>
      <c r="C3926">
        <f>'0376 page 464'!E363</f>
        <v>26000000</v>
      </c>
      <c r="D3926">
        <f>'0376 page 464'!F363</f>
        <v>370</v>
      </c>
      <c r="E3926">
        <f>'0376 page 464'!G363</f>
        <v>520.83333333333348</v>
      </c>
    </row>
    <row r="3927" spans="1:5" x14ac:dyDescent="0.35">
      <c r="A3927">
        <v>376</v>
      </c>
      <c r="B3927">
        <v>464</v>
      </c>
      <c r="C3927">
        <f>'0376 page 464'!E364</f>
        <v>26000000</v>
      </c>
      <c r="D3927">
        <f>'0376 page 464'!F364</f>
        <v>380</v>
      </c>
      <c r="E3927">
        <f>'0376 page 464'!G364</f>
        <v>502.51256281407029</v>
      </c>
    </row>
    <row r="3928" spans="1:5" x14ac:dyDescent="0.35">
      <c r="A3928">
        <v>376</v>
      </c>
      <c r="B3928">
        <v>464</v>
      </c>
      <c r="C3928">
        <f>'0376 page 464'!E365</f>
        <v>26000000</v>
      </c>
      <c r="D3928">
        <f>'0376 page 464'!F365</f>
        <v>390</v>
      </c>
      <c r="E3928">
        <f>'0376 page 464'!G365</f>
        <v>480.76923076923072</v>
      </c>
    </row>
    <row r="3929" spans="1:5" x14ac:dyDescent="0.35">
      <c r="A3929">
        <v>376</v>
      </c>
      <c r="B3929">
        <v>464</v>
      </c>
      <c r="C3929">
        <f>'0376 page 464'!E366</f>
        <v>26000000</v>
      </c>
      <c r="D3929">
        <f>'0376 page 464'!F366</f>
        <v>400</v>
      </c>
      <c r="E3929">
        <f>'0376 page 464'!G366</f>
        <v>460.82949308755758</v>
      </c>
    </row>
    <row r="3930" spans="1:5" x14ac:dyDescent="0.35">
      <c r="A3930">
        <v>376</v>
      </c>
      <c r="B3930">
        <v>464</v>
      </c>
      <c r="C3930">
        <f>'0376 page 464'!E367</f>
        <v>26000000</v>
      </c>
      <c r="D3930">
        <f>'0376 page 464'!F367</f>
        <v>420</v>
      </c>
      <c r="E3930">
        <f>'0376 page 464'!G367</f>
        <v>411.52263374485597</v>
      </c>
    </row>
    <row r="3931" spans="1:5" x14ac:dyDescent="0.35">
      <c r="A3931">
        <v>376</v>
      </c>
      <c r="B3931">
        <v>464</v>
      </c>
      <c r="C3931">
        <f>'0376 page 464'!E368</f>
        <v>26000000</v>
      </c>
      <c r="D3931">
        <f>'0376 page 464'!F368</f>
        <v>440</v>
      </c>
      <c r="E3931">
        <f>'0376 page 464'!G368</f>
        <v>350.87719298245611</v>
      </c>
    </row>
    <row r="3932" spans="1:5" x14ac:dyDescent="0.35">
      <c r="A3932">
        <v>376</v>
      </c>
      <c r="B3932">
        <v>464</v>
      </c>
      <c r="C3932">
        <f>'0376 page 464'!E369</f>
        <v>26000000</v>
      </c>
      <c r="D3932">
        <f>'0376 page 464'!F369</f>
        <v>460</v>
      </c>
      <c r="E3932">
        <f>'0376 page 464'!G369</f>
        <v>334.44816053511704</v>
      </c>
    </row>
    <row r="3933" spans="1:5" x14ac:dyDescent="0.35">
      <c r="A3933">
        <v>376</v>
      </c>
      <c r="B3933">
        <v>464</v>
      </c>
      <c r="C3933">
        <f>'0376 page 464'!E370</f>
        <v>26000000</v>
      </c>
      <c r="D3933">
        <f>'0376 page 464'!F370</f>
        <v>480</v>
      </c>
      <c r="E3933">
        <f>'0376 page 464'!G370</f>
        <v>219.78021978021977</v>
      </c>
    </row>
    <row r="3934" spans="1:5" x14ac:dyDescent="0.35">
      <c r="A3934">
        <v>376</v>
      </c>
      <c r="B3934">
        <v>464</v>
      </c>
      <c r="C3934">
        <f>'0376 page 464'!E371</f>
        <v>26000000</v>
      </c>
      <c r="D3934">
        <f>'0376 page 464'!F371</f>
        <v>500</v>
      </c>
      <c r="E3934">
        <f>'0376 page 464'!G371</f>
        <v>180.1801801801802</v>
      </c>
    </row>
    <row r="3935" spans="1:5" x14ac:dyDescent="0.35">
      <c r="A3935">
        <v>376</v>
      </c>
      <c r="B3935">
        <v>464</v>
      </c>
      <c r="C3935">
        <f>'0376 page 464'!E372</f>
        <v>26000000</v>
      </c>
      <c r="D3935">
        <f>'0376 page 464'!F372</f>
        <v>520</v>
      </c>
      <c r="E3935">
        <f>'0376 page 464'!G372</f>
        <v>155.27950310559004</v>
      </c>
    </row>
    <row r="3936" spans="1:5" x14ac:dyDescent="0.35">
      <c r="A3936">
        <v>376</v>
      </c>
      <c r="B3936">
        <v>464</v>
      </c>
      <c r="C3936">
        <f>'0376 page 464'!E373</f>
        <v>26000000</v>
      </c>
      <c r="D3936">
        <f>'0376 page 464'!F373</f>
        <v>540</v>
      </c>
      <c r="E3936">
        <f>'0376 page 464'!G373</f>
        <v>137.55158184319123</v>
      </c>
    </row>
    <row r="3937" spans="1:5" x14ac:dyDescent="0.35">
      <c r="A3937">
        <v>376</v>
      </c>
      <c r="B3937">
        <v>464</v>
      </c>
      <c r="C3937">
        <f>'0376 page 464'!E374</f>
        <v>26000000</v>
      </c>
      <c r="D3937">
        <f>'0376 page 464'!F374</f>
        <v>560</v>
      </c>
      <c r="E3937">
        <f>'0376 page 464'!G374</f>
        <v>124.84394506866417</v>
      </c>
    </row>
    <row r="3938" spans="1:5" x14ac:dyDescent="0.35">
      <c r="A3938">
        <v>376</v>
      </c>
      <c r="B3938">
        <v>464</v>
      </c>
      <c r="C3938">
        <f>'0376 page 464'!E375</f>
        <v>28000000</v>
      </c>
      <c r="D3938">
        <f>'0376 page 464'!F375</f>
        <v>310</v>
      </c>
      <c r="E3938">
        <f>'0376 page 464'!G375</f>
        <v>609.7560975609756</v>
      </c>
    </row>
    <row r="3939" spans="1:5" x14ac:dyDescent="0.35">
      <c r="A3939">
        <v>376</v>
      </c>
      <c r="B3939">
        <v>464</v>
      </c>
      <c r="C3939">
        <f>'0376 page 464'!E376</f>
        <v>28000000</v>
      </c>
      <c r="D3939">
        <f>'0376 page 464'!F376</f>
        <v>320</v>
      </c>
      <c r="E3939">
        <f>'0376 page 464'!G376</f>
        <v>598.80239520958094</v>
      </c>
    </row>
    <row r="3940" spans="1:5" x14ac:dyDescent="0.35">
      <c r="A3940">
        <v>376</v>
      </c>
      <c r="B3940">
        <v>464</v>
      </c>
      <c r="C3940">
        <f>'0376 page 464'!E377</f>
        <v>28000000</v>
      </c>
      <c r="D3940">
        <f>'0376 page 464'!F377</f>
        <v>330</v>
      </c>
      <c r="E3940">
        <f>'0376 page 464'!G377</f>
        <v>584.79532163742692</v>
      </c>
    </row>
    <row r="3941" spans="1:5" x14ac:dyDescent="0.35">
      <c r="A3941">
        <v>376</v>
      </c>
      <c r="B3941">
        <v>464</v>
      </c>
      <c r="C3941">
        <f>'0376 page 464'!E378</f>
        <v>28000000</v>
      </c>
      <c r="D3941">
        <f>'0376 page 464'!F378</f>
        <v>340</v>
      </c>
      <c r="E3941">
        <f>'0376 page 464'!G378</f>
        <v>571.42857142857133</v>
      </c>
    </row>
    <row r="3942" spans="1:5" x14ac:dyDescent="0.35">
      <c r="A3942">
        <v>376</v>
      </c>
      <c r="B3942">
        <v>464</v>
      </c>
      <c r="C3942">
        <f>'0376 page 464'!E379</f>
        <v>28000000</v>
      </c>
      <c r="D3942">
        <f>'0376 page 464'!F379</f>
        <v>350</v>
      </c>
      <c r="E3942">
        <f>'0376 page 464'!G379</f>
        <v>555.55555555555554</v>
      </c>
    </row>
    <row r="3943" spans="1:5" x14ac:dyDescent="0.35">
      <c r="A3943">
        <v>376</v>
      </c>
      <c r="B3943">
        <v>464</v>
      </c>
      <c r="C3943">
        <f>'0376 page 464'!E380</f>
        <v>28000000</v>
      </c>
      <c r="D3943">
        <f>'0376 page 464'!F380</f>
        <v>360</v>
      </c>
      <c r="E3943">
        <f>'0376 page 464'!G380</f>
        <v>540.54054054054041</v>
      </c>
    </row>
    <row r="3944" spans="1:5" x14ac:dyDescent="0.35">
      <c r="A3944">
        <v>376</v>
      </c>
      <c r="B3944">
        <v>464</v>
      </c>
      <c r="C3944">
        <f>'0376 page 464'!E381</f>
        <v>28000000</v>
      </c>
      <c r="D3944">
        <f>'0376 page 464'!F381</f>
        <v>370</v>
      </c>
      <c r="E3944">
        <f>'0376 page 464'!G381</f>
        <v>523.56020942408384</v>
      </c>
    </row>
    <row r="3945" spans="1:5" x14ac:dyDescent="0.35">
      <c r="A3945">
        <v>376</v>
      </c>
      <c r="B3945">
        <v>464</v>
      </c>
      <c r="C3945">
        <f>'0376 page 464'!E382</f>
        <v>28000000</v>
      </c>
      <c r="D3945">
        <f>'0376 page 464'!F382</f>
        <v>380</v>
      </c>
      <c r="E3945">
        <f>'0376 page 464'!G382</f>
        <v>505.05050505050502</v>
      </c>
    </row>
    <row r="3946" spans="1:5" x14ac:dyDescent="0.35">
      <c r="A3946">
        <v>376</v>
      </c>
      <c r="B3946">
        <v>464</v>
      </c>
      <c r="C3946">
        <f>'0376 page 464'!E383</f>
        <v>28000000</v>
      </c>
      <c r="D3946">
        <f>'0376 page 464'!F383</f>
        <v>390</v>
      </c>
      <c r="E3946">
        <f>'0376 page 464'!G383</f>
        <v>487.80487804878055</v>
      </c>
    </row>
    <row r="3947" spans="1:5" x14ac:dyDescent="0.35">
      <c r="A3947">
        <v>376</v>
      </c>
      <c r="B3947">
        <v>464</v>
      </c>
      <c r="C3947">
        <f>'0376 page 464'!E384</f>
        <v>28000000</v>
      </c>
      <c r="D3947">
        <f>'0376 page 464'!F384</f>
        <v>400</v>
      </c>
      <c r="E3947">
        <f>'0376 page 464'!G384</f>
        <v>467.28971962616822</v>
      </c>
    </row>
    <row r="3948" spans="1:5" x14ac:dyDescent="0.35">
      <c r="A3948">
        <v>376</v>
      </c>
      <c r="B3948">
        <v>464</v>
      </c>
      <c r="C3948">
        <f>'0376 page 464'!E385</f>
        <v>28000000</v>
      </c>
      <c r="D3948">
        <f>'0376 page 464'!F385</f>
        <v>420</v>
      </c>
      <c r="E3948">
        <f>'0376 page 464'!G385</f>
        <v>420.1680672268908</v>
      </c>
    </row>
    <row r="3949" spans="1:5" x14ac:dyDescent="0.35">
      <c r="A3949">
        <v>376</v>
      </c>
      <c r="B3949">
        <v>464</v>
      </c>
      <c r="C3949">
        <f>'0376 page 464'!E386</f>
        <v>28000000</v>
      </c>
      <c r="D3949">
        <f>'0376 page 464'!F386</f>
        <v>440</v>
      </c>
      <c r="E3949">
        <f>'0376 page 464'!G386</f>
        <v>366.30036630036631</v>
      </c>
    </row>
    <row r="3950" spans="1:5" x14ac:dyDescent="0.35">
      <c r="A3950">
        <v>376</v>
      </c>
      <c r="B3950">
        <v>464</v>
      </c>
      <c r="C3950">
        <f>'0376 page 464'!E387</f>
        <v>28000000</v>
      </c>
      <c r="D3950">
        <f>'0376 page 464'!F387</f>
        <v>460</v>
      </c>
      <c r="E3950">
        <f>'0376 page 464'!G387</f>
        <v>301.20481927710847</v>
      </c>
    </row>
    <row r="3951" spans="1:5" x14ac:dyDescent="0.35">
      <c r="A3951">
        <v>376</v>
      </c>
      <c r="B3951">
        <v>464</v>
      </c>
      <c r="C3951">
        <f>'0376 page 464'!E388</f>
        <v>28000000</v>
      </c>
      <c r="D3951">
        <f>'0376 page 464'!F388</f>
        <v>480</v>
      </c>
      <c r="E3951">
        <f>'0376 page 464'!G388</f>
        <v>242.71844660194176</v>
      </c>
    </row>
    <row r="3952" spans="1:5" x14ac:dyDescent="0.35">
      <c r="A3952">
        <v>376</v>
      </c>
      <c r="B3952">
        <v>464</v>
      </c>
      <c r="C3952">
        <f>'0376 page 464'!E389</f>
        <v>28000000</v>
      </c>
      <c r="D3952">
        <f>'0376 page 464'!F389</f>
        <v>500</v>
      </c>
      <c r="E3952">
        <f>'0376 page 464'!G389</f>
        <v>200</v>
      </c>
    </row>
    <row r="3953" spans="1:5" x14ac:dyDescent="0.35">
      <c r="A3953">
        <v>376</v>
      </c>
      <c r="B3953">
        <v>464</v>
      </c>
      <c r="C3953">
        <f>'0376 page 464'!E390</f>
        <v>28000000</v>
      </c>
      <c r="D3953">
        <f>'0376 page 464'!F390</f>
        <v>520</v>
      </c>
      <c r="E3953">
        <f>'0376 page 464'!G390</f>
        <v>171.82130584192441</v>
      </c>
    </row>
    <row r="3954" spans="1:5" x14ac:dyDescent="0.35">
      <c r="A3954">
        <v>376</v>
      </c>
      <c r="B3954">
        <v>464</v>
      </c>
      <c r="C3954">
        <f>'0376 page 464'!E391</f>
        <v>28000000</v>
      </c>
      <c r="D3954">
        <f>'0376 page 464'!F391</f>
        <v>540</v>
      </c>
      <c r="E3954">
        <f>'0376 page 464'!G391</f>
        <v>151.5151515151515</v>
      </c>
    </row>
    <row r="3955" spans="1:5" x14ac:dyDescent="0.35">
      <c r="A3955">
        <v>376</v>
      </c>
      <c r="B3955">
        <v>464</v>
      </c>
      <c r="C3955">
        <f>'0376 page 464'!E392</f>
        <v>28000000</v>
      </c>
      <c r="D3955">
        <f>'0376 page 464'!F392</f>
        <v>560</v>
      </c>
      <c r="E3955">
        <f>'0376 page 464'!G392</f>
        <v>136.79890560875512</v>
      </c>
    </row>
    <row r="3956" spans="1:5" x14ac:dyDescent="0.35">
      <c r="A3956">
        <v>376</v>
      </c>
      <c r="B3956">
        <v>464</v>
      </c>
      <c r="C3956">
        <f>'0376 page 464'!E393</f>
        <v>30000000</v>
      </c>
      <c r="D3956">
        <f>'0376 page 464'!F393</f>
        <v>310</v>
      </c>
      <c r="E3956">
        <f>'0376 page 464'!G393</f>
        <v>613.49693251533745</v>
      </c>
    </row>
    <row r="3957" spans="1:5" x14ac:dyDescent="0.35">
      <c r="A3957">
        <v>376</v>
      </c>
      <c r="B3957">
        <v>464</v>
      </c>
      <c r="C3957">
        <f>'0376 page 464'!E394</f>
        <v>30000000</v>
      </c>
      <c r="D3957">
        <f>'0376 page 464'!F394</f>
        <v>320</v>
      </c>
      <c r="E3957">
        <f>'0376 page 464'!G394</f>
        <v>598.80239520958094</v>
      </c>
    </row>
    <row r="3958" spans="1:5" x14ac:dyDescent="0.35">
      <c r="A3958">
        <v>376</v>
      </c>
      <c r="B3958">
        <v>464</v>
      </c>
      <c r="C3958">
        <f>'0376 page 464'!E395</f>
        <v>30000000</v>
      </c>
      <c r="D3958">
        <f>'0376 page 464'!F395</f>
        <v>330</v>
      </c>
      <c r="E3958">
        <f>'0376 page 464'!G395</f>
        <v>588.23529411764707</v>
      </c>
    </row>
    <row r="3959" spans="1:5" x14ac:dyDescent="0.35">
      <c r="A3959">
        <v>376</v>
      </c>
      <c r="B3959">
        <v>464</v>
      </c>
      <c r="C3959">
        <f>'0376 page 464'!E396</f>
        <v>30000000</v>
      </c>
      <c r="D3959">
        <f>'0376 page 464'!F396</f>
        <v>340</v>
      </c>
      <c r="E3959">
        <f>'0376 page 464'!G396</f>
        <v>574.71264367816093</v>
      </c>
    </row>
    <row r="3960" spans="1:5" x14ac:dyDescent="0.35">
      <c r="A3960">
        <v>376</v>
      </c>
      <c r="B3960">
        <v>464</v>
      </c>
      <c r="C3960">
        <f>'0376 page 464'!E397</f>
        <v>30000000</v>
      </c>
      <c r="D3960">
        <f>'0376 page 464'!F397</f>
        <v>350</v>
      </c>
      <c r="E3960">
        <f>'0376 page 464'!G397</f>
        <v>558.65921787709487</v>
      </c>
    </row>
    <row r="3961" spans="1:5" x14ac:dyDescent="0.35">
      <c r="A3961">
        <v>376</v>
      </c>
      <c r="B3961">
        <v>464</v>
      </c>
      <c r="C3961">
        <f>'0376 page 464'!E398</f>
        <v>30000000</v>
      </c>
      <c r="D3961">
        <f>'0376 page 464'!F398</f>
        <v>360</v>
      </c>
      <c r="E3961">
        <f>'0376 page 464'!G398</f>
        <v>543.47826086956525</v>
      </c>
    </row>
    <row r="3962" spans="1:5" x14ac:dyDescent="0.35">
      <c r="A3962">
        <v>376</v>
      </c>
      <c r="B3962">
        <v>464</v>
      </c>
      <c r="C3962">
        <f>'0376 page 464'!E399</f>
        <v>30000000</v>
      </c>
      <c r="D3962">
        <f>'0376 page 464'!F399</f>
        <v>370</v>
      </c>
      <c r="E3962">
        <f>'0376 page 464'!G399</f>
        <v>526.31578947368416</v>
      </c>
    </row>
    <row r="3963" spans="1:5" x14ac:dyDescent="0.35">
      <c r="A3963">
        <v>376</v>
      </c>
      <c r="B3963">
        <v>464</v>
      </c>
      <c r="C3963">
        <f>'0376 page 464'!E400</f>
        <v>30000000</v>
      </c>
      <c r="D3963">
        <f>'0376 page 464'!F400</f>
        <v>380</v>
      </c>
      <c r="E3963">
        <f>'0376 page 464'!G400</f>
        <v>510.20408163265313</v>
      </c>
    </row>
    <row r="3964" spans="1:5" x14ac:dyDescent="0.35">
      <c r="A3964">
        <v>376</v>
      </c>
      <c r="B3964">
        <v>464</v>
      </c>
      <c r="C3964">
        <f>'0376 page 464'!E401</f>
        <v>30000000</v>
      </c>
      <c r="D3964">
        <f>'0376 page 464'!F401</f>
        <v>390</v>
      </c>
      <c r="E3964">
        <f>'0376 page 464'!G401</f>
        <v>490.19607843137254</v>
      </c>
    </row>
    <row r="3965" spans="1:5" x14ac:dyDescent="0.35">
      <c r="A3965">
        <v>376</v>
      </c>
      <c r="B3965">
        <v>464</v>
      </c>
      <c r="C3965">
        <f>'0376 page 464'!E402</f>
        <v>30000000</v>
      </c>
      <c r="D3965">
        <f>'0376 page 464'!F402</f>
        <v>400</v>
      </c>
      <c r="E3965">
        <f>'0376 page 464'!G402</f>
        <v>471.69811320754712</v>
      </c>
    </row>
    <row r="3966" spans="1:5" x14ac:dyDescent="0.35">
      <c r="A3966">
        <v>376</v>
      </c>
      <c r="B3966">
        <v>464</v>
      </c>
      <c r="C3966">
        <f>'0376 page 464'!E403</f>
        <v>30000000</v>
      </c>
      <c r="D3966">
        <f>'0376 page 464'!F403</f>
        <v>420</v>
      </c>
      <c r="E3966">
        <f>'0376 page 464'!G403</f>
        <v>427.35042735042742</v>
      </c>
    </row>
    <row r="3967" spans="1:5" x14ac:dyDescent="0.35">
      <c r="A3967">
        <v>376</v>
      </c>
      <c r="B3967">
        <v>464</v>
      </c>
      <c r="C3967">
        <f>'0376 page 464'!E404</f>
        <v>30000000</v>
      </c>
      <c r="D3967">
        <f>'0376 page 464'!F404</f>
        <v>440</v>
      </c>
      <c r="E3967">
        <f>'0376 page 464'!G404</f>
        <v>380.22813688212932</v>
      </c>
    </row>
    <row r="3968" spans="1:5" x14ac:dyDescent="0.35">
      <c r="A3968">
        <v>376</v>
      </c>
      <c r="B3968">
        <v>464</v>
      </c>
      <c r="C3968">
        <f>'0376 page 464'!E405</f>
        <v>30000000</v>
      </c>
      <c r="D3968">
        <f>'0376 page 464'!F405</f>
        <v>460</v>
      </c>
      <c r="E3968">
        <f>'0376 page 464'!G405</f>
        <v>320.5128205128205</v>
      </c>
    </row>
    <row r="3969" spans="1:5" x14ac:dyDescent="0.35">
      <c r="A3969">
        <v>376</v>
      </c>
      <c r="B3969">
        <v>464</v>
      </c>
      <c r="C3969">
        <f>'0376 page 464'!E406</f>
        <v>30000000</v>
      </c>
      <c r="D3969">
        <f>'0376 page 464'!F406</f>
        <v>480</v>
      </c>
      <c r="E3969">
        <f>'0376 page 464'!G406</f>
        <v>263.15789473684208</v>
      </c>
    </row>
    <row r="3970" spans="1:5" x14ac:dyDescent="0.35">
      <c r="A3970">
        <v>376</v>
      </c>
      <c r="B3970">
        <v>464</v>
      </c>
      <c r="C3970">
        <f>'0376 page 464'!E407</f>
        <v>30000000</v>
      </c>
      <c r="D3970">
        <f>'0376 page 464'!F407</f>
        <v>500</v>
      </c>
      <c r="E3970">
        <f>'0376 page 464'!G407</f>
        <v>219.29824561403512</v>
      </c>
    </row>
    <row r="3971" spans="1:5" x14ac:dyDescent="0.35">
      <c r="A3971">
        <v>376</v>
      </c>
      <c r="B3971">
        <v>464</v>
      </c>
      <c r="C3971">
        <f>'0376 page 464'!E408</f>
        <v>30000000</v>
      </c>
      <c r="D3971">
        <f>'0376 page 464'!F408</f>
        <v>520</v>
      </c>
      <c r="E3971">
        <f>'0376 page 464'!G408</f>
        <v>188.32391713747649</v>
      </c>
    </row>
    <row r="3972" spans="1:5" x14ac:dyDescent="0.35">
      <c r="A3972">
        <v>376</v>
      </c>
      <c r="B3972">
        <v>464</v>
      </c>
      <c r="C3972">
        <f>'0376 page 464'!E409</f>
        <v>30000000</v>
      </c>
      <c r="D3972">
        <f>'0376 page 464'!F409</f>
        <v>540</v>
      </c>
      <c r="E3972">
        <f>'0376 page 464'!G409</f>
        <v>165.56291390728481</v>
      </c>
    </row>
    <row r="3973" spans="1:5" x14ac:dyDescent="0.35">
      <c r="A3973">
        <v>376</v>
      </c>
      <c r="B3973">
        <v>464</v>
      </c>
      <c r="C3973">
        <f>'0376 page 464'!E410</f>
        <v>30000000</v>
      </c>
      <c r="D3973">
        <f>'0376 page 464'!F410</f>
        <v>560</v>
      </c>
      <c r="E3973">
        <f>'0376 page 464'!G410</f>
        <v>148.80952380952382</v>
      </c>
    </row>
    <row r="3974" spans="1:5" x14ac:dyDescent="0.35">
      <c r="A3974">
        <v>376</v>
      </c>
      <c r="B3974">
        <v>464</v>
      </c>
      <c r="C3974">
        <f>'0376 page 464'!E411</f>
        <v>32000000</v>
      </c>
      <c r="D3974">
        <f>'0376 page 464'!F411</f>
        <v>310</v>
      </c>
      <c r="E3974">
        <f>'0376 page 464'!G411</f>
        <v>613.49693251533745</v>
      </c>
    </row>
    <row r="3975" spans="1:5" x14ac:dyDescent="0.35">
      <c r="A3975">
        <v>376</v>
      </c>
      <c r="B3975">
        <v>464</v>
      </c>
      <c r="C3975">
        <f>'0376 page 464'!E412</f>
        <v>32000000</v>
      </c>
      <c r="D3975">
        <f>'0376 page 464'!F412</f>
        <v>320</v>
      </c>
      <c r="E3975">
        <f>'0376 page 464'!G412</f>
        <v>602.40963855421694</v>
      </c>
    </row>
    <row r="3976" spans="1:5" x14ac:dyDescent="0.35">
      <c r="A3976">
        <v>376</v>
      </c>
      <c r="B3976">
        <v>464</v>
      </c>
      <c r="C3976">
        <f>'0376 page 464'!E413</f>
        <v>32000000</v>
      </c>
      <c r="D3976">
        <f>'0376 page 464'!F413</f>
        <v>330</v>
      </c>
      <c r="E3976">
        <f>'0376 page 464'!G413</f>
        <v>588.23529411764707</v>
      </c>
    </row>
    <row r="3977" spans="1:5" x14ac:dyDescent="0.35">
      <c r="A3977">
        <v>376</v>
      </c>
      <c r="B3977">
        <v>464</v>
      </c>
      <c r="C3977">
        <f>'0376 page 464'!E414</f>
        <v>32000000</v>
      </c>
      <c r="D3977">
        <f>'0376 page 464'!F414</f>
        <v>340</v>
      </c>
      <c r="E3977">
        <f>'0376 page 464'!G414</f>
        <v>574.71264367816093</v>
      </c>
    </row>
    <row r="3978" spans="1:5" x14ac:dyDescent="0.35">
      <c r="A3978">
        <v>376</v>
      </c>
      <c r="B3978">
        <v>464</v>
      </c>
      <c r="C3978">
        <f>'0376 page 464'!E415</f>
        <v>32000000</v>
      </c>
      <c r="D3978">
        <f>'0376 page 464'!F415</f>
        <v>350</v>
      </c>
      <c r="E3978">
        <f>'0376 page 464'!G415</f>
        <v>561.79775280898878</v>
      </c>
    </row>
    <row r="3979" spans="1:5" x14ac:dyDescent="0.35">
      <c r="A3979">
        <v>376</v>
      </c>
      <c r="B3979">
        <v>464</v>
      </c>
      <c r="C3979">
        <f>'0376 page 464'!E416</f>
        <v>32000000</v>
      </c>
      <c r="D3979">
        <f>'0376 page 464'!F416</f>
        <v>360</v>
      </c>
      <c r="E3979">
        <f>'0376 page 464'!G416</f>
        <v>546.44808743169403</v>
      </c>
    </row>
    <row r="3980" spans="1:5" x14ac:dyDescent="0.35">
      <c r="A3980">
        <v>376</v>
      </c>
      <c r="B3980">
        <v>464</v>
      </c>
      <c r="C3980">
        <f>'0376 page 464'!E417</f>
        <v>32000000</v>
      </c>
      <c r="D3980">
        <f>'0376 page 464'!F417</f>
        <v>370</v>
      </c>
      <c r="E3980">
        <f>'0376 page 464'!G417</f>
        <v>531.91489361702133</v>
      </c>
    </row>
    <row r="3981" spans="1:5" x14ac:dyDescent="0.35">
      <c r="A3981">
        <v>376</v>
      </c>
      <c r="B3981">
        <v>464</v>
      </c>
      <c r="C3981">
        <f>'0376 page 464'!E418</f>
        <v>32000000</v>
      </c>
      <c r="D3981">
        <f>'0376 page 464'!F418</f>
        <v>380</v>
      </c>
      <c r="E3981">
        <f>'0376 page 464'!G418</f>
        <v>512.82051282051293</v>
      </c>
    </row>
    <row r="3982" spans="1:5" x14ac:dyDescent="0.35">
      <c r="A3982">
        <v>376</v>
      </c>
      <c r="B3982">
        <v>464</v>
      </c>
      <c r="C3982">
        <f>'0376 page 464'!E419</f>
        <v>32000000</v>
      </c>
      <c r="D3982">
        <f>'0376 page 464'!F419</f>
        <v>390</v>
      </c>
      <c r="E3982">
        <f>'0376 page 464'!G419</f>
        <v>495.04950495049508</v>
      </c>
    </row>
    <row r="3983" spans="1:5" x14ac:dyDescent="0.35">
      <c r="A3983">
        <v>376</v>
      </c>
      <c r="B3983">
        <v>464</v>
      </c>
      <c r="C3983">
        <f>'0376 page 464'!E420</f>
        <v>32000000</v>
      </c>
      <c r="D3983">
        <f>'0376 page 464'!F420</f>
        <v>400</v>
      </c>
      <c r="E3983">
        <f>'0376 page 464'!G420</f>
        <v>476.1904761904762</v>
      </c>
    </row>
    <row r="3984" spans="1:5" x14ac:dyDescent="0.35">
      <c r="A3984">
        <v>376</v>
      </c>
      <c r="B3984">
        <v>464</v>
      </c>
      <c r="C3984">
        <f>'0376 page 464'!E421</f>
        <v>32000000</v>
      </c>
      <c r="D3984">
        <f>'0376 page 464'!F421</f>
        <v>420</v>
      </c>
      <c r="E3984">
        <f>'0376 page 464'!G421</f>
        <v>436.68122270742361</v>
      </c>
    </row>
    <row r="3985" spans="1:5" x14ac:dyDescent="0.35">
      <c r="A3985">
        <v>376</v>
      </c>
      <c r="B3985">
        <v>464</v>
      </c>
      <c r="C3985">
        <f>'0376 page 464'!E422</f>
        <v>32000000</v>
      </c>
      <c r="D3985">
        <f>'0376 page 464'!F422</f>
        <v>440</v>
      </c>
      <c r="E3985">
        <f>'0376 page 464'!G422</f>
        <v>392.15686274509807</v>
      </c>
    </row>
    <row r="3986" spans="1:5" x14ac:dyDescent="0.35">
      <c r="A3986">
        <v>376</v>
      </c>
      <c r="B3986">
        <v>464</v>
      </c>
      <c r="C3986">
        <f>'0376 page 464'!E423</f>
        <v>32000000</v>
      </c>
      <c r="D3986">
        <f>'0376 page 464'!F423</f>
        <v>460</v>
      </c>
      <c r="E3986">
        <f>'0376 page 464'!G423</f>
        <v>335.57046979865777</v>
      </c>
    </row>
    <row r="3987" spans="1:5" x14ac:dyDescent="0.35">
      <c r="A3987">
        <v>376</v>
      </c>
      <c r="B3987">
        <v>464</v>
      </c>
      <c r="C3987">
        <f>'0376 page 464'!E424</f>
        <v>32000000</v>
      </c>
      <c r="D3987">
        <f>'0376 page 464'!F424</f>
        <v>480</v>
      </c>
      <c r="E3987">
        <f>'0376 page 464'!G424</f>
        <v>281.69014084507046</v>
      </c>
    </row>
    <row r="3988" spans="1:5" x14ac:dyDescent="0.35">
      <c r="A3988">
        <v>376</v>
      </c>
      <c r="B3988">
        <v>464</v>
      </c>
      <c r="C3988">
        <f>'0376 page 464'!E425</f>
        <v>32000000</v>
      </c>
      <c r="D3988">
        <f>'0376 page 464'!F425</f>
        <v>500</v>
      </c>
      <c r="E3988">
        <f>'0376 page 464'!G425</f>
        <v>236.96682464454977</v>
      </c>
    </row>
    <row r="3989" spans="1:5" x14ac:dyDescent="0.35">
      <c r="A3989">
        <v>376</v>
      </c>
      <c r="B3989">
        <v>464</v>
      </c>
      <c r="C3989">
        <f>'0376 page 464'!E426</f>
        <v>32000000</v>
      </c>
      <c r="D3989">
        <f>'0376 page 464'!F426</f>
        <v>520</v>
      </c>
      <c r="E3989">
        <f>'0376 page 464'!G426</f>
        <v>204.49897750511246</v>
      </c>
    </row>
    <row r="3990" spans="1:5" x14ac:dyDescent="0.35">
      <c r="A3990">
        <v>376</v>
      </c>
      <c r="B3990">
        <v>464</v>
      </c>
      <c r="C3990">
        <f>'0376 page 464'!E427</f>
        <v>32000000</v>
      </c>
      <c r="D3990">
        <f>'0376 page 464'!F427</f>
        <v>540</v>
      </c>
      <c r="E3990">
        <f>'0376 page 464'!G427</f>
        <v>179.53321364452424</v>
      </c>
    </row>
    <row r="3991" spans="1:5" x14ac:dyDescent="0.35">
      <c r="A3991">
        <v>376</v>
      </c>
      <c r="B3991">
        <v>464</v>
      </c>
      <c r="C3991">
        <f>'0376 page 464'!E428</f>
        <v>32000000</v>
      </c>
      <c r="D3991">
        <f>'0376 page 464'!F428</f>
        <v>560</v>
      </c>
      <c r="E3991">
        <f>'0376 page 464'!G428</f>
        <v>160.77170418006432</v>
      </c>
    </row>
    <row r="3992" spans="1:5" x14ac:dyDescent="0.35">
      <c r="A3992">
        <v>376</v>
      </c>
      <c r="B3992">
        <v>464</v>
      </c>
      <c r="C3992">
        <f>'0376 page 464'!E429</f>
        <v>34000000</v>
      </c>
      <c r="D3992">
        <f>'0376 page 464'!F429</f>
        <v>310</v>
      </c>
      <c r="E3992">
        <f>'0376 page 464'!G429</f>
        <v>613.49693251533745</v>
      </c>
    </row>
    <row r="3993" spans="1:5" x14ac:dyDescent="0.35">
      <c r="A3993">
        <v>376</v>
      </c>
      <c r="B3993">
        <v>464</v>
      </c>
      <c r="C3993">
        <f>'0376 page 464'!E430</f>
        <v>34000000</v>
      </c>
      <c r="D3993">
        <f>'0376 page 464'!F430</f>
        <v>320</v>
      </c>
      <c r="E3993">
        <f>'0376 page 464'!G430</f>
        <v>602.40963855421694</v>
      </c>
    </row>
    <row r="3994" spans="1:5" x14ac:dyDescent="0.35">
      <c r="A3994">
        <v>376</v>
      </c>
      <c r="B3994">
        <v>464</v>
      </c>
      <c r="C3994">
        <f>'0376 page 464'!E431</f>
        <v>34000000</v>
      </c>
      <c r="D3994">
        <f>'0376 page 464'!F431</f>
        <v>330</v>
      </c>
      <c r="E3994">
        <f>'0376 page 464'!G431</f>
        <v>591.71597633136093</v>
      </c>
    </row>
    <row r="3995" spans="1:5" x14ac:dyDescent="0.35">
      <c r="A3995">
        <v>376</v>
      </c>
      <c r="B3995">
        <v>464</v>
      </c>
      <c r="C3995">
        <f>'0376 page 464'!E432</f>
        <v>34000000</v>
      </c>
      <c r="D3995">
        <f>'0376 page 464'!F432</f>
        <v>340</v>
      </c>
      <c r="E3995">
        <f>'0376 page 464'!G432</f>
        <v>578.03468208092488</v>
      </c>
    </row>
    <row r="3996" spans="1:5" x14ac:dyDescent="0.35">
      <c r="A3996">
        <v>376</v>
      </c>
      <c r="B3996">
        <v>464</v>
      </c>
      <c r="C3996">
        <f>'0376 page 464'!E433</f>
        <v>34000000</v>
      </c>
      <c r="D3996">
        <f>'0376 page 464'!F433</f>
        <v>350</v>
      </c>
      <c r="E3996">
        <f>'0376 page 464'!G433</f>
        <v>564.9717514124294</v>
      </c>
    </row>
    <row r="3997" spans="1:5" x14ac:dyDescent="0.35">
      <c r="A3997">
        <v>376</v>
      </c>
      <c r="B3997">
        <v>464</v>
      </c>
      <c r="C3997">
        <f>'0376 page 464'!E434</f>
        <v>34000000</v>
      </c>
      <c r="D3997">
        <f>'0376 page 464'!F434</f>
        <v>360</v>
      </c>
      <c r="E3997">
        <f>'0376 page 464'!G434</f>
        <v>549.45054945054949</v>
      </c>
    </row>
    <row r="3998" spans="1:5" x14ac:dyDescent="0.35">
      <c r="A3998">
        <v>376</v>
      </c>
      <c r="B3998">
        <v>464</v>
      </c>
      <c r="C3998">
        <f>'0376 page 464'!E435</f>
        <v>34000000</v>
      </c>
      <c r="D3998">
        <f>'0376 page 464'!F435</f>
        <v>370</v>
      </c>
      <c r="E3998">
        <f>'0376 page 464'!G435</f>
        <v>534.75935828876993</v>
      </c>
    </row>
    <row r="3999" spans="1:5" x14ac:dyDescent="0.35">
      <c r="A3999">
        <v>376</v>
      </c>
      <c r="B3999">
        <v>464</v>
      </c>
      <c r="C3999">
        <f>'0376 page 464'!E436</f>
        <v>34000000</v>
      </c>
      <c r="D3999">
        <f>'0376 page 464'!F436</f>
        <v>380</v>
      </c>
      <c r="E3999">
        <f>'0376 page 464'!G436</f>
        <v>515.46391752577335</v>
      </c>
    </row>
    <row r="4000" spans="1:5" x14ac:dyDescent="0.35">
      <c r="A4000">
        <v>376</v>
      </c>
      <c r="B4000">
        <v>464</v>
      </c>
      <c r="C4000">
        <f>'0376 page 464'!E437</f>
        <v>34000000</v>
      </c>
      <c r="D4000">
        <f>'0376 page 464'!F437</f>
        <v>390</v>
      </c>
      <c r="E4000">
        <f>'0376 page 464'!G437</f>
        <v>497.51243781094536</v>
      </c>
    </row>
    <row r="4001" spans="1:5" x14ac:dyDescent="0.35">
      <c r="A4001">
        <v>376</v>
      </c>
      <c r="B4001">
        <v>464</v>
      </c>
      <c r="C4001">
        <f>'0376 page 464'!E438</f>
        <v>34000000</v>
      </c>
      <c r="D4001">
        <f>'0376 page 464'!F438</f>
        <v>400</v>
      </c>
      <c r="E4001">
        <f>'0376 page 464'!G438</f>
        <v>480.76923076923072</v>
      </c>
    </row>
    <row r="4002" spans="1:5" x14ac:dyDescent="0.35">
      <c r="A4002">
        <v>376</v>
      </c>
      <c r="B4002">
        <v>464</v>
      </c>
      <c r="C4002">
        <f>'0376 page 464'!E439</f>
        <v>34000000</v>
      </c>
      <c r="D4002">
        <f>'0376 page 464'!F439</f>
        <v>420</v>
      </c>
      <c r="E4002">
        <f>'0376 page 464'!G439</f>
        <v>442.47787610619474</v>
      </c>
    </row>
    <row r="4003" spans="1:5" x14ac:dyDescent="0.35">
      <c r="A4003">
        <v>376</v>
      </c>
      <c r="B4003">
        <v>464</v>
      </c>
      <c r="C4003">
        <f>'0376 page 464'!E440</f>
        <v>34000000</v>
      </c>
      <c r="D4003">
        <f>'0376 page 464'!F440</f>
        <v>440</v>
      </c>
      <c r="E4003">
        <f>'0376 page 464'!G440</f>
        <v>400</v>
      </c>
    </row>
    <row r="4004" spans="1:5" x14ac:dyDescent="0.35">
      <c r="A4004">
        <v>376</v>
      </c>
      <c r="B4004">
        <v>464</v>
      </c>
      <c r="C4004">
        <f>'0376 page 464'!E441</f>
        <v>34000000</v>
      </c>
      <c r="D4004">
        <f>'0376 page 464'!F441</f>
        <v>460</v>
      </c>
      <c r="E4004">
        <f>'0376 page 464'!G441</f>
        <v>349.65034965034971</v>
      </c>
    </row>
    <row r="4005" spans="1:5" x14ac:dyDescent="0.35">
      <c r="A4005">
        <v>376</v>
      </c>
      <c r="B4005">
        <v>464</v>
      </c>
      <c r="C4005">
        <f>'0376 page 464'!E442</f>
        <v>34000000</v>
      </c>
      <c r="D4005">
        <f>'0376 page 464'!F442</f>
        <v>480</v>
      </c>
      <c r="E4005">
        <f>'0376 page 464'!G442</f>
        <v>298.50746268656718</v>
      </c>
    </row>
    <row r="4006" spans="1:5" x14ac:dyDescent="0.35">
      <c r="A4006">
        <v>376</v>
      </c>
      <c r="B4006">
        <v>464</v>
      </c>
      <c r="C4006">
        <f>'0376 page 464'!E443</f>
        <v>34000000</v>
      </c>
      <c r="D4006">
        <f>'0376 page 464'!F443</f>
        <v>500</v>
      </c>
      <c r="E4006">
        <f>'0376 page 464'!G443</f>
        <v>253.16455696202527</v>
      </c>
    </row>
    <row r="4007" spans="1:5" x14ac:dyDescent="0.35">
      <c r="A4007">
        <v>376</v>
      </c>
      <c r="B4007">
        <v>464</v>
      </c>
      <c r="C4007">
        <f>'0376 page 464'!E444</f>
        <v>34000000</v>
      </c>
      <c r="D4007">
        <f>'0376 page 464'!F444</f>
        <v>520</v>
      </c>
      <c r="E4007">
        <f>'0376 page 464'!G444</f>
        <v>219.78021978021977</v>
      </c>
    </row>
    <row r="4008" spans="1:5" x14ac:dyDescent="0.35">
      <c r="A4008">
        <v>376</v>
      </c>
      <c r="B4008">
        <v>464</v>
      </c>
      <c r="C4008">
        <f>'0376 page 464'!E445</f>
        <v>34000000</v>
      </c>
      <c r="D4008">
        <f>'0376 page 464'!F445</f>
        <v>540</v>
      </c>
      <c r="E4008">
        <f>'0376 page 464'!G445</f>
        <v>193.05019305019306</v>
      </c>
    </row>
    <row r="4009" spans="1:5" x14ac:dyDescent="0.35">
      <c r="A4009">
        <v>376</v>
      </c>
      <c r="B4009">
        <v>464</v>
      </c>
      <c r="C4009">
        <f>'0376 page 464'!E446</f>
        <v>34000000</v>
      </c>
      <c r="D4009">
        <f>'0376 page 464'!F446</f>
        <v>560</v>
      </c>
      <c r="E4009">
        <f>'0376 page 464'!G446</f>
        <v>173.01038062283737</v>
      </c>
    </row>
    <row r="4010" spans="1:5" x14ac:dyDescent="0.35">
      <c r="A4010">
        <v>376</v>
      </c>
      <c r="B4010">
        <v>464</v>
      </c>
      <c r="C4010">
        <f>'0376 page 464'!E447</f>
        <v>36000000</v>
      </c>
      <c r="D4010">
        <f>'0376 page 464'!F447</f>
        <v>310</v>
      </c>
      <c r="E4010">
        <f>'0376 page 464'!G447</f>
        <v>617.28395061728395</v>
      </c>
    </row>
    <row r="4011" spans="1:5" x14ac:dyDescent="0.35">
      <c r="A4011">
        <v>376</v>
      </c>
      <c r="B4011">
        <v>464</v>
      </c>
      <c r="C4011">
        <f>'0376 page 464'!E448</f>
        <v>36000000</v>
      </c>
      <c r="D4011">
        <f>'0376 page 464'!F448</f>
        <v>320</v>
      </c>
      <c r="E4011">
        <f>'0376 page 464'!G448</f>
        <v>606.06060606060601</v>
      </c>
    </row>
    <row r="4012" spans="1:5" x14ac:dyDescent="0.35">
      <c r="A4012">
        <v>376</v>
      </c>
      <c r="B4012">
        <v>464</v>
      </c>
      <c r="C4012">
        <f>'0376 page 464'!E449</f>
        <v>36000000</v>
      </c>
      <c r="D4012">
        <f>'0376 page 464'!F449</f>
        <v>330</v>
      </c>
      <c r="E4012">
        <f>'0376 page 464'!G449</f>
        <v>595.2380952380953</v>
      </c>
    </row>
    <row r="4013" spans="1:5" x14ac:dyDescent="0.35">
      <c r="A4013">
        <v>376</v>
      </c>
      <c r="B4013">
        <v>464</v>
      </c>
      <c r="C4013">
        <f>'0376 page 464'!E450</f>
        <v>36000000</v>
      </c>
      <c r="D4013">
        <f>'0376 page 464'!F450</f>
        <v>340</v>
      </c>
      <c r="E4013">
        <f>'0376 page 464'!G450</f>
        <v>578.03468208092488</v>
      </c>
    </row>
    <row r="4014" spans="1:5" x14ac:dyDescent="0.35">
      <c r="A4014">
        <v>376</v>
      </c>
      <c r="B4014">
        <v>464</v>
      </c>
      <c r="C4014">
        <f>'0376 page 464'!E451</f>
        <v>36000000</v>
      </c>
      <c r="D4014">
        <f>'0376 page 464'!F451</f>
        <v>350</v>
      </c>
      <c r="E4014">
        <f>'0376 page 464'!G451</f>
        <v>564.9717514124294</v>
      </c>
    </row>
    <row r="4015" spans="1:5" x14ac:dyDescent="0.35">
      <c r="A4015">
        <v>376</v>
      </c>
      <c r="B4015">
        <v>464</v>
      </c>
      <c r="C4015">
        <f>'0376 page 464'!E452</f>
        <v>36000000</v>
      </c>
      <c r="D4015">
        <f>'0376 page 464'!F452</f>
        <v>360</v>
      </c>
      <c r="E4015">
        <f>'0376 page 464'!G452</f>
        <v>552.4861878453039</v>
      </c>
    </row>
    <row r="4016" spans="1:5" x14ac:dyDescent="0.35">
      <c r="A4016">
        <v>376</v>
      </c>
      <c r="B4016">
        <v>464</v>
      </c>
      <c r="C4016">
        <f>'0376 page 464'!E453</f>
        <v>36000000</v>
      </c>
      <c r="D4016">
        <f>'0376 page 464'!F453</f>
        <v>370</v>
      </c>
      <c r="E4016">
        <f>'0376 page 464'!G453</f>
        <v>534.75935828876993</v>
      </c>
    </row>
    <row r="4017" spans="1:5" x14ac:dyDescent="0.35">
      <c r="A4017">
        <v>376</v>
      </c>
      <c r="B4017">
        <v>464</v>
      </c>
      <c r="C4017">
        <f>'0376 page 464'!E454</f>
        <v>36000000</v>
      </c>
      <c r="D4017">
        <f>'0376 page 464'!F454</f>
        <v>380</v>
      </c>
      <c r="E4017">
        <f>'0376 page 464'!G454</f>
        <v>520.83333333333348</v>
      </c>
    </row>
    <row r="4018" spans="1:5" x14ac:dyDescent="0.35">
      <c r="A4018">
        <v>376</v>
      </c>
      <c r="B4018">
        <v>464</v>
      </c>
      <c r="C4018">
        <f>'0376 page 464'!E455</f>
        <v>36000000</v>
      </c>
      <c r="D4018">
        <f>'0376 page 464'!F455</f>
        <v>390</v>
      </c>
      <c r="E4018">
        <f>'0376 page 464'!G455</f>
        <v>502.51256281407029</v>
      </c>
    </row>
    <row r="4019" spans="1:5" x14ac:dyDescent="0.35">
      <c r="A4019">
        <v>376</v>
      </c>
      <c r="B4019">
        <v>464</v>
      </c>
      <c r="C4019">
        <f>'0376 page 464'!E456</f>
        <v>36000000</v>
      </c>
      <c r="D4019">
        <f>'0376 page 464'!F456</f>
        <v>400</v>
      </c>
      <c r="E4019">
        <f>'0376 page 464'!G456</f>
        <v>483.09178743961354</v>
      </c>
    </row>
    <row r="4020" spans="1:5" x14ac:dyDescent="0.35">
      <c r="A4020">
        <v>376</v>
      </c>
      <c r="B4020">
        <v>464</v>
      </c>
      <c r="C4020">
        <f>'0376 page 464'!E457</f>
        <v>36000000</v>
      </c>
      <c r="D4020">
        <f>'0376 page 464'!F457</f>
        <v>420</v>
      </c>
      <c r="E4020">
        <f>'0376 page 464'!G457</f>
        <v>446.42857142857139</v>
      </c>
    </row>
    <row r="4021" spans="1:5" x14ac:dyDescent="0.35">
      <c r="A4021">
        <v>376</v>
      </c>
      <c r="B4021">
        <v>464</v>
      </c>
      <c r="C4021">
        <f>'0376 page 464'!E458</f>
        <v>36000000</v>
      </c>
      <c r="D4021">
        <f>'0376 page 464'!F458</f>
        <v>440</v>
      </c>
      <c r="E4021">
        <f>'0376 page 464'!G458</f>
        <v>408.16326530612241</v>
      </c>
    </row>
    <row r="4022" spans="1:5" x14ac:dyDescent="0.35">
      <c r="A4022">
        <v>376</v>
      </c>
      <c r="B4022">
        <v>464</v>
      </c>
      <c r="C4022">
        <f>'0376 page 464'!E459</f>
        <v>36000000</v>
      </c>
      <c r="D4022">
        <f>'0376 page 464'!F459</f>
        <v>460</v>
      </c>
      <c r="E4022">
        <f>'0376 page 464'!G459</f>
        <v>362.31884057971018</v>
      </c>
    </row>
    <row r="4023" spans="1:5" x14ac:dyDescent="0.35">
      <c r="A4023">
        <v>376</v>
      </c>
      <c r="B4023">
        <v>464</v>
      </c>
      <c r="C4023">
        <f>'0376 page 464'!E460</f>
        <v>36000000</v>
      </c>
      <c r="D4023">
        <f>'0376 page 464'!F460</f>
        <v>480</v>
      </c>
      <c r="E4023">
        <f>'0376 page 464'!G460</f>
        <v>313.47962382445144</v>
      </c>
    </row>
    <row r="4024" spans="1:5" x14ac:dyDescent="0.35">
      <c r="A4024">
        <v>376</v>
      </c>
      <c r="B4024">
        <v>464</v>
      </c>
      <c r="C4024">
        <f>'0376 page 464'!E461</f>
        <v>36000000</v>
      </c>
      <c r="D4024">
        <f>'0376 page 464'!F461</f>
        <v>500</v>
      </c>
      <c r="E4024">
        <f>'0376 page 464'!G461</f>
        <v>268.81720430107526</v>
      </c>
    </row>
    <row r="4025" spans="1:5" x14ac:dyDescent="0.35">
      <c r="A4025">
        <v>376</v>
      </c>
      <c r="B4025">
        <v>464</v>
      </c>
      <c r="C4025">
        <f>'0376 page 464'!E462</f>
        <v>36000000</v>
      </c>
      <c r="D4025">
        <f>'0376 page 464'!F462</f>
        <v>520</v>
      </c>
      <c r="E4025">
        <f>'0376 page 464'!G462</f>
        <v>234.19203747072604</v>
      </c>
    </row>
    <row r="4026" spans="1:5" x14ac:dyDescent="0.35">
      <c r="A4026">
        <v>376</v>
      </c>
      <c r="B4026">
        <v>464</v>
      </c>
      <c r="C4026">
        <f>'0376 page 464'!E463</f>
        <v>36000000</v>
      </c>
      <c r="D4026">
        <f>'0376 page 464'!F463</f>
        <v>540</v>
      </c>
      <c r="E4026">
        <f>'0376 page 464'!G463</f>
        <v>207.46887966804979</v>
      </c>
    </row>
    <row r="4027" spans="1:5" x14ac:dyDescent="0.35">
      <c r="A4027">
        <v>376</v>
      </c>
      <c r="B4027">
        <v>464</v>
      </c>
      <c r="C4027">
        <f>'0376 page 464'!E464</f>
        <v>36000000</v>
      </c>
      <c r="D4027">
        <f>'0376 page 464'!F464</f>
        <v>560</v>
      </c>
      <c r="E4027">
        <f>'0376 page 464'!G464</f>
        <v>184.84288354898339</v>
      </c>
    </row>
    <row r="4028" spans="1:5" x14ac:dyDescent="0.35">
      <c r="A4028">
        <v>376</v>
      </c>
      <c r="B4028">
        <v>464</v>
      </c>
      <c r="C4028">
        <f>'0376 page 464'!E465</f>
        <v>38000000</v>
      </c>
      <c r="D4028">
        <f>'0376 page 464'!F465</f>
        <v>310</v>
      </c>
      <c r="E4028">
        <f>'0376 page 464'!G465</f>
        <v>621.11801242236015</v>
      </c>
    </row>
    <row r="4029" spans="1:5" x14ac:dyDescent="0.35">
      <c r="A4029">
        <v>376</v>
      </c>
      <c r="B4029">
        <v>464</v>
      </c>
      <c r="C4029">
        <f>'0376 page 464'!E466</f>
        <v>38000000</v>
      </c>
      <c r="D4029">
        <f>'0376 page 464'!F466</f>
        <v>320</v>
      </c>
      <c r="E4029">
        <f>'0376 page 464'!G466</f>
        <v>609.7560975609756</v>
      </c>
    </row>
    <row r="4030" spans="1:5" x14ac:dyDescent="0.35">
      <c r="A4030">
        <v>376</v>
      </c>
      <c r="B4030">
        <v>464</v>
      </c>
      <c r="C4030">
        <f>'0376 page 464'!E467</f>
        <v>38000000</v>
      </c>
      <c r="D4030">
        <f>'0376 page 464'!F467</f>
        <v>330</v>
      </c>
      <c r="E4030">
        <f>'0376 page 464'!G467</f>
        <v>595.2380952380953</v>
      </c>
    </row>
    <row r="4031" spans="1:5" x14ac:dyDescent="0.35">
      <c r="A4031">
        <v>376</v>
      </c>
      <c r="B4031">
        <v>464</v>
      </c>
      <c r="C4031">
        <f>'0376 page 464'!E468</f>
        <v>38000000</v>
      </c>
      <c r="D4031">
        <f>'0376 page 464'!F468</f>
        <v>340</v>
      </c>
      <c r="E4031">
        <f>'0376 page 464'!G468</f>
        <v>584.79532163742692</v>
      </c>
    </row>
    <row r="4032" spans="1:5" x14ac:dyDescent="0.35">
      <c r="A4032">
        <v>376</v>
      </c>
      <c r="B4032">
        <v>464</v>
      </c>
      <c r="C4032">
        <f>'0376 page 464'!E469</f>
        <v>38000000</v>
      </c>
      <c r="D4032">
        <f>'0376 page 464'!F469</f>
        <v>350</v>
      </c>
      <c r="E4032">
        <f>'0376 page 464'!G469</f>
        <v>568.18181818181824</v>
      </c>
    </row>
    <row r="4033" spans="1:5" x14ac:dyDescent="0.35">
      <c r="A4033">
        <v>376</v>
      </c>
      <c r="B4033">
        <v>464</v>
      </c>
      <c r="C4033">
        <f>'0376 page 464'!E470</f>
        <v>38000000</v>
      </c>
      <c r="D4033">
        <f>'0376 page 464'!F470</f>
        <v>360</v>
      </c>
      <c r="E4033">
        <f>'0376 page 464'!G470</f>
        <v>555.55555555555554</v>
      </c>
    </row>
    <row r="4034" spans="1:5" x14ac:dyDescent="0.35">
      <c r="A4034">
        <v>376</v>
      </c>
      <c r="B4034">
        <v>464</v>
      </c>
      <c r="C4034">
        <f>'0376 page 464'!E471</f>
        <v>38000000</v>
      </c>
      <c r="D4034">
        <f>'0376 page 464'!F471</f>
        <v>370</v>
      </c>
      <c r="E4034">
        <f>'0376 page 464'!G471</f>
        <v>535.9056806002144</v>
      </c>
    </row>
    <row r="4035" spans="1:5" x14ac:dyDescent="0.35">
      <c r="A4035">
        <v>376</v>
      </c>
      <c r="B4035">
        <v>464</v>
      </c>
      <c r="C4035">
        <f>'0376 page 464'!E472</f>
        <v>38000000</v>
      </c>
      <c r="D4035">
        <f>'0376 page 464'!F472</f>
        <v>380</v>
      </c>
      <c r="E4035">
        <f>'0376 page 464'!G472</f>
        <v>523.56020942408384</v>
      </c>
    </row>
    <row r="4036" spans="1:5" x14ac:dyDescent="0.35">
      <c r="A4036">
        <v>376</v>
      </c>
      <c r="B4036">
        <v>464</v>
      </c>
      <c r="C4036">
        <f>'0376 page 464'!E473</f>
        <v>38000000</v>
      </c>
      <c r="D4036">
        <f>'0376 page 464'!F473</f>
        <v>390</v>
      </c>
      <c r="E4036">
        <f>'0376 page 464'!G473</f>
        <v>505.05050505050502</v>
      </c>
    </row>
    <row r="4037" spans="1:5" x14ac:dyDescent="0.35">
      <c r="A4037">
        <v>376</v>
      </c>
      <c r="B4037">
        <v>464</v>
      </c>
      <c r="C4037">
        <f>'0376 page 464'!E474</f>
        <v>38000000</v>
      </c>
      <c r="D4037">
        <f>'0376 page 464'!F474</f>
        <v>400</v>
      </c>
      <c r="E4037">
        <f>'0376 page 464'!G474</f>
        <v>490.19607843137254</v>
      </c>
    </row>
    <row r="4038" spans="1:5" x14ac:dyDescent="0.35">
      <c r="A4038">
        <v>376</v>
      </c>
      <c r="B4038">
        <v>464</v>
      </c>
      <c r="C4038">
        <f>'0376 page 464'!E475</f>
        <v>38000000</v>
      </c>
      <c r="D4038">
        <f>'0376 page 464'!F475</f>
        <v>420</v>
      </c>
      <c r="E4038">
        <f>'0376 page 464'!G475</f>
        <v>452.48868778280547</v>
      </c>
    </row>
    <row r="4039" spans="1:5" x14ac:dyDescent="0.35">
      <c r="A4039">
        <v>376</v>
      </c>
      <c r="B4039">
        <v>464</v>
      </c>
      <c r="C4039">
        <f>'0376 page 464'!E476</f>
        <v>38000000</v>
      </c>
      <c r="D4039">
        <f>'0376 page 464'!F476</f>
        <v>440</v>
      </c>
      <c r="E4039">
        <f>'0376 page 464'!G476</f>
        <v>414.93775933609959</v>
      </c>
    </row>
    <row r="4040" spans="1:5" x14ac:dyDescent="0.35">
      <c r="A4040">
        <v>376</v>
      </c>
      <c r="B4040">
        <v>464</v>
      </c>
      <c r="C4040">
        <f>'0376 page 464'!E477</f>
        <v>38000000</v>
      </c>
      <c r="D4040">
        <f>'0376 page 464'!F477</f>
        <v>460</v>
      </c>
      <c r="E4040">
        <f>'0376 page 464'!G477</f>
        <v>371.74721189591082</v>
      </c>
    </row>
    <row r="4041" spans="1:5" x14ac:dyDescent="0.35">
      <c r="A4041">
        <v>376</v>
      </c>
      <c r="B4041">
        <v>464</v>
      </c>
      <c r="C4041">
        <f>'0376 page 464'!E478</f>
        <v>38000000</v>
      </c>
      <c r="D4041">
        <f>'0376 page 464'!F478</f>
        <v>480</v>
      </c>
      <c r="E4041">
        <f>'0376 page 464'!G478</f>
        <v>326.79738562091507</v>
      </c>
    </row>
    <row r="4042" spans="1:5" x14ac:dyDescent="0.35">
      <c r="A4042">
        <v>376</v>
      </c>
      <c r="B4042">
        <v>464</v>
      </c>
      <c r="C4042">
        <f>'0376 page 464'!E479</f>
        <v>38000000</v>
      </c>
      <c r="D4042">
        <f>'0376 page 464'!F479</f>
        <v>500</v>
      </c>
      <c r="E4042">
        <f>'0376 page 464'!G479</f>
        <v>283.28611898016999</v>
      </c>
    </row>
    <row r="4043" spans="1:5" x14ac:dyDescent="0.35">
      <c r="A4043">
        <v>376</v>
      </c>
      <c r="B4043">
        <v>464</v>
      </c>
      <c r="C4043">
        <f>'0376 page 464'!E480</f>
        <v>38000000</v>
      </c>
      <c r="D4043">
        <f>'0376 page 464'!F480</f>
        <v>520</v>
      </c>
      <c r="E4043">
        <f>'0376 page 464'!G480</f>
        <v>247.52475247524754</v>
      </c>
    </row>
    <row r="4044" spans="1:5" x14ac:dyDescent="0.35">
      <c r="A4044">
        <v>376</v>
      </c>
      <c r="B4044">
        <v>464</v>
      </c>
      <c r="C4044">
        <f>'0376 page 464'!E481</f>
        <v>38000000</v>
      </c>
      <c r="D4044">
        <f>'0376 page 464'!F481</f>
        <v>540</v>
      </c>
      <c r="E4044">
        <f>'0376 page 464'!G481</f>
        <v>219.29824561403512</v>
      </c>
    </row>
    <row r="4045" spans="1:5" x14ac:dyDescent="0.35">
      <c r="A4045">
        <v>376</v>
      </c>
      <c r="B4045">
        <v>464</v>
      </c>
      <c r="C4045">
        <f>'0376 page 464'!E482</f>
        <v>38000000</v>
      </c>
      <c r="D4045">
        <f>'0376 page 464'!F482</f>
        <v>560</v>
      </c>
      <c r="E4045">
        <f>'0376 page 464'!G482</f>
        <v>196.85039370078741</v>
      </c>
    </row>
    <row r="4046" spans="1:5" x14ac:dyDescent="0.35">
      <c r="A4046">
        <v>376</v>
      </c>
      <c r="B4046">
        <v>464</v>
      </c>
      <c r="C4046">
        <f>'0376 page 464'!E483</f>
        <v>40000000</v>
      </c>
      <c r="D4046">
        <f>'0376 page 464'!F483</f>
        <v>310</v>
      </c>
      <c r="E4046">
        <f>'0376 page 464'!G483</f>
        <v>621.11801242236015</v>
      </c>
    </row>
    <row r="4047" spans="1:5" x14ac:dyDescent="0.35">
      <c r="A4047">
        <v>376</v>
      </c>
      <c r="B4047">
        <v>464</v>
      </c>
      <c r="C4047">
        <f>'0376 page 464'!E484</f>
        <v>40000000</v>
      </c>
      <c r="D4047">
        <f>'0376 page 464'!F484</f>
        <v>320</v>
      </c>
      <c r="E4047">
        <f>'0376 page 464'!G484</f>
        <v>609.7560975609756</v>
      </c>
    </row>
    <row r="4048" spans="1:5" x14ac:dyDescent="0.35">
      <c r="A4048">
        <v>376</v>
      </c>
      <c r="B4048">
        <v>464</v>
      </c>
      <c r="C4048">
        <f>'0376 page 464'!E485</f>
        <v>40000000</v>
      </c>
      <c r="D4048">
        <f>'0376 page 464'!F485</f>
        <v>330</v>
      </c>
      <c r="E4048">
        <f>'0376 page 464'!G485</f>
        <v>598.80239520958094</v>
      </c>
    </row>
    <row r="4049" spans="1:5" x14ac:dyDescent="0.35">
      <c r="A4049">
        <v>376</v>
      </c>
      <c r="B4049">
        <v>464</v>
      </c>
      <c r="C4049">
        <f>'0376 page 464'!E486</f>
        <v>40000000</v>
      </c>
      <c r="D4049">
        <f>'0376 page 464'!F486</f>
        <v>340</v>
      </c>
      <c r="E4049">
        <f>'0376 page 464'!G486</f>
        <v>584.79532163742692</v>
      </c>
    </row>
    <row r="4050" spans="1:5" x14ac:dyDescent="0.35">
      <c r="A4050">
        <v>376</v>
      </c>
      <c r="B4050">
        <v>464</v>
      </c>
      <c r="C4050">
        <f>'0376 page 464'!E487</f>
        <v>40000000</v>
      </c>
      <c r="D4050">
        <f>'0376 page 464'!F487</f>
        <v>350</v>
      </c>
      <c r="E4050">
        <f>'0376 page 464'!G487</f>
        <v>571.42857142857133</v>
      </c>
    </row>
    <row r="4051" spans="1:5" x14ac:dyDescent="0.35">
      <c r="A4051">
        <v>376</v>
      </c>
      <c r="B4051">
        <v>464</v>
      </c>
      <c r="C4051">
        <f>'0376 page 464'!E488</f>
        <v>40000000</v>
      </c>
      <c r="D4051">
        <f>'0376 page 464'!F488</f>
        <v>360</v>
      </c>
      <c r="E4051">
        <f>'0376 page 464'!G488</f>
        <v>555.55555555555554</v>
      </c>
    </row>
    <row r="4052" spans="1:5" x14ac:dyDescent="0.35">
      <c r="A4052">
        <v>376</v>
      </c>
      <c r="B4052">
        <v>464</v>
      </c>
      <c r="C4052">
        <f>'0376 page 464'!E489</f>
        <v>40000000</v>
      </c>
      <c r="D4052">
        <f>'0376 page 464'!F489</f>
        <v>370</v>
      </c>
      <c r="E4052">
        <f>'0376 page 464'!G489</f>
        <v>543.47826086956525</v>
      </c>
    </row>
    <row r="4053" spans="1:5" x14ac:dyDescent="0.35">
      <c r="A4053">
        <v>376</v>
      </c>
      <c r="B4053">
        <v>464</v>
      </c>
      <c r="C4053">
        <f>'0376 page 464'!E490</f>
        <v>40000000</v>
      </c>
      <c r="D4053">
        <f>'0376 page 464'!F490</f>
        <v>380</v>
      </c>
      <c r="E4053">
        <f>'0376 page 464'!G490</f>
        <v>526.31578947368416</v>
      </c>
    </row>
    <row r="4054" spans="1:5" x14ac:dyDescent="0.35">
      <c r="A4054">
        <v>376</v>
      </c>
      <c r="B4054">
        <v>464</v>
      </c>
      <c r="C4054">
        <f>'0376 page 464'!E491</f>
        <v>40000000</v>
      </c>
      <c r="D4054">
        <f>'0376 page 464'!F491</f>
        <v>390</v>
      </c>
      <c r="E4054">
        <f>'0376 page 464'!G491</f>
        <v>510.20408163265313</v>
      </c>
    </row>
    <row r="4055" spans="1:5" x14ac:dyDescent="0.35">
      <c r="A4055">
        <v>376</v>
      </c>
      <c r="B4055">
        <v>464</v>
      </c>
      <c r="C4055">
        <f>'0376 page 464'!E492</f>
        <v>40000000</v>
      </c>
      <c r="D4055">
        <f>'0376 page 464'!F492</f>
        <v>400</v>
      </c>
      <c r="E4055">
        <f>'0376 page 464'!G492</f>
        <v>495.04950495049508</v>
      </c>
    </row>
    <row r="4056" spans="1:5" x14ac:dyDescent="0.35">
      <c r="A4056">
        <v>376</v>
      </c>
      <c r="B4056">
        <v>464</v>
      </c>
      <c r="C4056">
        <f>'0376 page 464'!E493</f>
        <v>40000000</v>
      </c>
      <c r="D4056">
        <f>'0376 page 464'!F493</f>
        <v>420</v>
      </c>
      <c r="E4056">
        <f>'0376 page 464'!G493</f>
        <v>458.71559633027522</v>
      </c>
    </row>
    <row r="4057" spans="1:5" x14ac:dyDescent="0.35">
      <c r="A4057">
        <v>376</v>
      </c>
      <c r="B4057">
        <v>464</v>
      </c>
      <c r="C4057">
        <f>'0376 page 464'!E494</f>
        <v>40000000</v>
      </c>
      <c r="D4057">
        <f>'0376 page 464'!F494</f>
        <v>440</v>
      </c>
      <c r="E4057">
        <f>'0376 page 464'!G494</f>
        <v>420.1680672268908</v>
      </c>
    </row>
    <row r="4058" spans="1:5" x14ac:dyDescent="0.35">
      <c r="A4058">
        <v>376</v>
      </c>
      <c r="B4058">
        <v>464</v>
      </c>
      <c r="C4058">
        <f>'0376 page 464'!E495</f>
        <v>40000000</v>
      </c>
      <c r="D4058">
        <f>'0376 page 464'!F495</f>
        <v>460</v>
      </c>
      <c r="E4058">
        <f>'0376 page 464'!G495</f>
        <v>381.67938931297709</v>
      </c>
    </row>
    <row r="4059" spans="1:5" x14ac:dyDescent="0.35">
      <c r="A4059">
        <v>376</v>
      </c>
      <c r="B4059">
        <v>464</v>
      </c>
      <c r="C4059">
        <f>'0376 page 464'!E496</f>
        <v>40000000</v>
      </c>
      <c r="D4059">
        <f>'0376 page 464'!F496</f>
        <v>480</v>
      </c>
      <c r="E4059">
        <f>'0376 page 464'!G496</f>
        <v>340.13605442176868</v>
      </c>
    </row>
    <row r="4060" spans="1:5" x14ac:dyDescent="0.35">
      <c r="A4060">
        <v>376</v>
      </c>
      <c r="B4060">
        <v>464</v>
      </c>
      <c r="C4060">
        <f>'0376 page 464'!E497</f>
        <v>40000000</v>
      </c>
      <c r="D4060">
        <f>'0376 page 464'!F497</f>
        <v>500</v>
      </c>
      <c r="E4060">
        <f>'0376 page 464'!G497</f>
        <v>299.40119760479047</v>
      </c>
    </row>
    <row r="4061" spans="1:5" x14ac:dyDescent="0.35">
      <c r="A4061">
        <v>376</v>
      </c>
      <c r="B4061">
        <v>464</v>
      </c>
      <c r="C4061">
        <f>'0376 page 464'!E498</f>
        <v>40000000</v>
      </c>
      <c r="D4061">
        <f>'0376 page 464'!F498</f>
        <v>520</v>
      </c>
      <c r="E4061">
        <f>'0376 page 464'!G498</f>
        <v>263.15789473684208</v>
      </c>
    </row>
    <row r="4062" spans="1:5" x14ac:dyDescent="0.35">
      <c r="A4062">
        <v>376</v>
      </c>
      <c r="B4062">
        <v>464</v>
      </c>
      <c r="C4062">
        <f>'0376 page 464'!E499</f>
        <v>40000000</v>
      </c>
      <c r="D4062">
        <f>'0376 page 464'!F499</f>
        <v>540</v>
      </c>
      <c r="E4062">
        <f>'0376 page 464'!G499</f>
        <v>234.19203747072604</v>
      </c>
    </row>
    <row r="4063" spans="1:5" x14ac:dyDescent="0.35">
      <c r="A4063">
        <v>376</v>
      </c>
      <c r="B4063">
        <v>464</v>
      </c>
      <c r="C4063">
        <f>'0376 page 464'!E500</f>
        <v>40000000</v>
      </c>
      <c r="D4063">
        <f>'0376 page 464'!F500</f>
        <v>560</v>
      </c>
      <c r="E4063">
        <f>'0376 page 464'!G500</f>
        <v>210.0840336134454</v>
      </c>
    </row>
    <row r="4064" spans="1:5" x14ac:dyDescent="0.35">
      <c r="A4064">
        <v>376</v>
      </c>
      <c r="B4064">
        <v>464</v>
      </c>
      <c r="C4064">
        <f>'0376 page 464'!E501</f>
        <v>45000000</v>
      </c>
      <c r="D4064">
        <f>'0376 page 464'!F501</f>
        <v>310</v>
      </c>
      <c r="E4064">
        <f>'0376 page 464'!G501</f>
        <v>625</v>
      </c>
    </row>
    <row r="4065" spans="1:5" x14ac:dyDescent="0.35">
      <c r="A4065">
        <v>376</v>
      </c>
      <c r="B4065">
        <v>464</v>
      </c>
      <c r="C4065">
        <f>'0376 page 464'!E502</f>
        <v>45000000</v>
      </c>
      <c r="D4065">
        <f>'0376 page 464'!F502</f>
        <v>320</v>
      </c>
      <c r="E4065">
        <f>'0376 page 464'!G502</f>
        <v>613.49693251533745</v>
      </c>
    </row>
    <row r="4066" spans="1:5" x14ac:dyDescent="0.35">
      <c r="A4066">
        <v>376</v>
      </c>
      <c r="B4066">
        <v>464</v>
      </c>
      <c r="C4066">
        <f>'0376 page 464'!E503</f>
        <v>45000000</v>
      </c>
      <c r="D4066">
        <f>'0376 page 464'!F503</f>
        <v>330</v>
      </c>
      <c r="E4066">
        <f>'0376 page 464'!G503</f>
        <v>602.40963855421694</v>
      </c>
    </row>
    <row r="4067" spans="1:5" x14ac:dyDescent="0.35">
      <c r="A4067">
        <v>376</v>
      </c>
      <c r="B4067">
        <v>464</v>
      </c>
      <c r="C4067">
        <f>'0376 page 464'!E504</f>
        <v>45000000</v>
      </c>
      <c r="D4067">
        <f>'0376 page 464'!F504</f>
        <v>340</v>
      </c>
      <c r="E4067">
        <f>'0376 page 464'!G504</f>
        <v>588.23529411764707</v>
      </c>
    </row>
    <row r="4068" spans="1:5" x14ac:dyDescent="0.35">
      <c r="A4068">
        <v>376</v>
      </c>
      <c r="B4068">
        <v>464</v>
      </c>
      <c r="C4068">
        <f>'0376 page 464'!E505</f>
        <v>45000000</v>
      </c>
      <c r="D4068">
        <f>'0376 page 464'!F505</f>
        <v>350</v>
      </c>
      <c r="E4068">
        <f>'0376 page 464'!G505</f>
        <v>574.71264367816093</v>
      </c>
    </row>
    <row r="4069" spans="1:5" x14ac:dyDescent="0.35">
      <c r="A4069">
        <v>376</v>
      </c>
      <c r="B4069">
        <v>464</v>
      </c>
      <c r="C4069">
        <f>'0376 page 464'!E506</f>
        <v>45000000</v>
      </c>
      <c r="D4069">
        <f>'0376 page 464'!F506</f>
        <v>360</v>
      </c>
      <c r="E4069">
        <f>'0376 page 464'!G506</f>
        <v>561.79775280898878</v>
      </c>
    </row>
    <row r="4070" spans="1:5" x14ac:dyDescent="0.35">
      <c r="A4070">
        <v>376</v>
      </c>
      <c r="B4070">
        <v>464</v>
      </c>
      <c r="C4070">
        <f>'0376 page 464'!E507</f>
        <v>45000000</v>
      </c>
      <c r="D4070">
        <f>'0376 page 464'!F507</f>
        <v>370</v>
      </c>
      <c r="E4070">
        <f>'0376 page 464'!G507</f>
        <v>546.44808743169403</v>
      </c>
    </row>
    <row r="4071" spans="1:5" x14ac:dyDescent="0.35">
      <c r="A4071">
        <v>376</v>
      </c>
      <c r="B4071">
        <v>464</v>
      </c>
      <c r="C4071">
        <f>'0376 page 464'!E508</f>
        <v>45000000</v>
      </c>
      <c r="D4071">
        <f>'0376 page 464'!F508</f>
        <v>380</v>
      </c>
      <c r="E4071">
        <f>'0376 page 464'!G508</f>
        <v>534.75935828876993</v>
      </c>
    </row>
    <row r="4072" spans="1:5" x14ac:dyDescent="0.35">
      <c r="A4072">
        <v>376</v>
      </c>
      <c r="B4072">
        <v>464</v>
      </c>
      <c r="C4072">
        <f>'0376 page 464'!E509</f>
        <v>45000000</v>
      </c>
      <c r="D4072">
        <f>'0376 page 464'!F509</f>
        <v>390</v>
      </c>
      <c r="E4072">
        <f>'0376 page 464'!G509</f>
        <v>518.13471502590687</v>
      </c>
    </row>
    <row r="4073" spans="1:5" x14ac:dyDescent="0.35">
      <c r="A4073">
        <v>376</v>
      </c>
      <c r="B4073">
        <v>464</v>
      </c>
      <c r="C4073">
        <f>'0376 page 464'!E510</f>
        <v>45000000</v>
      </c>
      <c r="D4073">
        <f>'0376 page 464'!F510</f>
        <v>400</v>
      </c>
      <c r="E4073">
        <f>'0376 page 464'!G510</f>
        <v>502.51256281407029</v>
      </c>
    </row>
    <row r="4074" spans="1:5" x14ac:dyDescent="0.35">
      <c r="A4074">
        <v>376</v>
      </c>
      <c r="B4074">
        <v>464</v>
      </c>
      <c r="C4074">
        <f>'0376 page 464'!E511</f>
        <v>45000000</v>
      </c>
      <c r="D4074">
        <f>'0376 page 464'!F511</f>
        <v>420</v>
      </c>
      <c r="E4074">
        <f>'0376 page 464'!G511</f>
        <v>471.69811320754712</v>
      </c>
    </row>
    <row r="4075" spans="1:5" x14ac:dyDescent="0.35">
      <c r="A4075">
        <v>376</v>
      </c>
      <c r="B4075">
        <v>464</v>
      </c>
      <c r="C4075">
        <f>'0376 page 464'!E512</f>
        <v>45000000</v>
      </c>
      <c r="D4075">
        <f>'0376 page 464'!F512</f>
        <v>440</v>
      </c>
      <c r="E4075">
        <f>'0376 page 464'!G512</f>
        <v>434.78260869565224</v>
      </c>
    </row>
    <row r="4076" spans="1:5" x14ac:dyDescent="0.35">
      <c r="A4076">
        <v>376</v>
      </c>
      <c r="B4076">
        <v>464</v>
      </c>
      <c r="C4076">
        <f>'0376 page 464'!E513</f>
        <v>45000000</v>
      </c>
      <c r="D4076">
        <f>'0376 page 464'!F513</f>
        <v>460</v>
      </c>
      <c r="E4076">
        <f>'0376 page 464'!G513</f>
        <v>400</v>
      </c>
    </row>
    <row r="4077" spans="1:5" x14ac:dyDescent="0.35">
      <c r="A4077">
        <v>376</v>
      </c>
      <c r="B4077">
        <v>464</v>
      </c>
      <c r="C4077">
        <f>'0376 page 464'!E514</f>
        <v>45000000</v>
      </c>
      <c r="D4077">
        <f>'0376 page 464'!F514</f>
        <v>480</v>
      </c>
      <c r="E4077">
        <f>'0376 page 464'!G514</f>
        <v>363.63636363636368</v>
      </c>
    </row>
    <row r="4078" spans="1:5" x14ac:dyDescent="0.35">
      <c r="A4078">
        <v>376</v>
      </c>
      <c r="B4078">
        <v>464</v>
      </c>
      <c r="C4078">
        <f>'0376 page 464'!E515</f>
        <v>45000000</v>
      </c>
      <c r="D4078">
        <f>'0376 page 464'!F515</f>
        <v>500</v>
      </c>
      <c r="E4078">
        <f>'0376 page 464'!G515</f>
        <v>325.73289902280129</v>
      </c>
    </row>
    <row r="4079" spans="1:5" x14ac:dyDescent="0.35">
      <c r="A4079">
        <v>376</v>
      </c>
      <c r="B4079">
        <v>464</v>
      </c>
      <c r="C4079">
        <f>'0376 page 464'!E516</f>
        <v>45000000</v>
      </c>
      <c r="D4079">
        <f>'0376 page 464'!F516</f>
        <v>520</v>
      </c>
      <c r="E4079">
        <f>'0376 page 464'!G516</f>
        <v>290.69767441860466</v>
      </c>
    </row>
    <row r="4080" spans="1:5" x14ac:dyDescent="0.35">
      <c r="A4080">
        <v>376</v>
      </c>
      <c r="B4080">
        <v>464</v>
      </c>
      <c r="C4080">
        <f>'0376 page 464'!E517</f>
        <v>45000000</v>
      </c>
      <c r="D4080">
        <f>'0376 page 464'!F517</f>
        <v>540</v>
      </c>
      <c r="E4080">
        <f>'0376 page 464'!G517</f>
        <v>261.09660574412533</v>
      </c>
    </row>
    <row r="4081" spans="1:5" x14ac:dyDescent="0.35">
      <c r="A4081">
        <v>376</v>
      </c>
      <c r="B4081">
        <v>464</v>
      </c>
      <c r="C4081">
        <f>'0376 page 464'!E518</f>
        <v>45000000</v>
      </c>
      <c r="D4081">
        <f>'0376 page 464'!F518</f>
        <v>560</v>
      </c>
      <c r="E4081">
        <f>'0376 page 464'!G518</f>
        <v>235.84905660377356</v>
      </c>
    </row>
    <row r="4082" spans="1:5" x14ac:dyDescent="0.35">
      <c r="A4082">
        <v>376</v>
      </c>
      <c r="B4082">
        <v>464</v>
      </c>
      <c r="C4082">
        <f>'0376 page 464'!E519</f>
        <v>50000000</v>
      </c>
      <c r="D4082">
        <f>'0376 page 464'!F519</f>
        <v>310</v>
      </c>
      <c r="E4082">
        <f>'0376 page 464'!G519</f>
        <v>628.93081761006283</v>
      </c>
    </row>
    <row r="4083" spans="1:5" x14ac:dyDescent="0.35">
      <c r="A4083">
        <v>376</v>
      </c>
      <c r="B4083">
        <v>464</v>
      </c>
      <c r="C4083">
        <f>'0376 page 464'!E520</f>
        <v>50000000</v>
      </c>
      <c r="D4083">
        <f>'0376 page 464'!F520</f>
        <v>320</v>
      </c>
      <c r="E4083">
        <f>'0376 page 464'!G520</f>
        <v>617.28395061728395</v>
      </c>
    </row>
    <row r="4084" spans="1:5" x14ac:dyDescent="0.35">
      <c r="A4084">
        <v>376</v>
      </c>
      <c r="B4084">
        <v>464</v>
      </c>
      <c r="C4084">
        <f>'0376 page 464'!E521</f>
        <v>50000000</v>
      </c>
      <c r="D4084">
        <f>'0376 page 464'!F521</f>
        <v>330</v>
      </c>
      <c r="E4084">
        <f>'0376 page 464'!G521</f>
        <v>606.06060606060601</v>
      </c>
    </row>
    <row r="4085" spans="1:5" x14ac:dyDescent="0.35">
      <c r="A4085">
        <v>376</v>
      </c>
      <c r="B4085">
        <v>464</v>
      </c>
      <c r="C4085">
        <f>'0376 page 464'!E522</f>
        <v>50000000</v>
      </c>
      <c r="D4085">
        <f>'0376 page 464'!F522</f>
        <v>340</v>
      </c>
      <c r="E4085">
        <f>'0376 page 464'!G522</f>
        <v>595.2380952380953</v>
      </c>
    </row>
    <row r="4086" spans="1:5" x14ac:dyDescent="0.35">
      <c r="A4086">
        <v>376</v>
      </c>
      <c r="B4086">
        <v>464</v>
      </c>
      <c r="C4086">
        <f>'0376 page 464'!E523</f>
        <v>50000000</v>
      </c>
      <c r="D4086">
        <f>'0376 page 464'!F523</f>
        <v>350</v>
      </c>
      <c r="E4086">
        <f>'0376 page 464'!G523</f>
        <v>581.39534883720933</v>
      </c>
    </row>
    <row r="4087" spans="1:5" x14ac:dyDescent="0.35">
      <c r="A4087">
        <v>376</v>
      </c>
      <c r="B4087">
        <v>464</v>
      </c>
      <c r="C4087">
        <f>'0376 page 464'!E524</f>
        <v>50000000</v>
      </c>
      <c r="D4087">
        <f>'0376 page 464'!F524</f>
        <v>360</v>
      </c>
      <c r="E4087">
        <f>'0376 page 464'!G524</f>
        <v>568.18181818181824</v>
      </c>
    </row>
    <row r="4088" spans="1:5" x14ac:dyDescent="0.35">
      <c r="A4088">
        <v>376</v>
      </c>
      <c r="B4088">
        <v>464</v>
      </c>
      <c r="C4088">
        <f>'0376 page 464'!E525</f>
        <v>50000000</v>
      </c>
      <c r="D4088">
        <f>'0376 page 464'!F525</f>
        <v>370</v>
      </c>
      <c r="E4088">
        <f>'0376 page 464'!G525</f>
        <v>552.4861878453039</v>
      </c>
    </row>
    <row r="4089" spans="1:5" x14ac:dyDescent="0.35">
      <c r="A4089">
        <v>376</v>
      </c>
      <c r="B4089">
        <v>464</v>
      </c>
      <c r="C4089">
        <f>'0376 page 464'!E526</f>
        <v>50000000</v>
      </c>
      <c r="D4089">
        <f>'0376 page 464'!F526</f>
        <v>380</v>
      </c>
      <c r="E4089">
        <f>'0376 page 464'!G526</f>
        <v>537.63440860215053</v>
      </c>
    </row>
    <row r="4090" spans="1:5" x14ac:dyDescent="0.35">
      <c r="A4090">
        <v>376</v>
      </c>
      <c r="B4090">
        <v>464</v>
      </c>
      <c r="C4090">
        <f>'0376 page 464'!E527</f>
        <v>50000000</v>
      </c>
      <c r="D4090">
        <f>'0376 page 464'!F527</f>
        <v>390</v>
      </c>
      <c r="E4090">
        <f>'0376 page 464'!G527</f>
        <v>523.56020942408384</v>
      </c>
    </row>
    <row r="4091" spans="1:5" x14ac:dyDescent="0.35">
      <c r="A4091">
        <v>376</v>
      </c>
      <c r="B4091">
        <v>464</v>
      </c>
      <c r="C4091">
        <f>'0376 page 464'!E528</f>
        <v>50000000</v>
      </c>
      <c r="D4091">
        <f>'0376 page 464'!F528</f>
        <v>400</v>
      </c>
      <c r="E4091">
        <f>'0376 page 464'!G528</f>
        <v>510.20408163265313</v>
      </c>
    </row>
    <row r="4092" spans="1:5" x14ac:dyDescent="0.35">
      <c r="A4092">
        <v>376</v>
      </c>
      <c r="B4092">
        <v>464</v>
      </c>
      <c r="C4092">
        <f>'0376 page 464'!E529</f>
        <v>50000000</v>
      </c>
      <c r="D4092">
        <f>'0376 page 464'!F529</f>
        <v>420</v>
      </c>
      <c r="E4092">
        <f>'0376 page 464'!G529</f>
        <v>480.76923076923072</v>
      </c>
    </row>
    <row r="4093" spans="1:5" x14ac:dyDescent="0.35">
      <c r="A4093">
        <v>376</v>
      </c>
      <c r="B4093">
        <v>464</v>
      </c>
      <c r="C4093">
        <f>'0376 page 464'!E530</f>
        <v>50000000</v>
      </c>
      <c r="D4093">
        <f>'0376 page 464'!F530</f>
        <v>440</v>
      </c>
      <c r="E4093">
        <f>'0376 page 464'!G530</f>
        <v>448.4304932735426</v>
      </c>
    </row>
    <row r="4094" spans="1:5" x14ac:dyDescent="0.35">
      <c r="A4094">
        <v>376</v>
      </c>
      <c r="B4094">
        <v>464</v>
      </c>
      <c r="C4094">
        <f>'0376 page 464'!E531</f>
        <v>50000000</v>
      </c>
      <c r="D4094">
        <f>'0376 page 464'!F531</f>
        <v>460</v>
      </c>
      <c r="E4094">
        <f>'0376 page 464'!G531</f>
        <v>416.66666666666669</v>
      </c>
    </row>
    <row r="4095" spans="1:5" x14ac:dyDescent="0.35">
      <c r="A4095">
        <v>376</v>
      </c>
      <c r="B4095">
        <v>464</v>
      </c>
      <c r="C4095">
        <f>'0376 page 464'!E532</f>
        <v>50000000</v>
      </c>
      <c r="D4095">
        <f>'0376 page 464'!F532</f>
        <v>480</v>
      </c>
      <c r="E4095">
        <f>'0376 page 464'!G532</f>
        <v>380.22813688212932</v>
      </c>
    </row>
    <row r="4096" spans="1:5" x14ac:dyDescent="0.35">
      <c r="A4096">
        <v>376</v>
      </c>
      <c r="B4096">
        <v>464</v>
      </c>
      <c r="C4096">
        <f>'0376 page 464'!E533</f>
        <v>50000000</v>
      </c>
      <c r="D4096">
        <f>'0376 page 464'!F533</f>
        <v>500</v>
      </c>
      <c r="E4096">
        <f>'0376 page 464'!G533</f>
        <v>348.43205574912889</v>
      </c>
    </row>
    <row r="4097" spans="1:5" x14ac:dyDescent="0.35">
      <c r="A4097">
        <v>376</v>
      </c>
      <c r="B4097">
        <v>464</v>
      </c>
      <c r="C4097">
        <f>'0376 page 464'!E534</f>
        <v>50000000</v>
      </c>
      <c r="D4097">
        <f>'0376 page 464'!F534</f>
        <v>520</v>
      </c>
      <c r="E4097">
        <f>'0376 page 464'!G534</f>
        <v>316.45569620253161</v>
      </c>
    </row>
    <row r="4098" spans="1:5" x14ac:dyDescent="0.35">
      <c r="A4098">
        <v>376</v>
      </c>
      <c r="B4098">
        <v>464</v>
      </c>
      <c r="C4098">
        <f>'0376 page 464'!E535</f>
        <v>50000000</v>
      </c>
      <c r="D4098">
        <f>'0376 page 464'!F535</f>
        <v>540</v>
      </c>
      <c r="E4098">
        <f>'0376 page 464'!G535</f>
        <v>286.53295128939828</v>
      </c>
    </row>
    <row r="4099" spans="1:5" x14ac:dyDescent="0.35">
      <c r="A4099">
        <v>376</v>
      </c>
      <c r="B4099">
        <v>464</v>
      </c>
      <c r="C4099">
        <f>'0376 page 464'!E536</f>
        <v>50000000</v>
      </c>
      <c r="D4099">
        <f>'0376 page 464'!F536</f>
        <v>560</v>
      </c>
      <c r="E4099">
        <f>'0376 page 464'!G536</f>
        <v>261.09660574412533</v>
      </c>
    </row>
    <row r="4100" spans="1:5" x14ac:dyDescent="0.35">
      <c r="A4100">
        <v>376</v>
      </c>
      <c r="B4100">
        <v>464</v>
      </c>
      <c r="C4100">
        <f>'0376 page 464'!E537</f>
        <v>55000000</v>
      </c>
      <c r="D4100">
        <f>'0376 page 464'!F537</f>
        <v>310</v>
      </c>
      <c r="E4100">
        <f>'0376 page 464'!G537</f>
        <v>632.91139240506322</v>
      </c>
    </row>
    <row r="4101" spans="1:5" x14ac:dyDescent="0.35">
      <c r="A4101">
        <v>376</v>
      </c>
      <c r="B4101">
        <v>464</v>
      </c>
      <c r="C4101">
        <f>'0376 page 464'!E538</f>
        <v>55000000</v>
      </c>
      <c r="D4101">
        <f>'0376 page 464'!F538</f>
        <v>320</v>
      </c>
      <c r="E4101">
        <f>'0376 page 464'!G538</f>
        <v>621.11801242236015</v>
      </c>
    </row>
    <row r="4102" spans="1:5" x14ac:dyDescent="0.35">
      <c r="A4102">
        <v>376</v>
      </c>
      <c r="B4102">
        <v>464</v>
      </c>
      <c r="C4102">
        <f>'0376 page 464'!E539</f>
        <v>55000000</v>
      </c>
      <c r="D4102">
        <f>'0376 page 464'!F539</f>
        <v>330</v>
      </c>
      <c r="E4102">
        <f>'0376 page 464'!G539</f>
        <v>609.7560975609756</v>
      </c>
    </row>
    <row r="4103" spans="1:5" x14ac:dyDescent="0.35">
      <c r="A4103">
        <v>376</v>
      </c>
      <c r="B4103">
        <v>464</v>
      </c>
      <c r="C4103">
        <f>'0376 page 464'!E540</f>
        <v>55000000</v>
      </c>
      <c r="D4103">
        <f>'0376 page 464'!F540</f>
        <v>340</v>
      </c>
      <c r="E4103">
        <f>'0376 page 464'!G540</f>
        <v>598.80239520958094</v>
      </c>
    </row>
    <row r="4104" spans="1:5" x14ac:dyDescent="0.35">
      <c r="A4104">
        <v>376</v>
      </c>
      <c r="B4104">
        <v>464</v>
      </c>
      <c r="C4104">
        <f>'0376 page 464'!E541</f>
        <v>55000000</v>
      </c>
      <c r="D4104">
        <f>'0376 page 464'!F541</f>
        <v>350</v>
      </c>
      <c r="E4104">
        <f>'0376 page 464'!G541</f>
        <v>584.79532163742692</v>
      </c>
    </row>
    <row r="4105" spans="1:5" x14ac:dyDescent="0.35">
      <c r="A4105">
        <v>376</v>
      </c>
      <c r="B4105">
        <v>464</v>
      </c>
      <c r="C4105">
        <f>'0376 page 464'!E542</f>
        <v>55000000</v>
      </c>
      <c r="D4105">
        <f>'0376 page 464'!F542</f>
        <v>360</v>
      </c>
      <c r="E4105">
        <f>'0376 page 464'!G542</f>
        <v>574.71264367816093</v>
      </c>
    </row>
    <row r="4106" spans="1:5" x14ac:dyDescent="0.35">
      <c r="A4106">
        <v>376</v>
      </c>
      <c r="B4106">
        <v>464</v>
      </c>
      <c r="C4106">
        <f>'0376 page 464'!E543</f>
        <v>55000000</v>
      </c>
      <c r="D4106">
        <f>'0376 page 464'!F543</f>
        <v>370</v>
      </c>
      <c r="E4106">
        <f>'0376 page 464'!G543</f>
        <v>561.79775280898878</v>
      </c>
    </row>
    <row r="4107" spans="1:5" x14ac:dyDescent="0.35">
      <c r="A4107">
        <v>376</v>
      </c>
      <c r="B4107">
        <v>464</v>
      </c>
      <c r="C4107">
        <f>'0376 page 464'!E544</f>
        <v>55000000</v>
      </c>
      <c r="D4107">
        <f>'0376 page 464'!F544</f>
        <v>380</v>
      </c>
      <c r="E4107">
        <f>'0376 page 464'!G544</f>
        <v>546.44808743169403</v>
      </c>
    </row>
    <row r="4108" spans="1:5" x14ac:dyDescent="0.35">
      <c r="A4108">
        <v>376</v>
      </c>
      <c r="B4108">
        <v>464</v>
      </c>
      <c r="C4108">
        <f>'0376 page 464'!E545</f>
        <v>55000000</v>
      </c>
      <c r="D4108">
        <f>'0376 page 464'!F545</f>
        <v>390</v>
      </c>
      <c r="E4108">
        <f>'0376 page 464'!G545</f>
        <v>531.91489361702133</v>
      </c>
    </row>
    <row r="4109" spans="1:5" x14ac:dyDescent="0.35">
      <c r="A4109">
        <v>376</v>
      </c>
      <c r="B4109">
        <v>464</v>
      </c>
      <c r="C4109">
        <f>'0376 page 464'!E546</f>
        <v>55000000</v>
      </c>
      <c r="D4109">
        <f>'0376 page 464'!F546</f>
        <v>400</v>
      </c>
      <c r="E4109">
        <f>'0376 page 464'!G546</f>
        <v>515.46391752577335</v>
      </c>
    </row>
    <row r="4110" spans="1:5" x14ac:dyDescent="0.35">
      <c r="A4110">
        <v>376</v>
      </c>
      <c r="B4110">
        <v>464</v>
      </c>
      <c r="C4110">
        <f>'0376 page 464'!E547</f>
        <v>55000000</v>
      </c>
      <c r="D4110">
        <f>'0376 page 464'!F547</f>
        <v>420</v>
      </c>
      <c r="E4110">
        <f>'0376 page 464'!G547</f>
        <v>490.19607843137254</v>
      </c>
    </row>
    <row r="4111" spans="1:5" x14ac:dyDescent="0.35">
      <c r="A4111">
        <v>376</v>
      </c>
      <c r="B4111">
        <v>464</v>
      </c>
      <c r="C4111">
        <f>'0376 page 464'!E548</f>
        <v>55000000</v>
      </c>
      <c r="D4111">
        <f>'0376 page 464'!F548</f>
        <v>440</v>
      </c>
      <c r="E4111">
        <f>'0376 page 464'!G548</f>
        <v>460.82949308755758</v>
      </c>
    </row>
    <row r="4112" spans="1:5" x14ac:dyDescent="0.35">
      <c r="A4112">
        <v>376</v>
      </c>
      <c r="B4112">
        <v>464</v>
      </c>
      <c r="C4112">
        <f>'0376 page 464'!E549</f>
        <v>55000000</v>
      </c>
      <c r="D4112">
        <f>'0376 page 464'!F549</f>
        <v>460</v>
      </c>
      <c r="E4112">
        <f>'0376 page 464'!G549</f>
        <v>431.03448275862075</v>
      </c>
    </row>
    <row r="4113" spans="1:5" x14ac:dyDescent="0.35">
      <c r="A4113">
        <v>376</v>
      </c>
      <c r="B4113">
        <v>464</v>
      </c>
      <c r="C4113">
        <f>'0376 page 464'!E550</f>
        <v>55000000</v>
      </c>
      <c r="D4113">
        <f>'0376 page 464'!F550</f>
        <v>480</v>
      </c>
      <c r="E4113">
        <f>'0376 page 464'!G550</f>
        <v>396.82539682539681</v>
      </c>
    </row>
    <row r="4114" spans="1:5" x14ac:dyDescent="0.35">
      <c r="A4114">
        <v>376</v>
      </c>
      <c r="B4114">
        <v>464</v>
      </c>
      <c r="C4114">
        <f>'0376 page 464'!E551</f>
        <v>55000000</v>
      </c>
      <c r="D4114">
        <f>'0376 page 464'!F551</f>
        <v>500</v>
      </c>
      <c r="E4114">
        <f>'0376 page 464'!G551</f>
        <v>359.71223021582739</v>
      </c>
    </row>
    <row r="4115" spans="1:5" x14ac:dyDescent="0.35">
      <c r="A4115">
        <v>376</v>
      </c>
      <c r="B4115">
        <v>464</v>
      </c>
      <c r="C4115">
        <f>'0376 page 464'!E552</f>
        <v>55000000</v>
      </c>
      <c r="D4115">
        <f>'0376 page 464'!F552</f>
        <v>520</v>
      </c>
      <c r="E4115">
        <f>'0376 page 464'!G552</f>
        <v>336.70033670033666</v>
      </c>
    </row>
    <row r="4116" spans="1:5" x14ac:dyDescent="0.35">
      <c r="A4116">
        <v>376</v>
      </c>
      <c r="B4116">
        <v>464</v>
      </c>
      <c r="C4116">
        <f>'0376 page 464'!E553</f>
        <v>55000000</v>
      </c>
      <c r="D4116">
        <f>'0376 page 464'!F553</f>
        <v>540</v>
      </c>
      <c r="E4116">
        <f>'0376 page 464'!G553</f>
        <v>308.64197530864197</v>
      </c>
    </row>
    <row r="4117" spans="1:5" x14ac:dyDescent="0.35">
      <c r="A4117">
        <v>376</v>
      </c>
      <c r="B4117">
        <v>464</v>
      </c>
      <c r="C4117">
        <f>'0376 page 464'!E554</f>
        <v>55000000</v>
      </c>
      <c r="D4117">
        <f>'0376 page 464'!F554</f>
        <v>560</v>
      </c>
      <c r="E4117">
        <f>'0376 page 464'!G554</f>
        <v>283.28611898016999</v>
      </c>
    </row>
    <row r="4118" spans="1:5" x14ac:dyDescent="0.35">
      <c r="A4118">
        <v>376</v>
      </c>
      <c r="B4118">
        <v>464</v>
      </c>
      <c r="C4118">
        <f>'0376 page 464'!E555</f>
        <v>60000000</v>
      </c>
      <c r="D4118">
        <f>'0376 page 464'!F555</f>
        <v>310</v>
      </c>
      <c r="E4118">
        <f>'0376 page 464'!G555</f>
        <v>636.94267515923559</v>
      </c>
    </row>
    <row r="4119" spans="1:5" x14ac:dyDescent="0.35">
      <c r="A4119">
        <v>376</v>
      </c>
      <c r="B4119">
        <v>464</v>
      </c>
      <c r="C4119">
        <f>'0376 page 464'!E556</f>
        <v>60000000</v>
      </c>
      <c r="D4119">
        <f>'0376 page 464'!F556</f>
        <v>320</v>
      </c>
      <c r="E4119">
        <f>'0376 page 464'!G556</f>
        <v>625</v>
      </c>
    </row>
    <row r="4120" spans="1:5" x14ac:dyDescent="0.35">
      <c r="A4120">
        <v>376</v>
      </c>
      <c r="B4120">
        <v>464</v>
      </c>
      <c r="C4120">
        <f>'0376 page 464'!E557</f>
        <v>60000000</v>
      </c>
      <c r="D4120">
        <f>'0376 page 464'!F557</f>
        <v>330</v>
      </c>
      <c r="E4120">
        <f>'0376 page 464'!G557</f>
        <v>613.49693251533745</v>
      </c>
    </row>
    <row r="4121" spans="1:5" x14ac:dyDescent="0.35">
      <c r="A4121">
        <v>376</v>
      </c>
      <c r="B4121">
        <v>464</v>
      </c>
      <c r="C4121">
        <f>'0376 page 464'!E558</f>
        <v>60000000</v>
      </c>
      <c r="D4121">
        <f>'0376 page 464'!F558</f>
        <v>340</v>
      </c>
      <c r="E4121">
        <f>'0376 page 464'!G558</f>
        <v>602.40963855421694</v>
      </c>
    </row>
    <row r="4122" spans="1:5" x14ac:dyDescent="0.35">
      <c r="A4122">
        <v>376</v>
      </c>
      <c r="B4122">
        <v>464</v>
      </c>
      <c r="C4122">
        <f>'0376 page 464'!E559</f>
        <v>60000000</v>
      </c>
      <c r="D4122">
        <f>'0376 page 464'!F559</f>
        <v>350</v>
      </c>
      <c r="E4122">
        <f>'0376 page 464'!G559</f>
        <v>588.23529411764707</v>
      </c>
    </row>
    <row r="4123" spans="1:5" x14ac:dyDescent="0.35">
      <c r="A4123">
        <v>376</v>
      </c>
      <c r="B4123">
        <v>464</v>
      </c>
      <c r="C4123">
        <f>'0376 page 464'!E560</f>
        <v>60000000</v>
      </c>
      <c r="D4123">
        <f>'0376 page 464'!F560</f>
        <v>360</v>
      </c>
      <c r="E4123">
        <f>'0376 page 464'!G560</f>
        <v>578.03468208092488</v>
      </c>
    </row>
    <row r="4124" spans="1:5" x14ac:dyDescent="0.35">
      <c r="A4124">
        <v>376</v>
      </c>
      <c r="B4124">
        <v>464</v>
      </c>
      <c r="C4124">
        <f>'0376 page 464'!E561</f>
        <v>60000000</v>
      </c>
      <c r="D4124">
        <f>'0376 page 464'!F561</f>
        <v>370</v>
      </c>
      <c r="E4124">
        <f>'0376 page 464'!G561</f>
        <v>564.9717514124294</v>
      </c>
    </row>
    <row r="4125" spans="1:5" x14ac:dyDescent="0.35">
      <c r="A4125">
        <v>376</v>
      </c>
      <c r="B4125">
        <v>464</v>
      </c>
      <c r="C4125">
        <f>'0376 page 464'!E562</f>
        <v>60000000</v>
      </c>
      <c r="D4125">
        <f>'0376 page 464'!F562</f>
        <v>380</v>
      </c>
      <c r="E4125">
        <f>'0376 page 464'!G562</f>
        <v>552.4861878453039</v>
      </c>
    </row>
    <row r="4126" spans="1:5" x14ac:dyDescent="0.35">
      <c r="A4126">
        <v>376</v>
      </c>
      <c r="B4126">
        <v>464</v>
      </c>
      <c r="C4126">
        <f>'0376 page 464'!E563</f>
        <v>60000000</v>
      </c>
      <c r="D4126">
        <f>'0376 page 464'!F563</f>
        <v>390</v>
      </c>
      <c r="E4126">
        <f>'0376 page 464'!G563</f>
        <v>537.63440860215053</v>
      </c>
    </row>
    <row r="4127" spans="1:5" x14ac:dyDescent="0.35">
      <c r="A4127">
        <v>376</v>
      </c>
      <c r="B4127">
        <v>464</v>
      </c>
      <c r="C4127">
        <f>'0376 page 464'!E564</f>
        <v>60000000</v>
      </c>
      <c r="D4127">
        <f>'0376 page 464'!F564</f>
        <v>400</v>
      </c>
      <c r="E4127">
        <f>'0376 page 464'!G564</f>
        <v>523.56020942408384</v>
      </c>
    </row>
    <row r="4128" spans="1:5" x14ac:dyDescent="0.35">
      <c r="A4128">
        <v>376</v>
      </c>
      <c r="B4128">
        <v>464</v>
      </c>
      <c r="C4128">
        <f>'0376 page 464'!E565</f>
        <v>60000000</v>
      </c>
      <c r="D4128">
        <f>'0376 page 464'!F565</f>
        <v>420</v>
      </c>
      <c r="E4128">
        <f>'0376 page 464'!G565</f>
        <v>497.51243781094536</v>
      </c>
    </row>
    <row r="4129" spans="1:5" x14ac:dyDescent="0.35">
      <c r="A4129">
        <v>376</v>
      </c>
      <c r="B4129">
        <v>464</v>
      </c>
      <c r="C4129">
        <f>'0376 page 464'!E566</f>
        <v>60000000</v>
      </c>
      <c r="D4129">
        <f>'0376 page 464'!F566</f>
        <v>440</v>
      </c>
      <c r="E4129">
        <f>'0376 page 464'!G566</f>
        <v>471.69811320754712</v>
      </c>
    </row>
    <row r="4130" spans="1:5" x14ac:dyDescent="0.35">
      <c r="A4130">
        <v>376</v>
      </c>
      <c r="B4130">
        <v>464</v>
      </c>
      <c r="C4130">
        <f>'0376 page 464'!E567</f>
        <v>60000000</v>
      </c>
      <c r="D4130">
        <f>'0376 page 464'!F567</f>
        <v>460</v>
      </c>
      <c r="E4130">
        <f>'0376 page 464'!G567</f>
        <v>440.52863436123346</v>
      </c>
    </row>
    <row r="4131" spans="1:5" x14ac:dyDescent="0.35">
      <c r="A4131">
        <v>376</v>
      </c>
      <c r="B4131">
        <v>464</v>
      </c>
      <c r="C4131">
        <f>'0376 page 464'!E568</f>
        <v>60000000</v>
      </c>
      <c r="D4131">
        <f>'0376 page 464'!F568</f>
        <v>480</v>
      </c>
      <c r="E4131">
        <f>'0376 page 464'!G568</f>
        <v>411.52263374485597</v>
      </c>
    </row>
    <row r="4132" spans="1:5" x14ac:dyDescent="0.35">
      <c r="A4132">
        <v>376</v>
      </c>
      <c r="B4132">
        <v>464</v>
      </c>
      <c r="C4132">
        <f>'0376 page 464'!E569</f>
        <v>60000000</v>
      </c>
      <c r="D4132">
        <f>'0376 page 464'!F569</f>
        <v>500</v>
      </c>
      <c r="E4132">
        <f>'0376 page 464'!G569</f>
        <v>383.14176245210729</v>
      </c>
    </row>
    <row r="4133" spans="1:5" x14ac:dyDescent="0.35">
      <c r="A4133">
        <v>376</v>
      </c>
      <c r="B4133">
        <v>464</v>
      </c>
      <c r="C4133">
        <f>'0376 page 464'!E570</f>
        <v>60000000</v>
      </c>
      <c r="D4133">
        <f>'0376 page 464'!F570</f>
        <v>520</v>
      </c>
      <c r="E4133">
        <f>'0376 page 464'!G570</f>
        <v>354.6099290780142</v>
      </c>
    </row>
    <row r="4134" spans="1:5" x14ac:dyDescent="0.35">
      <c r="A4134">
        <v>376</v>
      </c>
      <c r="B4134">
        <v>464</v>
      </c>
      <c r="C4134">
        <f>'0376 page 464'!E571</f>
        <v>60000000</v>
      </c>
      <c r="D4134">
        <f>'0376 page 464'!F571</f>
        <v>540</v>
      </c>
      <c r="E4134">
        <f>'0376 page 464'!G571</f>
        <v>327.86885245901647</v>
      </c>
    </row>
    <row r="4135" spans="1:5" x14ac:dyDescent="0.35">
      <c r="A4135">
        <v>376</v>
      </c>
      <c r="B4135">
        <v>464</v>
      </c>
      <c r="C4135">
        <f>'0376 page 464'!E572</f>
        <v>60000000</v>
      </c>
      <c r="D4135">
        <f>'0376 page 464'!F572</f>
        <v>560</v>
      </c>
      <c r="E4135">
        <f>'0376 page 464'!G572</f>
        <v>302.11480362537765</v>
      </c>
    </row>
    <row r="4136" spans="1:5" x14ac:dyDescent="0.35">
      <c r="A4136">
        <v>376</v>
      </c>
      <c r="B4136">
        <v>464</v>
      </c>
      <c r="C4136">
        <f>'0376 page 464'!E573</f>
        <v>70000000</v>
      </c>
      <c r="D4136">
        <f>'0376 page 464'!F573</f>
        <v>310</v>
      </c>
      <c r="E4136">
        <f>'0376 page 464'!G573</f>
        <v>641.02564102564099</v>
      </c>
    </row>
    <row r="4137" spans="1:5" x14ac:dyDescent="0.35">
      <c r="A4137">
        <v>376</v>
      </c>
      <c r="B4137">
        <v>464</v>
      </c>
      <c r="C4137">
        <f>'0376 page 464'!E574</f>
        <v>70000000</v>
      </c>
      <c r="D4137">
        <f>'0376 page 464'!F574</f>
        <v>320</v>
      </c>
      <c r="E4137">
        <f>'0376 page 464'!G574</f>
        <v>632.91139240506322</v>
      </c>
    </row>
    <row r="4138" spans="1:5" x14ac:dyDescent="0.35">
      <c r="A4138">
        <v>376</v>
      </c>
      <c r="B4138">
        <v>464</v>
      </c>
      <c r="C4138">
        <f>'0376 page 464'!E575</f>
        <v>70000000</v>
      </c>
      <c r="D4138">
        <f>'0376 page 464'!F575</f>
        <v>330</v>
      </c>
      <c r="E4138">
        <f>'0376 page 464'!G575</f>
        <v>621.11801242236015</v>
      </c>
    </row>
    <row r="4139" spans="1:5" x14ac:dyDescent="0.35">
      <c r="A4139">
        <v>376</v>
      </c>
      <c r="B4139">
        <v>464</v>
      </c>
      <c r="C4139">
        <f>'0376 page 464'!E576</f>
        <v>70000000</v>
      </c>
      <c r="D4139">
        <f>'0376 page 464'!F576</f>
        <v>340</v>
      </c>
      <c r="E4139">
        <f>'0376 page 464'!G576</f>
        <v>609.7560975609756</v>
      </c>
    </row>
    <row r="4140" spans="1:5" x14ac:dyDescent="0.35">
      <c r="A4140">
        <v>376</v>
      </c>
      <c r="B4140">
        <v>464</v>
      </c>
      <c r="C4140">
        <f>'0376 page 464'!E577</f>
        <v>70000000</v>
      </c>
      <c r="D4140">
        <f>'0376 page 464'!F577</f>
        <v>350</v>
      </c>
      <c r="E4140">
        <f>'0376 page 464'!G577</f>
        <v>598.80239520958094</v>
      </c>
    </row>
    <row r="4141" spans="1:5" x14ac:dyDescent="0.35">
      <c r="A4141">
        <v>376</v>
      </c>
      <c r="B4141">
        <v>464</v>
      </c>
      <c r="C4141">
        <f>'0376 page 464'!E578</f>
        <v>70000000</v>
      </c>
      <c r="D4141">
        <f>'0376 page 464'!F578</f>
        <v>360</v>
      </c>
      <c r="E4141">
        <f>'0376 page 464'!G578</f>
        <v>584.79532163742692</v>
      </c>
    </row>
    <row r="4142" spans="1:5" x14ac:dyDescent="0.35">
      <c r="A4142">
        <v>376</v>
      </c>
      <c r="B4142">
        <v>464</v>
      </c>
      <c r="C4142">
        <f>'0376 page 464'!E579</f>
        <v>70000000</v>
      </c>
      <c r="D4142">
        <f>'0376 page 464'!F579</f>
        <v>370</v>
      </c>
      <c r="E4142">
        <f>'0376 page 464'!G579</f>
        <v>574.71264367816093</v>
      </c>
    </row>
    <row r="4143" spans="1:5" x14ac:dyDescent="0.35">
      <c r="A4143">
        <v>376</v>
      </c>
      <c r="B4143">
        <v>464</v>
      </c>
      <c r="C4143">
        <f>'0376 page 464'!E580</f>
        <v>70000000</v>
      </c>
      <c r="D4143">
        <f>'0376 page 464'!F580</f>
        <v>380</v>
      </c>
      <c r="E4143">
        <f>'0376 page 464'!G580</f>
        <v>561.79775280898878</v>
      </c>
    </row>
    <row r="4144" spans="1:5" x14ac:dyDescent="0.35">
      <c r="A4144">
        <v>376</v>
      </c>
      <c r="B4144">
        <v>464</v>
      </c>
      <c r="C4144">
        <f>'0376 page 464'!E581</f>
        <v>70000000</v>
      </c>
      <c r="D4144">
        <f>'0376 page 464'!F581</f>
        <v>390</v>
      </c>
      <c r="E4144">
        <f>'0376 page 464'!G581</f>
        <v>546.44808743169403</v>
      </c>
    </row>
    <row r="4145" spans="1:5" x14ac:dyDescent="0.35">
      <c r="A4145">
        <v>376</v>
      </c>
      <c r="B4145">
        <v>464</v>
      </c>
      <c r="C4145">
        <f>'0376 page 464'!E582</f>
        <v>70000000</v>
      </c>
      <c r="D4145">
        <f>'0376 page 464'!F582</f>
        <v>400</v>
      </c>
      <c r="E4145">
        <f>'0376 page 464'!G582</f>
        <v>534.75935828876993</v>
      </c>
    </row>
    <row r="4146" spans="1:5" x14ac:dyDescent="0.35">
      <c r="A4146">
        <v>376</v>
      </c>
      <c r="B4146">
        <v>464</v>
      </c>
      <c r="C4146">
        <f>'0376 page 464'!E583</f>
        <v>70000000</v>
      </c>
      <c r="D4146">
        <f>'0376 page 464'!F583</f>
        <v>420</v>
      </c>
      <c r="E4146">
        <f>'0376 page 464'!G583</f>
        <v>510.20408163265313</v>
      </c>
    </row>
    <row r="4147" spans="1:5" x14ac:dyDescent="0.35">
      <c r="A4147">
        <v>376</v>
      </c>
      <c r="B4147">
        <v>464</v>
      </c>
      <c r="C4147">
        <f>'0376 page 464'!E584</f>
        <v>70000000</v>
      </c>
      <c r="D4147">
        <f>'0376 page 464'!F584</f>
        <v>440</v>
      </c>
      <c r="E4147">
        <f>'0376 page 464'!G584</f>
        <v>487.80487804878055</v>
      </c>
    </row>
    <row r="4148" spans="1:5" x14ac:dyDescent="0.35">
      <c r="A4148">
        <v>376</v>
      </c>
      <c r="B4148">
        <v>464</v>
      </c>
      <c r="C4148">
        <f>'0376 page 464'!E585</f>
        <v>70000000</v>
      </c>
      <c r="D4148">
        <f>'0376 page 464'!F585</f>
        <v>460</v>
      </c>
      <c r="E4148">
        <f>'0376 page 464'!G585</f>
        <v>462.96296296296293</v>
      </c>
    </row>
    <row r="4149" spans="1:5" x14ac:dyDescent="0.35">
      <c r="A4149">
        <v>376</v>
      </c>
      <c r="B4149">
        <v>464</v>
      </c>
      <c r="C4149">
        <f>'0376 page 464'!E586</f>
        <v>70000000</v>
      </c>
      <c r="D4149">
        <f>'0376 page 464'!F586</f>
        <v>480</v>
      </c>
      <c r="E4149">
        <f>'0376 page 464'!G586</f>
        <v>434.78260869565224</v>
      </c>
    </row>
    <row r="4150" spans="1:5" x14ac:dyDescent="0.35">
      <c r="A4150">
        <v>376</v>
      </c>
      <c r="B4150">
        <v>464</v>
      </c>
      <c r="C4150">
        <f>'0376 page 464'!E587</f>
        <v>70000000</v>
      </c>
      <c r="D4150">
        <f>'0376 page 464'!F587</f>
        <v>500</v>
      </c>
      <c r="E4150">
        <f>'0376 page 464'!G587</f>
        <v>409.8360655737705</v>
      </c>
    </row>
    <row r="4151" spans="1:5" x14ac:dyDescent="0.35">
      <c r="A4151">
        <v>376</v>
      </c>
      <c r="B4151">
        <v>464</v>
      </c>
      <c r="C4151">
        <f>'0376 page 464'!E588</f>
        <v>70000000</v>
      </c>
      <c r="D4151">
        <f>'0376 page 464'!F588</f>
        <v>520</v>
      </c>
      <c r="E4151">
        <f>'0376 page 464'!G588</f>
        <v>383.14176245210729</v>
      </c>
    </row>
    <row r="4152" spans="1:5" x14ac:dyDescent="0.35">
      <c r="A4152">
        <v>376</v>
      </c>
      <c r="B4152">
        <v>464</v>
      </c>
      <c r="C4152">
        <f>'0376 page 464'!E589</f>
        <v>70000000</v>
      </c>
      <c r="D4152">
        <f>'0376 page 464'!F589</f>
        <v>540</v>
      </c>
      <c r="E4152">
        <f>'0376 page 464'!G589</f>
        <v>358.42293906810033</v>
      </c>
    </row>
    <row r="4153" spans="1:5" x14ac:dyDescent="0.35">
      <c r="A4153">
        <v>376</v>
      </c>
      <c r="B4153">
        <v>464</v>
      </c>
      <c r="C4153">
        <f>'0376 page 464'!E590</f>
        <v>70000000</v>
      </c>
      <c r="D4153">
        <f>'0376 page 464'!F590</f>
        <v>560</v>
      </c>
      <c r="E4153">
        <f>'0376 page 464'!G590</f>
        <v>335.57046979865777</v>
      </c>
    </row>
    <row r="4154" spans="1:5" x14ac:dyDescent="0.35">
      <c r="A4154">
        <v>376</v>
      </c>
      <c r="B4154">
        <v>464</v>
      </c>
      <c r="C4154">
        <f>'0376 page 464'!E591</f>
        <v>80000000</v>
      </c>
      <c r="D4154">
        <f>'0376 page 464'!F591</f>
        <v>310</v>
      </c>
      <c r="E4154">
        <f>'0376 page 464'!G591</f>
        <v>649.35064935064941</v>
      </c>
    </row>
    <row r="4155" spans="1:5" x14ac:dyDescent="0.35">
      <c r="A4155">
        <v>376</v>
      </c>
      <c r="B4155">
        <v>464</v>
      </c>
      <c r="C4155">
        <f>'0376 page 464'!E592</f>
        <v>80000000</v>
      </c>
      <c r="D4155">
        <f>'0376 page 464'!F592</f>
        <v>320</v>
      </c>
      <c r="E4155">
        <f>'0376 page 464'!G592</f>
        <v>636.94267515923559</v>
      </c>
    </row>
    <row r="4156" spans="1:5" x14ac:dyDescent="0.35">
      <c r="A4156">
        <v>376</v>
      </c>
      <c r="B4156">
        <v>464</v>
      </c>
      <c r="C4156">
        <f>'0376 page 464'!E593</f>
        <v>80000000</v>
      </c>
      <c r="D4156">
        <f>'0376 page 464'!F593</f>
        <v>330</v>
      </c>
      <c r="E4156">
        <f>'0376 page 464'!G593</f>
        <v>628.93081761006283</v>
      </c>
    </row>
    <row r="4157" spans="1:5" x14ac:dyDescent="0.35">
      <c r="A4157">
        <v>376</v>
      </c>
      <c r="B4157">
        <v>464</v>
      </c>
      <c r="C4157">
        <f>'0376 page 464'!E594</f>
        <v>80000000</v>
      </c>
      <c r="D4157">
        <f>'0376 page 464'!F594</f>
        <v>340</v>
      </c>
      <c r="E4157">
        <f>'0376 page 464'!G594</f>
        <v>617.28395061728395</v>
      </c>
    </row>
    <row r="4158" spans="1:5" x14ac:dyDescent="0.35">
      <c r="A4158">
        <v>376</v>
      </c>
      <c r="B4158">
        <v>464</v>
      </c>
      <c r="C4158">
        <f>'0376 page 464'!E595</f>
        <v>80000000</v>
      </c>
      <c r="D4158">
        <f>'0376 page 464'!F595</f>
        <v>350</v>
      </c>
      <c r="E4158">
        <f>'0376 page 464'!G595</f>
        <v>606.06060606060601</v>
      </c>
    </row>
    <row r="4159" spans="1:5" x14ac:dyDescent="0.35">
      <c r="A4159">
        <v>376</v>
      </c>
      <c r="B4159">
        <v>464</v>
      </c>
      <c r="C4159">
        <f>'0376 page 464'!E596</f>
        <v>80000000</v>
      </c>
      <c r="D4159">
        <f>'0376 page 464'!F596</f>
        <v>360</v>
      </c>
      <c r="E4159">
        <f>'0376 page 464'!G596</f>
        <v>595.2380952380953</v>
      </c>
    </row>
    <row r="4160" spans="1:5" x14ac:dyDescent="0.35">
      <c r="A4160">
        <v>376</v>
      </c>
      <c r="B4160">
        <v>464</v>
      </c>
      <c r="C4160">
        <f>'0376 page 464'!E597</f>
        <v>80000000</v>
      </c>
      <c r="D4160">
        <f>'0376 page 464'!F597</f>
        <v>370</v>
      </c>
      <c r="E4160">
        <f>'0376 page 464'!G597</f>
        <v>584.79532163742692</v>
      </c>
    </row>
    <row r="4161" spans="1:5" x14ac:dyDescent="0.35">
      <c r="A4161">
        <v>376</v>
      </c>
      <c r="B4161">
        <v>464</v>
      </c>
      <c r="C4161">
        <f>'0376 page 464'!E598</f>
        <v>80000000</v>
      </c>
      <c r="D4161">
        <f>'0376 page 464'!F598</f>
        <v>380</v>
      </c>
      <c r="E4161">
        <f>'0376 page 464'!G598</f>
        <v>571.42857142857133</v>
      </c>
    </row>
    <row r="4162" spans="1:5" x14ac:dyDescent="0.35">
      <c r="A4162">
        <v>376</v>
      </c>
      <c r="B4162">
        <v>464</v>
      </c>
      <c r="C4162">
        <f>'0376 page 464'!E599</f>
        <v>80000000</v>
      </c>
      <c r="D4162">
        <f>'0376 page 464'!F599</f>
        <v>390</v>
      </c>
      <c r="E4162">
        <f>'0376 page 464'!G599</f>
        <v>558.65921787709487</v>
      </c>
    </row>
    <row r="4163" spans="1:5" x14ac:dyDescent="0.35">
      <c r="A4163">
        <v>376</v>
      </c>
      <c r="B4163">
        <v>464</v>
      </c>
      <c r="C4163">
        <f>'0376 page 464'!E600</f>
        <v>80000000</v>
      </c>
      <c r="D4163">
        <f>'0376 page 464'!F600</f>
        <v>400</v>
      </c>
      <c r="E4163">
        <f>'0376 page 464'!G600</f>
        <v>546.44808743169403</v>
      </c>
    </row>
    <row r="4164" spans="1:5" x14ac:dyDescent="0.35">
      <c r="A4164">
        <v>376</v>
      </c>
      <c r="B4164">
        <v>464</v>
      </c>
      <c r="C4164">
        <f>'0376 page 464'!E601</f>
        <v>80000000</v>
      </c>
      <c r="D4164">
        <f>'0376 page 464'!F601</f>
        <v>420</v>
      </c>
      <c r="E4164">
        <f>'0376 page 464'!G601</f>
        <v>523.56020942408384</v>
      </c>
    </row>
    <row r="4165" spans="1:5" x14ac:dyDescent="0.35">
      <c r="A4165">
        <v>376</v>
      </c>
      <c r="B4165">
        <v>464</v>
      </c>
      <c r="C4165">
        <f>'0376 page 464'!E602</f>
        <v>80000000</v>
      </c>
      <c r="D4165">
        <f>'0376 page 464'!F602</f>
        <v>440</v>
      </c>
      <c r="E4165">
        <f>'0376 page 464'!G602</f>
        <v>500</v>
      </c>
    </row>
    <row r="4166" spans="1:5" x14ac:dyDescent="0.35">
      <c r="A4166">
        <v>376</v>
      </c>
      <c r="B4166">
        <v>464</v>
      </c>
      <c r="C4166">
        <f>'0376 page 464'!E603</f>
        <v>80000000</v>
      </c>
      <c r="D4166">
        <f>'0376 page 464'!F603</f>
        <v>460</v>
      </c>
      <c r="E4166">
        <f>'0376 page 464'!G603</f>
        <v>478.46889952153117</v>
      </c>
    </row>
    <row r="4167" spans="1:5" x14ac:dyDescent="0.35">
      <c r="A4167">
        <v>376</v>
      </c>
      <c r="B4167">
        <v>464</v>
      </c>
      <c r="C4167">
        <f>'0376 page 464'!E604</f>
        <v>80000000</v>
      </c>
      <c r="D4167">
        <f>'0376 page 464'!F604</f>
        <v>480</v>
      </c>
      <c r="E4167">
        <f>'0376 page 464'!G604</f>
        <v>454.54545454545456</v>
      </c>
    </row>
    <row r="4168" spans="1:5" x14ac:dyDescent="0.35">
      <c r="A4168">
        <v>376</v>
      </c>
      <c r="B4168">
        <v>464</v>
      </c>
      <c r="C4168">
        <f>'0376 page 464'!E605</f>
        <v>80000000</v>
      </c>
      <c r="D4168">
        <f>'0376 page 464'!F605</f>
        <v>500</v>
      </c>
      <c r="E4168">
        <f>'0376 page 464'!G605</f>
        <v>431.03448275862075</v>
      </c>
    </row>
    <row r="4169" spans="1:5" x14ac:dyDescent="0.35">
      <c r="A4169">
        <v>376</v>
      </c>
      <c r="B4169">
        <v>464</v>
      </c>
      <c r="C4169">
        <f>'0376 page 464'!E606</f>
        <v>80000000</v>
      </c>
      <c r="D4169">
        <f>'0376 page 464'!F606</f>
        <v>520</v>
      </c>
      <c r="E4169">
        <f>'0376 page 464'!G606</f>
        <v>406.5040650406504</v>
      </c>
    </row>
    <row r="4170" spans="1:5" x14ac:dyDescent="0.35">
      <c r="A4170">
        <v>376</v>
      </c>
      <c r="B4170">
        <v>464</v>
      </c>
      <c r="C4170">
        <f>'0376 page 464'!E607</f>
        <v>80000000</v>
      </c>
      <c r="D4170">
        <f>'0376 page 464'!F607</f>
        <v>540</v>
      </c>
      <c r="E4170">
        <f>'0376 page 464'!G607</f>
        <v>384.61538461538464</v>
      </c>
    </row>
    <row r="4171" spans="1:5" x14ac:dyDescent="0.35">
      <c r="A4171">
        <v>376</v>
      </c>
      <c r="B4171">
        <v>464</v>
      </c>
      <c r="C4171">
        <f>'0376 page 464'!E608</f>
        <v>80000000</v>
      </c>
      <c r="D4171">
        <f>'0376 page 464'!F608</f>
        <v>560</v>
      </c>
      <c r="E4171">
        <f>'0376 page 464'!G608</f>
        <v>362.31884057971018</v>
      </c>
    </row>
    <row r="4172" spans="1:5" x14ac:dyDescent="0.35">
      <c r="A4172">
        <v>376</v>
      </c>
      <c r="B4172">
        <v>464</v>
      </c>
      <c r="C4172">
        <f>'0376 page 464'!E609</f>
        <v>90000000</v>
      </c>
      <c r="D4172">
        <f>'0376 page 464'!F609</f>
        <v>310</v>
      </c>
      <c r="E4172">
        <f>'0376 page 464'!G609</f>
        <v>653.59477124183013</v>
      </c>
    </row>
    <row r="4173" spans="1:5" x14ac:dyDescent="0.35">
      <c r="A4173">
        <v>376</v>
      </c>
      <c r="B4173">
        <v>464</v>
      </c>
      <c r="C4173">
        <f>'0376 page 464'!E610</f>
        <v>90000000</v>
      </c>
      <c r="D4173">
        <f>'0376 page 464'!F610</f>
        <v>320</v>
      </c>
      <c r="E4173">
        <f>'0376 page 464'!G610</f>
        <v>645.16129032258061</v>
      </c>
    </row>
    <row r="4174" spans="1:5" x14ac:dyDescent="0.35">
      <c r="A4174">
        <v>376</v>
      </c>
      <c r="B4174">
        <v>464</v>
      </c>
      <c r="C4174">
        <f>'0376 page 464'!E611</f>
        <v>90000000</v>
      </c>
      <c r="D4174">
        <f>'0376 page 464'!F611</f>
        <v>330</v>
      </c>
      <c r="E4174">
        <f>'0376 page 464'!G611</f>
        <v>636.94267515923559</v>
      </c>
    </row>
    <row r="4175" spans="1:5" x14ac:dyDescent="0.35">
      <c r="A4175">
        <v>376</v>
      </c>
      <c r="B4175">
        <v>464</v>
      </c>
      <c r="C4175">
        <f>'0376 page 464'!E612</f>
        <v>90000000</v>
      </c>
      <c r="D4175">
        <f>'0376 page 464'!F612</f>
        <v>340</v>
      </c>
      <c r="E4175">
        <f>'0376 page 464'!G612</f>
        <v>625</v>
      </c>
    </row>
    <row r="4176" spans="1:5" x14ac:dyDescent="0.35">
      <c r="A4176">
        <v>376</v>
      </c>
      <c r="B4176">
        <v>464</v>
      </c>
      <c r="C4176">
        <f>'0376 page 464'!E613</f>
        <v>90000000</v>
      </c>
      <c r="D4176">
        <f>'0376 page 464'!F613</f>
        <v>350</v>
      </c>
      <c r="E4176">
        <f>'0376 page 464'!G613</f>
        <v>613.49693251533745</v>
      </c>
    </row>
    <row r="4177" spans="1:5" x14ac:dyDescent="0.35">
      <c r="A4177">
        <v>376</v>
      </c>
      <c r="B4177">
        <v>464</v>
      </c>
      <c r="C4177">
        <f>'0376 page 464'!E614</f>
        <v>90000000</v>
      </c>
      <c r="D4177">
        <f>'0376 page 464'!F614</f>
        <v>360</v>
      </c>
      <c r="E4177">
        <f>'0376 page 464'!G614</f>
        <v>602.40963855421694</v>
      </c>
    </row>
    <row r="4178" spans="1:5" x14ac:dyDescent="0.35">
      <c r="A4178">
        <v>376</v>
      </c>
      <c r="B4178">
        <v>464</v>
      </c>
      <c r="C4178">
        <f>'0376 page 464'!E615</f>
        <v>90000000</v>
      </c>
      <c r="D4178">
        <f>'0376 page 464'!F615</f>
        <v>370</v>
      </c>
      <c r="E4178">
        <f>'0376 page 464'!G615</f>
        <v>591.71597633136093</v>
      </c>
    </row>
    <row r="4179" spans="1:5" x14ac:dyDescent="0.35">
      <c r="A4179">
        <v>376</v>
      </c>
      <c r="B4179">
        <v>464</v>
      </c>
      <c r="C4179">
        <f>'0376 page 464'!E616</f>
        <v>90000000</v>
      </c>
      <c r="D4179">
        <f>'0376 page 464'!F616</f>
        <v>380</v>
      </c>
      <c r="E4179">
        <f>'0376 page 464'!G616</f>
        <v>578.03468208092488</v>
      </c>
    </row>
    <row r="4180" spans="1:5" x14ac:dyDescent="0.35">
      <c r="A4180">
        <v>376</v>
      </c>
      <c r="B4180">
        <v>464</v>
      </c>
      <c r="C4180">
        <f>'0376 page 464'!E617</f>
        <v>90000000</v>
      </c>
      <c r="D4180">
        <f>'0376 page 464'!F617</f>
        <v>390</v>
      </c>
      <c r="E4180">
        <f>'0376 page 464'!G617</f>
        <v>568.18181818181824</v>
      </c>
    </row>
    <row r="4181" spans="1:5" x14ac:dyDescent="0.35">
      <c r="A4181">
        <v>376</v>
      </c>
      <c r="B4181">
        <v>464</v>
      </c>
      <c r="C4181">
        <f>'0376 page 464'!E618</f>
        <v>90000000</v>
      </c>
      <c r="D4181">
        <f>'0376 page 464'!F618</f>
        <v>400</v>
      </c>
      <c r="E4181">
        <f>'0376 page 464'!G618</f>
        <v>555.55555555555554</v>
      </c>
    </row>
    <row r="4182" spans="1:5" x14ac:dyDescent="0.35">
      <c r="A4182">
        <v>376</v>
      </c>
      <c r="B4182">
        <v>464</v>
      </c>
      <c r="C4182">
        <f>'0376 page 464'!E619</f>
        <v>90000000</v>
      </c>
      <c r="D4182">
        <f>'0376 page 464'!F619</f>
        <v>420</v>
      </c>
      <c r="E4182">
        <f>'0376 page 464'!G619</f>
        <v>534.75935828876993</v>
      </c>
    </row>
    <row r="4183" spans="1:5" x14ac:dyDescent="0.35">
      <c r="A4183">
        <v>376</v>
      </c>
      <c r="B4183">
        <v>464</v>
      </c>
      <c r="C4183">
        <f>'0376 page 464'!E620</f>
        <v>90000000</v>
      </c>
      <c r="D4183">
        <f>'0376 page 464'!F620</f>
        <v>440</v>
      </c>
      <c r="E4183">
        <f>'0376 page 464'!G620</f>
        <v>512.82051282051293</v>
      </c>
    </row>
    <row r="4184" spans="1:5" x14ac:dyDescent="0.35">
      <c r="A4184">
        <v>376</v>
      </c>
      <c r="B4184">
        <v>464</v>
      </c>
      <c r="C4184">
        <f>'0376 page 464'!E621</f>
        <v>90000000</v>
      </c>
      <c r="D4184">
        <f>'0376 page 464'!F621</f>
        <v>460</v>
      </c>
      <c r="E4184">
        <f>'0376 page 464'!G621</f>
        <v>492.61083743842374</v>
      </c>
    </row>
    <row r="4185" spans="1:5" x14ac:dyDescent="0.35">
      <c r="A4185">
        <v>376</v>
      </c>
      <c r="B4185">
        <v>464</v>
      </c>
      <c r="C4185">
        <f>'0376 page 464'!E622</f>
        <v>90000000</v>
      </c>
      <c r="D4185">
        <f>'0376 page 464'!F622</f>
        <v>480</v>
      </c>
      <c r="E4185">
        <f>'0376 page 464'!G622</f>
        <v>471.69811320754712</v>
      </c>
    </row>
    <row r="4186" spans="1:5" x14ac:dyDescent="0.35">
      <c r="A4186">
        <v>376</v>
      </c>
      <c r="B4186">
        <v>464</v>
      </c>
      <c r="C4186">
        <f>'0376 page 464'!E623</f>
        <v>90000000</v>
      </c>
      <c r="D4186">
        <f>'0376 page 464'!F623</f>
        <v>500</v>
      </c>
      <c r="E4186">
        <f>'0376 page 464'!G623</f>
        <v>446.42857142857139</v>
      </c>
    </row>
    <row r="4187" spans="1:5" x14ac:dyDescent="0.35">
      <c r="A4187">
        <v>376</v>
      </c>
      <c r="B4187">
        <v>464</v>
      </c>
      <c r="C4187">
        <f>'0376 page 464'!E624</f>
        <v>90000000</v>
      </c>
      <c r="D4187">
        <f>'0376 page 464'!F624</f>
        <v>520</v>
      </c>
      <c r="E4187">
        <f>'0376 page 464'!G624</f>
        <v>425.531914893617</v>
      </c>
    </row>
    <row r="4188" spans="1:5" x14ac:dyDescent="0.35">
      <c r="A4188">
        <v>376</v>
      </c>
      <c r="B4188">
        <v>464</v>
      </c>
      <c r="C4188">
        <f>'0376 page 464'!E625</f>
        <v>90000000</v>
      </c>
      <c r="D4188">
        <f>'0376 page 464'!F625</f>
        <v>540</v>
      </c>
      <c r="E4188">
        <f>'0376 page 464'!G625</f>
        <v>404.85829959514166</v>
      </c>
    </row>
    <row r="4189" spans="1:5" x14ac:dyDescent="0.35">
      <c r="A4189">
        <v>376</v>
      </c>
      <c r="B4189">
        <v>464</v>
      </c>
      <c r="C4189">
        <f>'0376 page 464'!E626</f>
        <v>90000000</v>
      </c>
      <c r="D4189">
        <f>'0376 page 464'!F626</f>
        <v>560</v>
      </c>
      <c r="E4189">
        <f>'0376 page 464'!G626</f>
        <v>383.14176245210729</v>
      </c>
    </row>
    <row r="4190" spans="1:5" x14ac:dyDescent="0.35">
      <c r="A4190">
        <v>376</v>
      </c>
      <c r="B4190">
        <v>464</v>
      </c>
      <c r="C4190">
        <f>'0376 page 464'!E627</f>
        <v>100000000</v>
      </c>
      <c r="D4190">
        <f>'0376 page 464'!F627</f>
        <v>310</v>
      </c>
      <c r="E4190">
        <f>'0376 page 464'!G627</f>
        <v>657.89473684210532</v>
      </c>
    </row>
    <row r="4191" spans="1:5" x14ac:dyDescent="0.35">
      <c r="A4191">
        <v>376</v>
      </c>
      <c r="B4191">
        <v>464</v>
      </c>
      <c r="C4191">
        <f>'0376 page 464'!E628</f>
        <v>100000000</v>
      </c>
      <c r="D4191">
        <f>'0376 page 464'!F628</f>
        <v>320</v>
      </c>
      <c r="E4191">
        <f>'0376 page 464'!G628</f>
        <v>649.35064935064941</v>
      </c>
    </row>
    <row r="4192" spans="1:5" x14ac:dyDescent="0.35">
      <c r="A4192">
        <v>376</v>
      </c>
      <c r="B4192">
        <v>464</v>
      </c>
      <c r="C4192">
        <f>'0376 page 464'!E629</f>
        <v>100000000</v>
      </c>
      <c r="D4192">
        <f>'0376 page 464'!F629</f>
        <v>330</v>
      </c>
      <c r="E4192">
        <f>'0376 page 464'!G629</f>
        <v>641.02564102564099</v>
      </c>
    </row>
    <row r="4193" spans="1:5" x14ac:dyDescent="0.35">
      <c r="A4193">
        <v>376</v>
      </c>
      <c r="B4193">
        <v>464</v>
      </c>
      <c r="C4193">
        <f>'0376 page 464'!E630</f>
        <v>100000000</v>
      </c>
      <c r="D4193">
        <f>'0376 page 464'!F630</f>
        <v>340</v>
      </c>
      <c r="E4193">
        <f>'0376 page 464'!G630</f>
        <v>632.91139240506322</v>
      </c>
    </row>
    <row r="4194" spans="1:5" x14ac:dyDescent="0.35">
      <c r="A4194">
        <v>376</v>
      </c>
      <c r="B4194">
        <v>464</v>
      </c>
      <c r="C4194">
        <f>'0376 page 464'!E631</f>
        <v>100000000</v>
      </c>
      <c r="D4194">
        <f>'0376 page 464'!F631</f>
        <v>350</v>
      </c>
      <c r="E4194">
        <f>'0376 page 464'!G631</f>
        <v>621.11801242236015</v>
      </c>
    </row>
    <row r="4195" spans="1:5" x14ac:dyDescent="0.35">
      <c r="A4195">
        <v>376</v>
      </c>
      <c r="B4195">
        <v>464</v>
      </c>
      <c r="C4195">
        <f>'0376 page 464'!E632</f>
        <v>100000000</v>
      </c>
      <c r="D4195">
        <f>'0376 page 464'!F632</f>
        <v>360</v>
      </c>
      <c r="E4195">
        <f>'0376 page 464'!G632</f>
        <v>609.7560975609756</v>
      </c>
    </row>
    <row r="4196" spans="1:5" x14ac:dyDescent="0.35">
      <c r="A4196">
        <v>376</v>
      </c>
      <c r="B4196">
        <v>464</v>
      </c>
      <c r="C4196">
        <f>'0376 page 464'!E633</f>
        <v>100000000</v>
      </c>
      <c r="D4196">
        <f>'0376 page 464'!F633</f>
        <v>370</v>
      </c>
      <c r="E4196">
        <f>'0376 page 464'!G633</f>
        <v>598.80239520958094</v>
      </c>
    </row>
    <row r="4197" spans="1:5" x14ac:dyDescent="0.35">
      <c r="A4197">
        <v>376</v>
      </c>
      <c r="B4197">
        <v>464</v>
      </c>
      <c r="C4197">
        <f>'0376 page 464'!E634</f>
        <v>100000000</v>
      </c>
      <c r="D4197">
        <f>'0376 page 464'!F634</f>
        <v>380</v>
      </c>
      <c r="E4197">
        <f>'0376 page 464'!G634</f>
        <v>588.23529411764707</v>
      </c>
    </row>
    <row r="4198" spans="1:5" x14ac:dyDescent="0.35">
      <c r="A4198">
        <v>376</v>
      </c>
      <c r="B4198">
        <v>464</v>
      </c>
      <c r="C4198">
        <f>'0376 page 464'!E635</f>
        <v>100000000</v>
      </c>
      <c r="D4198">
        <f>'0376 page 464'!F635</f>
        <v>390</v>
      </c>
      <c r="E4198">
        <f>'0376 page 464'!G635</f>
        <v>574.71264367816093</v>
      </c>
    </row>
    <row r="4199" spans="1:5" x14ac:dyDescent="0.35">
      <c r="A4199">
        <v>376</v>
      </c>
      <c r="B4199">
        <v>464</v>
      </c>
      <c r="C4199">
        <f>'0376 page 464'!E636</f>
        <v>100000000</v>
      </c>
      <c r="D4199">
        <f>'0376 page 464'!F636</f>
        <v>400</v>
      </c>
      <c r="E4199">
        <f>'0376 page 464'!G636</f>
        <v>564.9717514124294</v>
      </c>
    </row>
    <row r="4200" spans="1:5" x14ac:dyDescent="0.35">
      <c r="A4200">
        <v>376</v>
      </c>
      <c r="B4200">
        <v>464</v>
      </c>
      <c r="C4200">
        <f>'0376 page 464'!E637</f>
        <v>100000000</v>
      </c>
      <c r="D4200">
        <f>'0376 page 464'!F637</f>
        <v>420</v>
      </c>
      <c r="E4200">
        <f>'0376 page 464'!G637</f>
        <v>543.47826086956525</v>
      </c>
    </row>
    <row r="4201" spans="1:5" x14ac:dyDescent="0.35">
      <c r="A4201">
        <v>376</v>
      </c>
      <c r="B4201">
        <v>464</v>
      </c>
      <c r="C4201">
        <f>'0376 page 464'!E638</f>
        <v>100000000</v>
      </c>
      <c r="D4201">
        <f>'0376 page 464'!F638</f>
        <v>440</v>
      </c>
      <c r="E4201">
        <f>'0376 page 464'!G638</f>
        <v>523.56020942408384</v>
      </c>
    </row>
    <row r="4202" spans="1:5" x14ac:dyDescent="0.35">
      <c r="A4202">
        <v>376</v>
      </c>
      <c r="B4202">
        <v>464</v>
      </c>
      <c r="C4202">
        <f>'0376 page 464'!E639</f>
        <v>100000000</v>
      </c>
      <c r="D4202">
        <f>'0376 page 464'!F639</f>
        <v>460</v>
      </c>
      <c r="E4202">
        <f>'0376 page 464'!G639</f>
        <v>505.05050505050502</v>
      </c>
    </row>
    <row r="4203" spans="1:5" x14ac:dyDescent="0.35">
      <c r="A4203">
        <v>376</v>
      </c>
      <c r="B4203">
        <v>464</v>
      </c>
      <c r="C4203">
        <f>'0376 page 464'!E640</f>
        <v>100000000</v>
      </c>
      <c r="D4203">
        <f>'0376 page 464'!F640</f>
        <v>480</v>
      </c>
      <c r="E4203">
        <f>'0376 page 464'!G640</f>
        <v>483.09178743961354</v>
      </c>
    </row>
    <row r="4204" spans="1:5" x14ac:dyDescent="0.35">
      <c r="A4204">
        <v>376</v>
      </c>
      <c r="B4204">
        <v>464</v>
      </c>
      <c r="C4204">
        <f>'0376 page 464'!E641</f>
        <v>100000000</v>
      </c>
      <c r="D4204">
        <f>'0376 page 464'!F641</f>
        <v>500</v>
      </c>
      <c r="E4204">
        <f>'0376 page 464'!G641</f>
        <v>462.96296296296293</v>
      </c>
    </row>
    <row r="4205" spans="1:5" x14ac:dyDescent="0.35">
      <c r="A4205">
        <v>376</v>
      </c>
      <c r="B4205">
        <v>464</v>
      </c>
      <c r="C4205">
        <f>'0376 page 464'!E642</f>
        <v>100000000</v>
      </c>
      <c r="D4205">
        <f>'0376 page 464'!F642</f>
        <v>520</v>
      </c>
      <c r="E4205">
        <f>'0376 page 464'!G642</f>
        <v>442.47787610619474</v>
      </c>
    </row>
    <row r="4206" spans="1:5" x14ac:dyDescent="0.35">
      <c r="A4206">
        <v>376</v>
      </c>
      <c r="B4206">
        <v>464</v>
      </c>
      <c r="C4206">
        <f>'0376 page 464'!E643</f>
        <v>100000000</v>
      </c>
      <c r="D4206">
        <f>'0376 page 464'!F643</f>
        <v>540</v>
      </c>
      <c r="E4206">
        <f>'0376 page 464'!G643</f>
        <v>421.94092827004215</v>
      </c>
    </row>
    <row r="4207" spans="1:5" x14ac:dyDescent="0.35">
      <c r="A4207">
        <v>376</v>
      </c>
      <c r="B4207">
        <v>464</v>
      </c>
      <c r="C4207">
        <f>'0376 page 464'!E644</f>
        <v>100000000</v>
      </c>
      <c r="D4207">
        <f>'0376 page 464'!F644</f>
        <v>560</v>
      </c>
      <c r="E4207">
        <f>'0376 page 464'!G644</f>
        <v>403.22580645161298</v>
      </c>
    </row>
    <row r="4208" spans="1:5" x14ac:dyDescent="0.35">
      <c r="A4208">
        <v>376</v>
      </c>
      <c r="B4208">
        <v>464</v>
      </c>
      <c r="C4208">
        <f>'0376 page 464'!E645</f>
        <v>110000000</v>
      </c>
      <c r="D4208">
        <f>'0376 page 464'!F645</f>
        <v>310</v>
      </c>
      <c r="E4208">
        <f>'0376 page 464'!G645</f>
        <v>662.25165562913924</v>
      </c>
    </row>
    <row r="4209" spans="1:5" x14ac:dyDescent="0.35">
      <c r="A4209">
        <v>376</v>
      </c>
      <c r="B4209">
        <v>464</v>
      </c>
      <c r="C4209">
        <f>'0376 page 464'!E646</f>
        <v>110000000</v>
      </c>
      <c r="D4209">
        <f>'0376 page 464'!F646</f>
        <v>320</v>
      </c>
      <c r="E4209">
        <f>'0376 page 464'!G646</f>
        <v>653.59477124183013</v>
      </c>
    </row>
    <row r="4210" spans="1:5" x14ac:dyDescent="0.35">
      <c r="A4210">
        <v>376</v>
      </c>
      <c r="B4210">
        <v>464</v>
      </c>
      <c r="C4210">
        <f>'0376 page 464'!E647</f>
        <v>110000000</v>
      </c>
      <c r="D4210">
        <f>'0376 page 464'!F647</f>
        <v>330</v>
      </c>
      <c r="E4210">
        <f>'0376 page 464'!G647</f>
        <v>649.35064935064941</v>
      </c>
    </row>
    <row r="4211" spans="1:5" x14ac:dyDescent="0.35">
      <c r="A4211">
        <v>376</v>
      </c>
      <c r="B4211">
        <v>464</v>
      </c>
      <c r="C4211">
        <f>'0376 page 464'!E648</f>
        <v>110000000</v>
      </c>
      <c r="D4211">
        <f>'0376 page 464'!F648</f>
        <v>340</v>
      </c>
      <c r="E4211">
        <f>'0376 page 464'!G648</f>
        <v>636.94267515923559</v>
      </c>
    </row>
    <row r="4212" spans="1:5" x14ac:dyDescent="0.35">
      <c r="A4212">
        <v>376</v>
      </c>
      <c r="B4212">
        <v>464</v>
      </c>
      <c r="C4212">
        <f>'0376 page 464'!E649</f>
        <v>110000000</v>
      </c>
      <c r="D4212">
        <f>'0376 page 464'!F649</f>
        <v>350</v>
      </c>
      <c r="E4212">
        <f>'0376 page 464'!G649</f>
        <v>628.93081761006283</v>
      </c>
    </row>
    <row r="4213" spans="1:5" x14ac:dyDescent="0.35">
      <c r="A4213">
        <v>376</v>
      </c>
      <c r="B4213">
        <v>464</v>
      </c>
      <c r="C4213">
        <f>'0376 page 464'!E650</f>
        <v>110000000</v>
      </c>
      <c r="D4213">
        <f>'0376 page 464'!F650</f>
        <v>360</v>
      </c>
      <c r="E4213">
        <f>'0376 page 464'!G650</f>
        <v>617.28395061728395</v>
      </c>
    </row>
    <row r="4214" spans="1:5" x14ac:dyDescent="0.35">
      <c r="A4214">
        <v>376</v>
      </c>
      <c r="B4214">
        <v>464</v>
      </c>
      <c r="C4214">
        <f>'0376 page 464'!E651</f>
        <v>110000000</v>
      </c>
      <c r="D4214">
        <f>'0376 page 464'!F651</f>
        <v>370</v>
      </c>
      <c r="E4214">
        <f>'0376 page 464'!G651</f>
        <v>606.06060606060601</v>
      </c>
    </row>
    <row r="4215" spans="1:5" x14ac:dyDescent="0.35">
      <c r="A4215">
        <v>376</v>
      </c>
      <c r="B4215">
        <v>464</v>
      </c>
      <c r="C4215">
        <f>'0376 page 464'!E652</f>
        <v>110000000</v>
      </c>
      <c r="D4215">
        <f>'0376 page 464'!F652</f>
        <v>380</v>
      </c>
      <c r="E4215">
        <f>'0376 page 464'!G652</f>
        <v>595.2380952380953</v>
      </c>
    </row>
    <row r="4216" spans="1:5" x14ac:dyDescent="0.35">
      <c r="A4216">
        <v>376</v>
      </c>
      <c r="B4216">
        <v>464</v>
      </c>
      <c r="C4216">
        <f>'0376 page 464'!E653</f>
        <v>110000000</v>
      </c>
      <c r="D4216">
        <f>'0376 page 464'!F653</f>
        <v>390</v>
      </c>
      <c r="E4216">
        <f>'0376 page 464'!G653</f>
        <v>584.79532163742692</v>
      </c>
    </row>
    <row r="4217" spans="1:5" x14ac:dyDescent="0.35">
      <c r="A4217">
        <v>376</v>
      </c>
      <c r="B4217">
        <v>464</v>
      </c>
      <c r="C4217">
        <f>'0376 page 464'!E654</f>
        <v>110000000</v>
      </c>
      <c r="D4217">
        <f>'0376 page 464'!F654</f>
        <v>400</v>
      </c>
      <c r="E4217">
        <f>'0376 page 464'!G654</f>
        <v>574.71264367816093</v>
      </c>
    </row>
    <row r="4218" spans="1:5" x14ac:dyDescent="0.35">
      <c r="A4218">
        <v>376</v>
      </c>
      <c r="B4218">
        <v>464</v>
      </c>
      <c r="C4218">
        <f>'0376 page 464'!E655</f>
        <v>110000000</v>
      </c>
      <c r="D4218">
        <f>'0376 page 464'!F655</f>
        <v>420</v>
      </c>
      <c r="E4218">
        <f>'0376 page 464'!G655</f>
        <v>555.55555555555554</v>
      </c>
    </row>
    <row r="4219" spans="1:5" x14ac:dyDescent="0.35">
      <c r="A4219">
        <v>376</v>
      </c>
      <c r="B4219">
        <v>464</v>
      </c>
      <c r="C4219">
        <f>'0376 page 464'!E656</f>
        <v>110000000</v>
      </c>
      <c r="D4219">
        <f>'0376 page 464'!F656</f>
        <v>440</v>
      </c>
      <c r="E4219">
        <f>'0376 page 464'!G656</f>
        <v>534.75935828876993</v>
      </c>
    </row>
    <row r="4220" spans="1:5" x14ac:dyDescent="0.35">
      <c r="A4220">
        <v>376</v>
      </c>
      <c r="B4220">
        <v>464</v>
      </c>
      <c r="C4220">
        <f>'0376 page 464'!E657</f>
        <v>110000000</v>
      </c>
      <c r="D4220">
        <f>'0376 page 464'!F657</f>
        <v>460</v>
      </c>
      <c r="E4220">
        <f>'0376 page 464'!G657</f>
        <v>515.46391752577335</v>
      </c>
    </row>
    <row r="4221" spans="1:5" x14ac:dyDescent="0.35">
      <c r="A4221">
        <v>376</v>
      </c>
      <c r="B4221">
        <v>464</v>
      </c>
      <c r="C4221">
        <f>'0376 page 464'!E658</f>
        <v>110000000</v>
      </c>
      <c r="D4221">
        <f>'0376 page 464'!F658</f>
        <v>480</v>
      </c>
      <c r="E4221">
        <f>'0376 page 464'!G658</f>
        <v>497.51243781094536</v>
      </c>
    </row>
    <row r="4222" spans="1:5" x14ac:dyDescent="0.35">
      <c r="A4222">
        <v>376</v>
      </c>
      <c r="B4222">
        <v>464</v>
      </c>
      <c r="C4222">
        <f>'0376 page 464'!E659</f>
        <v>110000000</v>
      </c>
      <c r="D4222">
        <f>'0376 page 464'!F659</f>
        <v>500</v>
      </c>
      <c r="E4222">
        <f>'0376 page 464'!G659</f>
        <v>476.1904761904762</v>
      </c>
    </row>
    <row r="4223" spans="1:5" x14ac:dyDescent="0.35">
      <c r="A4223">
        <v>376</v>
      </c>
      <c r="B4223">
        <v>464</v>
      </c>
      <c r="C4223">
        <f>'0376 page 464'!E660</f>
        <v>110000000</v>
      </c>
      <c r="D4223">
        <f>'0376 page 464'!F660</f>
        <v>520</v>
      </c>
      <c r="E4223">
        <f>'0376 page 464'!G660</f>
        <v>456.6210045662101</v>
      </c>
    </row>
    <row r="4224" spans="1:5" x14ac:dyDescent="0.35">
      <c r="A4224">
        <v>376</v>
      </c>
      <c r="B4224">
        <v>464</v>
      </c>
      <c r="C4224">
        <f>'0376 page 464'!E661</f>
        <v>110000000</v>
      </c>
      <c r="D4224">
        <f>'0376 page 464'!F661</f>
        <v>540</v>
      </c>
      <c r="E4224">
        <f>'0376 page 464'!G661</f>
        <v>438.59649122807025</v>
      </c>
    </row>
    <row r="4225" spans="1:5" x14ac:dyDescent="0.35">
      <c r="A4225">
        <v>376</v>
      </c>
      <c r="B4225">
        <v>464</v>
      </c>
      <c r="C4225">
        <f>'0376 page 464'!E662</f>
        <v>110000000</v>
      </c>
      <c r="D4225">
        <f>'0376 page 464'!F662</f>
        <v>560</v>
      </c>
      <c r="E4225">
        <f>'0376 page 464'!G662</f>
        <v>420.1680672268908</v>
      </c>
    </row>
    <row r="4226" spans="1:5" x14ac:dyDescent="0.35">
      <c r="A4226">
        <v>377</v>
      </c>
      <c r="B4226">
        <v>1</v>
      </c>
      <c r="C4226">
        <f>'0377 table 1'!E2</f>
        <v>87652.35</v>
      </c>
      <c r="D4226">
        <f>'0377 table 1'!F2</f>
        <v>238.14999999999998</v>
      </c>
      <c r="E4226">
        <f>'0377 table 1'!G2</f>
        <v>0.76923076923076927</v>
      </c>
    </row>
    <row r="4227" spans="1:5" x14ac:dyDescent="0.35">
      <c r="A4227">
        <v>377</v>
      </c>
      <c r="B4227">
        <v>1</v>
      </c>
      <c r="C4227">
        <f>'0377 table 1'!E3</f>
        <v>89369.1</v>
      </c>
      <c r="D4227">
        <f>'0377 table 1'!F3</f>
        <v>243.14999999999998</v>
      </c>
      <c r="E4227">
        <f>'0377 table 1'!G3</f>
        <v>0.76923076923076927</v>
      </c>
    </row>
    <row r="4228" spans="1:5" x14ac:dyDescent="0.35">
      <c r="A4228">
        <v>377</v>
      </c>
      <c r="B4228">
        <v>1</v>
      </c>
      <c r="C4228">
        <f>'0377 table 1'!E4</f>
        <v>93312.72</v>
      </c>
      <c r="D4228">
        <f>'0377 table 1'!F4</f>
        <v>253.14999999999998</v>
      </c>
      <c r="E4228">
        <f>'0377 table 1'!G4</f>
        <v>0.76923076923076927</v>
      </c>
    </row>
    <row r="4229" spans="1:5" x14ac:dyDescent="0.35">
      <c r="A4229">
        <v>377</v>
      </c>
      <c r="B4229">
        <v>1</v>
      </c>
      <c r="C4229">
        <f>'0377 table 1'!E5</f>
        <v>101092.05000000002</v>
      </c>
      <c r="D4229">
        <f>'0377 table 1'!F5</f>
        <v>273.14999999999998</v>
      </c>
      <c r="E4229">
        <f>'0377 table 1'!G5</f>
        <v>0.76923076923076927</v>
      </c>
    </row>
    <row r="4230" spans="1:5" x14ac:dyDescent="0.35">
      <c r="A4230">
        <v>377</v>
      </c>
      <c r="B4230">
        <v>1</v>
      </c>
      <c r="C4230">
        <f>'0377 table 1'!E6</f>
        <v>110735.28000000001</v>
      </c>
      <c r="D4230">
        <f>'0377 table 1'!F6</f>
        <v>298.14999999999998</v>
      </c>
      <c r="E4230">
        <f>'0377 table 1'!G6</f>
        <v>0.76923076923076927</v>
      </c>
    </row>
    <row r="4231" spans="1:5" x14ac:dyDescent="0.35">
      <c r="A4231">
        <v>377</v>
      </c>
      <c r="B4231">
        <v>1</v>
      </c>
      <c r="C4231">
        <f>'0377 table 1'!E7</f>
        <v>120300.03000000001</v>
      </c>
      <c r="D4231">
        <f>'0377 table 1'!F7</f>
        <v>323.14999999999998</v>
      </c>
      <c r="E4231">
        <f>'0377 table 1'!G7</f>
        <v>0.76923076923076927</v>
      </c>
    </row>
    <row r="4232" spans="1:5" x14ac:dyDescent="0.35">
      <c r="A4232">
        <v>377</v>
      </c>
      <c r="B4232">
        <v>1</v>
      </c>
      <c r="C4232">
        <f>'0377 table 1'!E8</f>
        <v>139292.19</v>
      </c>
      <c r="D4232">
        <f>'0377 table 1'!F8</f>
        <v>373.15</v>
      </c>
      <c r="E4232">
        <f>'0377 table 1'!G8</f>
        <v>0.76923076923076927</v>
      </c>
    </row>
    <row r="4233" spans="1:5" x14ac:dyDescent="0.35">
      <c r="A4233">
        <v>377</v>
      </c>
      <c r="B4233">
        <v>1</v>
      </c>
      <c r="C4233">
        <f>'0377 table 1'!E9</f>
        <v>158215.68000000002</v>
      </c>
      <c r="D4233">
        <f>'0377 table 1'!F9</f>
        <v>423.15</v>
      </c>
      <c r="E4233">
        <f>'0377 table 1'!G9</f>
        <v>0.76923076923076927</v>
      </c>
    </row>
    <row r="4234" spans="1:5" x14ac:dyDescent="0.35">
      <c r="A4234">
        <v>377</v>
      </c>
      <c r="B4234">
        <v>1</v>
      </c>
      <c r="C4234">
        <f>'0377 table 1'!E10</f>
        <v>177070.5</v>
      </c>
      <c r="D4234">
        <f>'0377 table 1'!F10</f>
        <v>473.15</v>
      </c>
      <c r="E4234">
        <f>'0377 table 1'!G10</f>
        <v>0.76923076923076927</v>
      </c>
    </row>
    <row r="4235" spans="1:5" x14ac:dyDescent="0.35">
      <c r="A4235">
        <v>377</v>
      </c>
      <c r="B4235">
        <v>1</v>
      </c>
      <c r="C4235">
        <f>'0377 table 1'!E11</f>
        <v>245416.77</v>
      </c>
      <c r="D4235">
        <f>'0377 table 1'!F11</f>
        <v>263.14999999999998</v>
      </c>
      <c r="E4235">
        <f>'0377 table 1'!G11</f>
        <v>2</v>
      </c>
    </row>
    <row r="4236" spans="1:5" x14ac:dyDescent="0.35">
      <c r="A4236">
        <v>377</v>
      </c>
      <c r="B4236">
        <v>1</v>
      </c>
      <c r="C4236">
        <f>'0377 table 1'!E12</f>
        <v>256197.96000000005</v>
      </c>
      <c r="D4236">
        <f>'0377 table 1'!F12</f>
        <v>273.14999999999998</v>
      </c>
      <c r="E4236">
        <f>'0377 table 1'!G12</f>
        <v>2</v>
      </c>
    </row>
    <row r="4237" spans="1:5" x14ac:dyDescent="0.35">
      <c r="A4237">
        <v>377</v>
      </c>
      <c r="B4237">
        <v>1</v>
      </c>
      <c r="C4237">
        <f>'0377 table 1'!E13</f>
        <v>282410.28000000003</v>
      </c>
      <c r="D4237">
        <f>'0377 table 1'!F13</f>
        <v>298.14999999999998</v>
      </c>
      <c r="E4237">
        <f>'0377 table 1'!G13</f>
        <v>2</v>
      </c>
    </row>
    <row r="4238" spans="1:5" x14ac:dyDescent="0.35">
      <c r="A4238">
        <v>377</v>
      </c>
      <c r="B4238">
        <v>1</v>
      </c>
      <c r="C4238">
        <f>'0377 table 1'!E14</f>
        <v>308063.43</v>
      </c>
      <c r="D4238">
        <f>'0377 table 1'!F14</f>
        <v>323.14999999999998</v>
      </c>
      <c r="E4238">
        <f>'0377 table 1'!G14</f>
        <v>2</v>
      </c>
    </row>
    <row r="4239" spans="1:5" x14ac:dyDescent="0.35">
      <c r="A4239">
        <v>377</v>
      </c>
      <c r="B4239">
        <v>1</v>
      </c>
      <c r="C4239">
        <f>'0377 table 1'!E15</f>
        <v>358545.69000000006</v>
      </c>
      <c r="D4239">
        <f>'0377 table 1'!F15</f>
        <v>373.15</v>
      </c>
      <c r="E4239">
        <f>'0377 table 1'!G15</f>
        <v>2</v>
      </c>
    </row>
    <row r="4240" spans="1:5" x14ac:dyDescent="0.35">
      <c r="A4240">
        <v>377</v>
      </c>
      <c r="B4240">
        <v>1</v>
      </c>
      <c r="C4240">
        <f>'0377 table 1'!E16</f>
        <v>408478.59</v>
      </c>
      <c r="D4240">
        <f>'0377 table 1'!F16</f>
        <v>423.15</v>
      </c>
      <c r="E4240">
        <f>'0377 table 1'!G16</f>
        <v>2</v>
      </c>
    </row>
    <row r="4241" spans="1:5" x14ac:dyDescent="0.35">
      <c r="A4241">
        <v>377</v>
      </c>
      <c r="B4241">
        <v>1</v>
      </c>
      <c r="C4241">
        <f>'0377 table 1'!E17</f>
        <v>458077.95000000007</v>
      </c>
      <c r="D4241">
        <f>'0377 table 1'!F17</f>
        <v>473.15</v>
      </c>
      <c r="E4241">
        <f>'0377 table 1'!G17</f>
        <v>2</v>
      </c>
    </row>
    <row r="4242" spans="1:5" x14ac:dyDescent="0.35">
      <c r="A4242">
        <v>377</v>
      </c>
      <c r="B4242">
        <v>1</v>
      </c>
      <c r="C4242">
        <f>'0377 table 1'!E18</f>
        <v>507520.35</v>
      </c>
      <c r="D4242">
        <f>'0377 table 1'!F18</f>
        <v>523.15</v>
      </c>
      <c r="E4242">
        <f>'0377 table 1'!G18</f>
        <v>2</v>
      </c>
    </row>
    <row r="4243" spans="1:5" x14ac:dyDescent="0.35">
      <c r="A4243">
        <v>377</v>
      </c>
      <c r="B4243">
        <v>1</v>
      </c>
      <c r="C4243">
        <f>'0377 table 1'!E19</f>
        <v>873580.49999999988</v>
      </c>
      <c r="D4243">
        <f>'0377 table 1'!F19</f>
        <v>298.14999999999998</v>
      </c>
      <c r="E4243">
        <f>'0377 table 1'!G19</f>
        <v>6.6666666666666679</v>
      </c>
    </row>
    <row r="4244" spans="1:5" x14ac:dyDescent="0.35">
      <c r="A4244">
        <v>377</v>
      </c>
      <c r="B4244">
        <v>1</v>
      </c>
      <c r="C4244">
        <f>'0377 table 1'!E20</f>
        <v>893200.50000000012</v>
      </c>
      <c r="D4244">
        <f>'0377 table 1'!F20</f>
        <v>303.14999999999998</v>
      </c>
      <c r="E4244">
        <f>'0377 table 1'!G20</f>
        <v>6.6666666666666679</v>
      </c>
    </row>
    <row r="4245" spans="1:5" x14ac:dyDescent="0.35">
      <c r="A4245">
        <v>377</v>
      </c>
      <c r="B4245">
        <v>1</v>
      </c>
      <c r="C4245">
        <f>'0377 table 1'!E21</f>
        <v>969718.5</v>
      </c>
      <c r="D4245">
        <f>'0377 table 1'!F21</f>
        <v>323.14999999999998</v>
      </c>
      <c r="E4245">
        <f>'0377 table 1'!G21</f>
        <v>6.6666666666666679</v>
      </c>
    </row>
    <row r="4246" spans="1:5" x14ac:dyDescent="0.35">
      <c r="A4246">
        <v>377</v>
      </c>
      <c r="B4246">
        <v>1</v>
      </c>
      <c r="C4246">
        <f>'0377 table 1'!E22</f>
        <v>1150713</v>
      </c>
      <c r="D4246">
        <f>'0377 table 1'!F22</f>
        <v>373.15</v>
      </c>
      <c r="E4246">
        <f>'0377 table 1'!G22</f>
        <v>6.6666666666666679</v>
      </c>
    </row>
    <row r="4247" spans="1:5" x14ac:dyDescent="0.35">
      <c r="A4247">
        <v>377</v>
      </c>
      <c r="B4247">
        <v>1</v>
      </c>
      <c r="C4247">
        <f>'0377 table 1'!E23</f>
        <v>1325331.0000000002</v>
      </c>
      <c r="D4247">
        <f>'0377 table 1'!F23</f>
        <v>423.15</v>
      </c>
      <c r="E4247">
        <f>'0377 table 1'!G23</f>
        <v>6.6666666666666679</v>
      </c>
    </row>
    <row r="4248" spans="1:5" x14ac:dyDescent="0.35">
      <c r="A4248">
        <v>377</v>
      </c>
      <c r="B4248">
        <v>1</v>
      </c>
      <c r="C4248">
        <f>'0377 table 1'!E24</f>
        <v>1496711.7000000002</v>
      </c>
      <c r="D4248">
        <f>'0377 table 1'!F24</f>
        <v>473.15</v>
      </c>
      <c r="E4248">
        <f>'0377 table 1'!G24</f>
        <v>6.6666666666666679</v>
      </c>
    </row>
    <row r="4249" spans="1:5" x14ac:dyDescent="0.35">
      <c r="A4249">
        <v>377</v>
      </c>
      <c r="B4249">
        <v>1</v>
      </c>
      <c r="C4249">
        <f>'0377 table 1'!E25</f>
        <v>1666326.6</v>
      </c>
      <c r="D4249">
        <f>'0377 table 1'!F25</f>
        <v>523.15</v>
      </c>
      <c r="E4249">
        <f>'0377 table 1'!G25</f>
        <v>6.6666666666666679</v>
      </c>
    </row>
    <row r="4250" spans="1:5" x14ac:dyDescent="0.35">
      <c r="A4250">
        <v>377</v>
      </c>
      <c r="B4250">
        <v>1</v>
      </c>
      <c r="C4250">
        <f>'0377 table 1'!E26</f>
        <v>1834764.3</v>
      </c>
      <c r="D4250">
        <f>'0377 table 1'!F26</f>
        <v>573.15</v>
      </c>
      <c r="E4250">
        <f>'0377 table 1'!G26</f>
        <v>6.6666666666666679</v>
      </c>
    </row>
    <row r="4251" spans="1:5" x14ac:dyDescent="0.35">
      <c r="A4251">
        <v>377</v>
      </c>
      <c r="B4251">
        <v>1</v>
      </c>
      <c r="C4251">
        <f>'0377 table 1'!E27</f>
        <v>424537.56000000006</v>
      </c>
      <c r="D4251">
        <f>'0377 table 1'!F27</f>
        <v>278.14999999999998</v>
      </c>
      <c r="E4251">
        <f>'0377 table 1'!G27</f>
        <v>3.3333333333333339</v>
      </c>
    </row>
    <row r="4252" spans="1:5" x14ac:dyDescent="0.35">
      <c r="A4252">
        <v>377</v>
      </c>
      <c r="B4252">
        <v>1</v>
      </c>
      <c r="C4252">
        <f>'0377 table 1'!E28</f>
        <v>433719.72</v>
      </c>
      <c r="D4252">
        <f>'0377 table 1'!F28</f>
        <v>283.14999999999998</v>
      </c>
      <c r="E4252">
        <f>'0377 table 1'!G28</f>
        <v>3.3333333333333339</v>
      </c>
    </row>
    <row r="4253" spans="1:5" x14ac:dyDescent="0.35">
      <c r="A4253">
        <v>377</v>
      </c>
      <c r="B4253">
        <v>1</v>
      </c>
      <c r="C4253">
        <f>'0377 table 1'!E29</f>
        <v>461070.00000000006</v>
      </c>
      <c r="D4253">
        <f>'0377 table 1'!F29</f>
        <v>298.14999999999998</v>
      </c>
      <c r="E4253">
        <f>'0377 table 1'!G29</f>
        <v>3.3333333333333339</v>
      </c>
    </row>
    <row r="4254" spans="1:5" x14ac:dyDescent="0.35">
      <c r="A4254">
        <v>377</v>
      </c>
      <c r="B4254">
        <v>1</v>
      </c>
      <c r="C4254">
        <f>'0377 table 1'!E30</f>
        <v>505254.24000000011</v>
      </c>
      <c r="D4254">
        <f>'0377 table 1'!F30</f>
        <v>323.14999999999998</v>
      </c>
      <c r="E4254">
        <f>'0377 table 1'!G30</f>
        <v>3.3333333333333339</v>
      </c>
    </row>
    <row r="4255" spans="1:5" x14ac:dyDescent="0.35">
      <c r="A4255">
        <v>377</v>
      </c>
      <c r="B4255">
        <v>1</v>
      </c>
      <c r="C4255">
        <f>'0377 table 1'!E31</f>
        <v>591111.36</v>
      </c>
      <c r="D4255">
        <f>'0377 table 1'!F31</f>
        <v>373.15</v>
      </c>
      <c r="E4255">
        <f>'0377 table 1'!G31</f>
        <v>3.3333333333333339</v>
      </c>
    </row>
    <row r="4256" spans="1:5" x14ac:dyDescent="0.35">
      <c r="A4256">
        <v>377</v>
      </c>
      <c r="B4256">
        <v>1</v>
      </c>
      <c r="C4256">
        <f>'0377 table 1'!E32</f>
        <v>675457.74</v>
      </c>
      <c r="D4256">
        <f>'0377 table 1'!F32</f>
        <v>423.15</v>
      </c>
      <c r="E4256">
        <f>'0377 table 1'!G32</f>
        <v>3.3333333333333339</v>
      </c>
    </row>
    <row r="4257" spans="1:5" x14ac:dyDescent="0.35">
      <c r="A4257">
        <v>377</v>
      </c>
      <c r="B4257">
        <v>1</v>
      </c>
      <c r="C4257">
        <f>'0377 table 1'!E33</f>
        <v>759058.56</v>
      </c>
      <c r="D4257">
        <f>'0377 table 1'!F33</f>
        <v>473.15</v>
      </c>
      <c r="E4257">
        <f>'0377 table 1'!G33</f>
        <v>3.3333333333333339</v>
      </c>
    </row>
    <row r="4258" spans="1:5" x14ac:dyDescent="0.35">
      <c r="A4258">
        <v>377</v>
      </c>
      <c r="B4258">
        <v>1</v>
      </c>
      <c r="C4258">
        <f>'0377 table 1'!E34</f>
        <v>842159.07000000007</v>
      </c>
      <c r="D4258">
        <f>'0377 table 1'!F34</f>
        <v>523.15</v>
      </c>
      <c r="E4258">
        <f>'0377 table 1'!G34</f>
        <v>3.3333333333333339</v>
      </c>
    </row>
    <row r="4259" spans="1:5" x14ac:dyDescent="0.35">
      <c r="A4259">
        <v>377</v>
      </c>
      <c r="B4259">
        <v>1</v>
      </c>
      <c r="C4259">
        <f>'0377 table 1'!E35</f>
        <v>924994.71</v>
      </c>
      <c r="D4259">
        <f>'0377 table 1'!F35</f>
        <v>573.15</v>
      </c>
      <c r="E4259">
        <f>'0377 table 1'!G35</f>
        <v>3.3333333333333339</v>
      </c>
    </row>
    <row r="4260" spans="1:5" x14ac:dyDescent="0.35">
      <c r="A4260">
        <v>377</v>
      </c>
      <c r="B4260">
        <v>1</v>
      </c>
      <c r="C4260">
        <f>'0377 table 1'!E36</f>
        <v>644811.30000000005</v>
      </c>
      <c r="D4260">
        <f>'0377 table 1'!F36</f>
        <v>288.14999999999998</v>
      </c>
      <c r="E4260">
        <f>'0377 table 1'!G36</f>
        <v>5</v>
      </c>
    </row>
    <row r="4261" spans="1:5" x14ac:dyDescent="0.35">
      <c r="A4261">
        <v>377</v>
      </c>
      <c r="B4261">
        <v>1</v>
      </c>
      <c r="C4261">
        <f>'0377 table 1'!E37</f>
        <v>673554.6</v>
      </c>
      <c r="D4261">
        <f>'0377 table 1'!F37</f>
        <v>298.14999999999998</v>
      </c>
      <c r="E4261">
        <f>'0377 table 1'!G37</f>
        <v>5</v>
      </c>
    </row>
    <row r="4262" spans="1:5" x14ac:dyDescent="0.35">
      <c r="A4262">
        <v>377</v>
      </c>
      <c r="B4262">
        <v>1</v>
      </c>
      <c r="C4262">
        <f>'0377 table 1'!E38</f>
        <v>742715.10000000009</v>
      </c>
      <c r="D4262">
        <f>'0377 table 1'!F38</f>
        <v>323.14999999999998</v>
      </c>
      <c r="E4262">
        <f>'0377 table 1'!G38</f>
        <v>5</v>
      </c>
    </row>
    <row r="4263" spans="1:5" x14ac:dyDescent="0.35">
      <c r="A4263">
        <v>377</v>
      </c>
      <c r="B4263">
        <v>1</v>
      </c>
      <c r="C4263">
        <f>'0377 table 1'!E39</f>
        <v>874953.90000000014</v>
      </c>
      <c r="D4263">
        <f>'0377 table 1'!F39</f>
        <v>373.15</v>
      </c>
      <c r="E4263">
        <f>'0377 table 1'!G39</f>
        <v>5</v>
      </c>
    </row>
    <row r="4264" spans="1:5" x14ac:dyDescent="0.35">
      <c r="A4264">
        <v>377</v>
      </c>
      <c r="B4264">
        <v>1</v>
      </c>
      <c r="C4264">
        <f>'0377 table 1'!E40</f>
        <v>1003661.1000000001</v>
      </c>
      <c r="D4264">
        <f>'0377 table 1'!F40</f>
        <v>423.15</v>
      </c>
      <c r="E4264">
        <f>'0377 table 1'!G40</f>
        <v>5</v>
      </c>
    </row>
    <row r="4265" spans="1:5" x14ac:dyDescent="0.35">
      <c r="A4265">
        <v>377</v>
      </c>
      <c r="B4265">
        <v>1</v>
      </c>
      <c r="C4265">
        <f>'0377 table 1'!E41</f>
        <v>1130504.3999999999</v>
      </c>
      <c r="D4265">
        <f>'0377 table 1'!F41</f>
        <v>473.15</v>
      </c>
      <c r="E4265">
        <f>'0377 table 1'!G41</f>
        <v>5</v>
      </c>
    </row>
    <row r="4266" spans="1:5" x14ac:dyDescent="0.35">
      <c r="A4266">
        <v>377</v>
      </c>
      <c r="B4266">
        <v>1</v>
      </c>
      <c r="C4266">
        <f>'0377 table 1'!E42</f>
        <v>1256366.7000000002</v>
      </c>
      <c r="D4266">
        <f>'0377 table 1'!F42</f>
        <v>523.15</v>
      </c>
      <c r="E4266">
        <f>'0377 table 1'!G42</f>
        <v>5</v>
      </c>
    </row>
    <row r="4267" spans="1:5" x14ac:dyDescent="0.35">
      <c r="A4267">
        <v>377</v>
      </c>
      <c r="B4267">
        <v>1</v>
      </c>
      <c r="C4267">
        <f>'0377 table 1'!E43</f>
        <v>1381640.4</v>
      </c>
      <c r="D4267">
        <f>'0377 table 1'!F43</f>
        <v>573.15</v>
      </c>
      <c r="E4267">
        <f>'0377 table 1'!G43</f>
        <v>5</v>
      </c>
    </row>
    <row r="4268" spans="1:5" x14ac:dyDescent="0.35">
      <c r="A4268">
        <v>377</v>
      </c>
      <c r="B4268">
        <v>1</v>
      </c>
      <c r="C4268">
        <f>'0377 table 1'!E44</f>
        <v>1128051.9000000001</v>
      </c>
      <c r="D4268">
        <f>'0377 table 1'!F44</f>
        <v>303.14999999999998</v>
      </c>
      <c r="E4268">
        <f>'0377 table 1'!G44</f>
        <v>8.6956521739130448</v>
      </c>
    </row>
    <row r="4269" spans="1:5" x14ac:dyDescent="0.35">
      <c r="A4269">
        <v>377</v>
      </c>
      <c r="B4269">
        <v>1</v>
      </c>
      <c r="C4269">
        <f>'0377 table 1'!E45</f>
        <v>1154637</v>
      </c>
      <c r="D4269">
        <f>'0377 table 1'!F45</f>
        <v>308.14999999999998</v>
      </c>
      <c r="E4269">
        <f>'0377 table 1'!G45</f>
        <v>8.6956521739130448</v>
      </c>
    </row>
    <row r="4270" spans="1:5" x14ac:dyDescent="0.35">
      <c r="A4270">
        <v>377</v>
      </c>
      <c r="B4270">
        <v>1</v>
      </c>
      <c r="C4270">
        <f>'0377 table 1'!E46</f>
        <v>1232724.6000000001</v>
      </c>
      <c r="D4270">
        <f>'0377 table 1'!F46</f>
        <v>323.14999999999998</v>
      </c>
      <c r="E4270">
        <f>'0377 table 1'!G46</f>
        <v>8.6956521739130448</v>
      </c>
    </row>
    <row r="4271" spans="1:5" x14ac:dyDescent="0.35">
      <c r="A4271">
        <v>377</v>
      </c>
      <c r="B4271">
        <v>1</v>
      </c>
      <c r="C4271">
        <f>'0377 table 1'!E47</f>
        <v>1476503.1</v>
      </c>
      <c r="D4271">
        <f>'0377 table 1'!F47</f>
        <v>373.15</v>
      </c>
      <c r="E4271">
        <f>'0377 table 1'!G47</f>
        <v>8.6956521739130448</v>
      </c>
    </row>
    <row r="4272" spans="1:5" x14ac:dyDescent="0.35">
      <c r="A4272">
        <v>377</v>
      </c>
      <c r="B4272">
        <v>1</v>
      </c>
      <c r="C4272">
        <f>'0377 table 1'!E48</f>
        <v>1708803.9000000001</v>
      </c>
      <c r="D4272">
        <f>'0377 table 1'!F48</f>
        <v>423.15</v>
      </c>
      <c r="E4272">
        <f>'0377 table 1'!G48</f>
        <v>8.6956521739130448</v>
      </c>
    </row>
    <row r="4273" spans="1:5" x14ac:dyDescent="0.35">
      <c r="A4273">
        <v>377</v>
      </c>
      <c r="B4273">
        <v>1</v>
      </c>
      <c r="C4273">
        <f>'0377 table 1'!E49</f>
        <v>1935807.3000000003</v>
      </c>
      <c r="D4273">
        <f>'0377 table 1'!F49</f>
        <v>473.15</v>
      </c>
      <c r="E4273">
        <f>'0377 table 1'!G49</f>
        <v>8.6956521739130448</v>
      </c>
    </row>
    <row r="4274" spans="1:5" x14ac:dyDescent="0.35">
      <c r="A4274">
        <v>377</v>
      </c>
      <c r="B4274">
        <v>1</v>
      </c>
      <c r="C4274">
        <f>'0377 table 1'!E50</f>
        <v>2159573.4000000004</v>
      </c>
      <c r="D4274">
        <f>'0377 table 1'!F50</f>
        <v>523.15</v>
      </c>
      <c r="E4274">
        <f>'0377 table 1'!G50</f>
        <v>8.6956521739130448</v>
      </c>
    </row>
    <row r="4275" spans="1:5" x14ac:dyDescent="0.35">
      <c r="A4275">
        <v>377</v>
      </c>
      <c r="B4275">
        <v>1</v>
      </c>
      <c r="C4275">
        <f>'0377 table 1'!E51</f>
        <v>2381671.7999999998</v>
      </c>
      <c r="D4275">
        <f>'0377 table 1'!F51</f>
        <v>573.15</v>
      </c>
      <c r="E4275">
        <f>'0377 table 1'!G51</f>
        <v>8.6956521739130448</v>
      </c>
    </row>
    <row r="4276" spans="1:5" x14ac:dyDescent="0.35">
      <c r="A4276">
        <v>377</v>
      </c>
      <c r="B4276">
        <v>1</v>
      </c>
      <c r="C4276">
        <f>'0377 table 1'!E52</f>
        <v>1593634.5000000002</v>
      </c>
      <c r="D4276">
        <f>'0377 table 1'!F52</f>
        <v>323.14999999999998</v>
      </c>
      <c r="E4276">
        <f>'0377 table 1'!G52</f>
        <v>11.695906432748536</v>
      </c>
    </row>
    <row r="4277" spans="1:5" x14ac:dyDescent="0.35">
      <c r="A4277">
        <v>377</v>
      </c>
      <c r="B4277">
        <v>1</v>
      </c>
      <c r="C4277">
        <f>'0377 table 1'!E53</f>
        <v>1936984.5</v>
      </c>
      <c r="D4277">
        <f>'0377 table 1'!F53</f>
        <v>373.15</v>
      </c>
      <c r="E4277">
        <f>'0377 table 1'!G53</f>
        <v>11.695906432748536</v>
      </c>
    </row>
    <row r="4278" spans="1:5" x14ac:dyDescent="0.35">
      <c r="A4278">
        <v>377</v>
      </c>
      <c r="B4278">
        <v>1</v>
      </c>
      <c r="C4278">
        <f>'0377 table 1'!E54</f>
        <v>2258850.6</v>
      </c>
      <c r="D4278">
        <f>'0377 table 1'!F54</f>
        <v>423.15</v>
      </c>
      <c r="E4278">
        <f>'0377 table 1'!G54</f>
        <v>11.695906432748536</v>
      </c>
    </row>
    <row r="4279" spans="1:5" x14ac:dyDescent="0.35">
      <c r="A4279">
        <v>377</v>
      </c>
      <c r="B4279">
        <v>1</v>
      </c>
      <c r="C4279">
        <f>'0377 table 1'!E55</f>
        <v>2570612.4</v>
      </c>
      <c r="D4279">
        <f>'0377 table 1'!F55</f>
        <v>473.15</v>
      </c>
      <c r="E4279">
        <f>'0377 table 1'!G55</f>
        <v>11.695906432748536</v>
      </c>
    </row>
    <row r="4280" spans="1:5" x14ac:dyDescent="0.35">
      <c r="A4280">
        <v>377</v>
      </c>
      <c r="B4280">
        <v>1</v>
      </c>
      <c r="C4280">
        <f>'0377 table 1'!E56</f>
        <v>2876488.2</v>
      </c>
      <c r="D4280">
        <f>'0377 table 1'!F56</f>
        <v>523.15</v>
      </c>
      <c r="E4280">
        <f>'0377 table 1'!G56</f>
        <v>11.695906432748536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73470-CAE3-404D-B9AE-91848361E149}">
  <dimension ref="A1:G56"/>
  <sheetViews>
    <sheetView topLeftCell="A23" workbookViewId="0">
      <selection activeCell="E2" sqref="E2:G56"/>
    </sheetView>
  </sheetViews>
  <sheetFormatPr defaultRowHeight="14.5" x14ac:dyDescent="0.35"/>
  <cols>
    <col min="1" max="1" width="10.453125" bestFit="1" customWidth="1"/>
  </cols>
  <sheetData>
    <row r="1" spans="1:7" x14ac:dyDescent="0.35">
      <c r="A1" t="s">
        <v>36</v>
      </c>
      <c r="B1" t="s">
        <v>4</v>
      </c>
      <c r="C1" t="s">
        <v>35</v>
      </c>
      <c r="E1" t="s">
        <v>7</v>
      </c>
      <c r="F1" t="s">
        <v>8</v>
      </c>
      <c r="G1" t="s">
        <v>9</v>
      </c>
    </row>
    <row r="2" spans="1:7" x14ac:dyDescent="0.35">
      <c r="A2">
        <v>0.89349999999999996</v>
      </c>
      <c r="B2">
        <v>-35</v>
      </c>
      <c r="C2">
        <v>1300</v>
      </c>
      <c r="E2">
        <f>A2*9.81*10000</f>
        <v>87652.35</v>
      </c>
      <c r="F2">
        <f>B2+273.15</f>
        <v>238.14999999999998</v>
      </c>
      <c r="G2">
        <f>1/C2*0.001*1000000</f>
        <v>0.76923076923076927</v>
      </c>
    </row>
    <row r="3" spans="1:7" x14ac:dyDescent="0.35">
      <c r="A3">
        <v>0.91100000000000003</v>
      </c>
      <c r="B3">
        <v>-30</v>
      </c>
      <c r="C3">
        <v>1300</v>
      </c>
      <c r="E3">
        <f t="shared" ref="E3:E56" si="0">A3*9.81*10000</f>
        <v>89369.1</v>
      </c>
      <c r="F3">
        <f t="shared" ref="F3:F56" si="1">B3+273.15</f>
        <v>243.14999999999998</v>
      </c>
      <c r="G3">
        <f t="shared" ref="G3:G56" si="2">1/C3*0.001*1000000</f>
        <v>0.76923076923076927</v>
      </c>
    </row>
    <row r="4" spans="1:7" x14ac:dyDescent="0.35">
      <c r="A4">
        <v>0.95120000000000005</v>
      </c>
      <c r="B4">
        <v>-20</v>
      </c>
      <c r="C4">
        <v>1300</v>
      </c>
      <c r="E4">
        <f t="shared" si="0"/>
        <v>93312.72</v>
      </c>
      <c r="F4">
        <f t="shared" si="1"/>
        <v>253.14999999999998</v>
      </c>
      <c r="G4">
        <f t="shared" si="2"/>
        <v>0.76923076923076927</v>
      </c>
    </row>
    <row r="5" spans="1:7" x14ac:dyDescent="0.35">
      <c r="A5">
        <v>1.0305</v>
      </c>
      <c r="B5">
        <v>0</v>
      </c>
      <c r="C5">
        <v>1300</v>
      </c>
      <c r="E5">
        <f t="shared" si="0"/>
        <v>101092.05000000002</v>
      </c>
      <c r="F5">
        <f t="shared" si="1"/>
        <v>273.14999999999998</v>
      </c>
      <c r="G5">
        <f t="shared" si="2"/>
        <v>0.76923076923076927</v>
      </c>
    </row>
    <row r="6" spans="1:7" x14ac:dyDescent="0.35">
      <c r="A6">
        <v>1.1288</v>
      </c>
      <c r="B6">
        <v>25</v>
      </c>
      <c r="C6">
        <v>1300</v>
      </c>
      <c r="E6">
        <f t="shared" si="0"/>
        <v>110735.28000000001</v>
      </c>
      <c r="F6">
        <f t="shared" si="1"/>
        <v>298.14999999999998</v>
      </c>
      <c r="G6">
        <f t="shared" si="2"/>
        <v>0.76923076923076927</v>
      </c>
    </row>
    <row r="7" spans="1:7" x14ac:dyDescent="0.35">
      <c r="A7">
        <v>1.2262999999999999</v>
      </c>
      <c r="B7">
        <v>50</v>
      </c>
      <c r="C7">
        <v>1300</v>
      </c>
      <c r="E7">
        <f t="shared" si="0"/>
        <v>120300.03000000001</v>
      </c>
      <c r="F7">
        <f t="shared" si="1"/>
        <v>323.14999999999998</v>
      </c>
      <c r="G7">
        <f t="shared" si="2"/>
        <v>0.76923076923076927</v>
      </c>
    </row>
    <row r="8" spans="1:7" x14ac:dyDescent="0.35">
      <c r="A8">
        <v>1.4198999999999999</v>
      </c>
      <c r="B8">
        <v>100</v>
      </c>
      <c r="C8">
        <v>1300</v>
      </c>
      <c r="E8">
        <f t="shared" si="0"/>
        <v>139292.19</v>
      </c>
      <c r="F8">
        <f t="shared" si="1"/>
        <v>373.15</v>
      </c>
      <c r="G8">
        <f t="shared" si="2"/>
        <v>0.76923076923076927</v>
      </c>
    </row>
    <row r="9" spans="1:7" x14ac:dyDescent="0.35">
      <c r="A9">
        <v>1.6128</v>
      </c>
      <c r="B9">
        <v>150</v>
      </c>
      <c r="C9">
        <v>1300</v>
      </c>
      <c r="E9">
        <f t="shared" si="0"/>
        <v>158215.68000000002</v>
      </c>
      <c r="F9">
        <f t="shared" si="1"/>
        <v>423.15</v>
      </c>
      <c r="G9">
        <f t="shared" si="2"/>
        <v>0.76923076923076927</v>
      </c>
    </row>
    <row r="10" spans="1:7" x14ac:dyDescent="0.35">
      <c r="A10">
        <v>1.8049999999999999</v>
      </c>
      <c r="B10">
        <v>200</v>
      </c>
      <c r="C10">
        <v>1300</v>
      </c>
      <c r="E10">
        <f t="shared" si="0"/>
        <v>177070.5</v>
      </c>
      <c r="F10">
        <f t="shared" si="1"/>
        <v>473.15</v>
      </c>
      <c r="G10">
        <f t="shared" si="2"/>
        <v>0.76923076923076927</v>
      </c>
    </row>
    <row r="11" spans="1:7" x14ac:dyDescent="0.35">
      <c r="A11">
        <v>2.5017</v>
      </c>
      <c r="B11">
        <v>-10</v>
      </c>
      <c r="C11">
        <v>500</v>
      </c>
      <c r="E11">
        <f t="shared" si="0"/>
        <v>245416.77</v>
      </c>
      <c r="F11">
        <f t="shared" si="1"/>
        <v>263.14999999999998</v>
      </c>
      <c r="G11">
        <f t="shared" si="2"/>
        <v>2</v>
      </c>
    </row>
    <row r="12" spans="1:7" x14ac:dyDescent="0.35">
      <c r="A12">
        <v>2.6116000000000001</v>
      </c>
      <c r="B12">
        <v>0</v>
      </c>
      <c r="C12">
        <v>500</v>
      </c>
      <c r="E12">
        <f t="shared" si="0"/>
        <v>256197.96000000005</v>
      </c>
      <c r="F12">
        <f t="shared" si="1"/>
        <v>273.14999999999998</v>
      </c>
      <c r="G12">
        <f t="shared" si="2"/>
        <v>2</v>
      </c>
    </row>
    <row r="13" spans="1:7" x14ac:dyDescent="0.35">
      <c r="A13">
        <v>2.8788</v>
      </c>
      <c r="B13">
        <v>25</v>
      </c>
      <c r="C13">
        <v>500</v>
      </c>
      <c r="E13">
        <f t="shared" si="0"/>
        <v>282410.28000000003</v>
      </c>
      <c r="F13">
        <f t="shared" si="1"/>
        <v>298.14999999999998</v>
      </c>
      <c r="G13">
        <f t="shared" si="2"/>
        <v>2</v>
      </c>
    </row>
    <row r="14" spans="1:7" x14ac:dyDescent="0.35">
      <c r="A14">
        <v>3.1402999999999999</v>
      </c>
      <c r="B14">
        <v>50</v>
      </c>
      <c r="C14">
        <v>500</v>
      </c>
      <c r="E14">
        <f t="shared" si="0"/>
        <v>308063.43</v>
      </c>
      <c r="F14">
        <f t="shared" si="1"/>
        <v>323.14999999999998</v>
      </c>
      <c r="G14">
        <f t="shared" si="2"/>
        <v>2</v>
      </c>
    </row>
    <row r="15" spans="1:7" x14ac:dyDescent="0.35">
      <c r="A15">
        <v>3.6549</v>
      </c>
      <c r="B15">
        <v>100</v>
      </c>
      <c r="C15">
        <v>500</v>
      </c>
      <c r="E15">
        <f t="shared" si="0"/>
        <v>358545.69000000006</v>
      </c>
      <c r="F15">
        <f t="shared" si="1"/>
        <v>373.15</v>
      </c>
      <c r="G15">
        <f t="shared" si="2"/>
        <v>2</v>
      </c>
    </row>
    <row r="16" spans="1:7" x14ac:dyDescent="0.35">
      <c r="A16">
        <v>4.1638999999999999</v>
      </c>
      <c r="B16">
        <v>150</v>
      </c>
      <c r="C16">
        <v>500</v>
      </c>
      <c r="E16">
        <f t="shared" si="0"/>
        <v>408478.59</v>
      </c>
      <c r="F16">
        <f t="shared" si="1"/>
        <v>423.15</v>
      </c>
      <c r="G16">
        <f t="shared" si="2"/>
        <v>2</v>
      </c>
    </row>
    <row r="17" spans="1:7" x14ac:dyDescent="0.35">
      <c r="A17">
        <v>4.6695000000000002</v>
      </c>
      <c r="B17">
        <v>200</v>
      </c>
      <c r="C17">
        <v>500</v>
      </c>
      <c r="E17">
        <f t="shared" si="0"/>
        <v>458077.95000000007</v>
      </c>
      <c r="F17">
        <f t="shared" si="1"/>
        <v>473.15</v>
      </c>
      <c r="G17">
        <f t="shared" si="2"/>
        <v>2</v>
      </c>
    </row>
    <row r="18" spans="1:7" x14ac:dyDescent="0.35">
      <c r="A18">
        <v>5.1734999999999998</v>
      </c>
      <c r="B18">
        <v>250</v>
      </c>
      <c r="C18">
        <v>500</v>
      </c>
      <c r="E18">
        <f t="shared" si="0"/>
        <v>507520.35</v>
      </c>
      <c r="F18">
        <f t="shared" si="1"/>
        <v>523.15</v>
      </c>
      <c r="G18">
        <f t="shared" si="2"/>
        <v>2</v>
      </c>
    </row>
    <row r="19" spans="1:7" x14ac:dyDescent="0.35">
      <c r="A19">
        <v>8.9049999999999994</v>
      </c>
      <c r="B19">
        <v>25</v>
      </c>
      <c r="C19">
        <v>150</v>
      </c>
      <c r="E19">
        <f t="shared" si="0"/>
        <v>873580.49999999988</v>
      </c>
      <c r="F19">
        <f t="shared" si="1"/>
        <v>298.14999999999998</v>
      </c>
      <c r="G19">
        <f t="shared" si="2"/>
        <v>6.6666666666666679</v>
      </c>
    </row>
    <row r="20" spans="1:7" x14ac:dyDescent="0.35">
      <c r="A20">
        <v>9.1050000000000004</v>
      </c>
      <c r="B20">
        <v>30</v>
      </c>
      <c r="C20">
        <v>150</v>
      </c>
      <c r="E20">
        <f t="shared" si="0"/>
        <v>893200.50000000012</v>
      </c>
      <c r="F20">
        <f t="shared" si="1"/>
        <v>303.14999999999998</v>
      </c>
      <c r="G20">
        <f t="shared" si="2"/>
        <v>6.6666666666666679</v>
      </c>
    </row>
    <row r="21" spans="1:7" x14ac:dyDescent="0.35">
      <c r="A21">
        <v>9.8849999999999998</v>
      </c>
      <c r="B21">
        <v>50</v>
      </c>
      <c r="C21">
        <v>150</v>
      </c>
      <c r="E21">
        <f t="shared" si="0"/>
        <v>969718.5</v>
      </c>
      <c r="F21">
        <f t="shared" si="1"/>
        <v>323.14999999999998</v>
      </c>
      <c r="G21">
        <f t="shared" si="2"/>
        <v>6.6666666666666679</v>
      </c>
    </row>
    <row r="22" spans="1:7" x14ac:dyDescent="0.35">
      <c r="A22">
        <v>11.73</v>
      </c>
      <c r="B22">
        <v>100</v>
      </c>
      <c r="C22">
        <v>150</v>
      </c>
      <c r="E22">
        <f t="shared" si="0"/>
        <v>1150713</v>
      </c>
      <c r="F22">
        <f t="shared" si="1"/>
        <v>373.15</v>
      </c>
      <c r="G22">
        <f t="shared" si="2"/>
        <v>6.6666666666666679</v>
      </c>
    </row>
    <row r="23" spans="1:7" x14ac:dyDescent="0.35">
      <c r="A23">
        <v>13.51</v>
      </c>
      <c r="B23">
        <v>150</v>
      </c>
      <c r="C23">
        <v>150</v>
      </c>
      <c r="E23">
        <f t="shared" si="0"/>
        <v>1325331.0000000002</v>
      </c>
      <c r="F23">
        <f t="shared" si="1"/>
        <v>423.15</v>
      </c>
      <c r="G23">
        <f t="shared" si="2"/>
        <v>6.6666666666666679</v>
      </c>
    </row>
    <row r="24" spans="1:7" x14ac:dyDescent="0.35">
      <c r="A24">
        <v>15.257</v>
      </c>
      <c r="B24">
        <v>200</v>
      </c>
      <c r="C24">
        <v>150</v>
      </c>
      <c r="E24">
        <f t="shared" si="0"/>
        <v>1496711.7000000002</v>
      </c>
      <c r="F24">
        <f t="shared" si="1"/>
        <v>473.15</v>
      </c>
      <c r="G24">
        <f t="shared" si="2"/>
        <v>6.6666666666666679</v>
      </c>
    </row>
    <row r="25" spans="1:7" x14ac:dyDescent="0.35">
      <c r="A25">
        <v>16.986000000000001</v>
      </c>
      <c r="B25">
        <v>250</v>
      </c>
      <c r="C25">
        <v>150</v>
      </c>
      <c r="E25">
        <f t="shared" si="0"/>
        <v>1666326.6</v>
      </c>
      <c r="F25">
        <f t="shared" si="1"/>
        <v>523.15</v>
      </c>
      <c r="G25">
        <f t="shared" si="2"/>
        <v>6.6666666666666679</v>
      </c>
    </row>
    <row r="26" spans="1:7" x14ac:dyDescent="0.35">
      <c r="A26">
        <v>18.702999999999999</v>
      </c>
      <c r="B26">
        <v>300</v>
      </c>
      <c r="C26">
        <v>150</v>
      </c>
      <c r="E26">
        <f t="shared" si="0"/>
        <v>1834764.3</v>
      </c>
      <c r="F26">
        <f t="shared" si="1"/>
        <v>573.15</v>
      </c>
      <c r="G26">
        <f t="shared" si="2"/>
        <v>6.6666666666666679</v>
      </c>
    </row>
    <row r="27" spans="1:7" x14ac:dyDescent="0.35">
      <c r="A27">
        <v>4.3276000000000003</v>
      </c>
      <c r="B27">
        <v>5</v>
      </c>
      <c r="C27">
        <v>300</v>
      </c>
      <c r="E27">
        <f t="shared" si="0"/>
        <v>424537.56000000006</v>
      </c>
      <c r="F27">
        <f t="shared" si="1"/>
        <v>278.14999999999998</v>
      </c>
      <c r="G27">
        <f t="shared" si="2"/>
        <v>3.3333333333333339</v>
      </c>
    </row>
    <row r="28" spans="1:7" x14ac:dyDescent="0.35">
      <c r="A28">
        <v>4.4211999999999998</v>
      </c>
      <c r="B28">
        <v>10</v>
      </c>
      <c r="C28">
        <v>300</v>
      </c>
      <c r="E28">
        <f t="shared" si="0"/>
        <v>433719.72</v>
      </c>
      <c r="F28">
        <f t="shared" si="1"/>
        <v>283.14999999999998</v>
      </c>
      <c r="G28">
        <f t="shared" si="2"/>
        <v>3.3333333333333339</v>
      </c>
    </row>
    <row r="29" spans="1:7" x14ac:dyDescent="0.35">
      <c r="A29">
        <v>4.7</v>
      </c>
      <c r="B29">
        <v>25</v>
      </c>
      <c r="C29">
        <v>300</v>
      </c>
      <c r="E29">
        <f t="shared" si="0"/>
        <v>461070.00000000006</v>
      </c>
      <c r="F29">
        <f t="shared" si="1"/>
        <v>298.14999999999998</v>
      </c>
      <c r="G29">
        <f t="shared" si="2"/>
        <v>3.3333333333333339</v>
      </c>
    </row>
    <row r="30" spans="1:7" x14ac:dyDescent="0.35">
      <c r="A30">
        <v>5.1504000000000003</v>
      </c>
      <c r="B30">
        <v>50</v>
      </c>
      <c r="C30">
        <v>300</v>
      </c>
      <c r="E30">
        <f t="shared" si="0"/>
        <v>505254.24000000011</v>
      </c>
      <c r="F30">
        <f t="shared" si="1"/>
        <v>323.14999999999998</v>
      </c>
      <c r="G30">
        <f t="shared" si="2"/>
        <v>3.3333333333333339</v>
      </c>
    </row>
    <row r="31" spans="1:7" x14ac:dyDescent="0.35">
      <c r="A31">
        <v>6.0255999999999998</v>
      </c>
      <c r="B31">
        <v>100</v>
      </c>
      <c r="C31">
        <v>300</v>
      </c>
      <c r="E31">
        <f t="shared" si="0"/>
        <v>591111.36</v>
      </c>
      <c r="F31">
        <f t="shared" si="1"/>
        <v>373.15</v>
      </c>
      <c r="G31">
        <f t="shared" si="2"/>
        <v>3.3333333333333339</v>
      </c>
    </row>
    <row r="32" spans="1:7" x14ac:dyDescent="0.35">
      <c r="A32">
        <v>6.8853999999999997</v>
      </c>
      <c r="B32">
        <v>150</v>
      </c>
      <c r="C32">
        <v>300</v>
      </c>
      <c r="E32">
        <f t="shared" si="0"/>
        <v>675457.74</v>
      </c>
      <c r="F32">
        <f t="shared" si="1"/>
        <v>423.15</v>
      </c>
      <c r="G32">
        <f t="shared" si="2"/>
        <v>3.3333333333333339</v>
      </c>
    </row>
    <row r="33" spans="1:7" x14ac:dyDescent="0.35">
      <c r="A33">
        <v>7.7375999999999996</v>
      </c>
      <c r="B33">
        <v>200</v>
      </c>
      <c r="C33">
        <v>300</v>
      </c>
      <c r="E33">
        <f t="shared" si="0"/>
        <v>759058.56</v>
      </c>
      <c r="F33">
        <f t="shared" si="1"/>
        <v>473.15</v>
      </c>
      <c r="G33">
        <f t="shared" si="2"/>
        <v>3.3333333333333339</v>
      </c>
    </row>
    <row r="34" spans="1:7" x14ac:dyDescent="0.35">
      <c r="A34">
        <v>8.5846999999999998</v>
      </c>
      <c r="B34">
        <v>250</v>
      </c>
      <c r="C34">
        <v>300</v>
      </c>
      <c r="E34">
        <f t="shared" si="0"/>
        <v>842159.07000000007</v>
      </c>
      <c r="F34">
        <f t="shared" si="1"/>
        <v>523.15</v>
      </c>
      <c r="G34">
        <f t="shared" si="2"/>
        <v>3.3333333333333339</v>
      </c>
    </row>
    <row r="35" spans="1:7" x14ac:dyDescent="0.35">
      <c r="A35">
        <v>9.4291</v>
      </c>
      <c r="B35">
        <v>300</v>
      </c>
      <c r="C35">
        <v>300</v>
      </c>
      <c r="E35">
        <f t="shared" si="0"/>
        <v>924994.71</v>
      </c>
      <c r="F35">
        <f t="shared" si="1"/>
        <v>573.15</v>
      </c>
      <c r="G35">
        <f t="shared" si="2"/>
        <v>3.3333333333333339</v>
      </c>
    </row>
    <row r="36" spans="1:7" x14ac:dyDescent="0.35">
      <c r="A36">
        <v>6.5730000000000004</v>
      </c>
      <c r="B36">
        <v>15</v>
      </c>
      <c r="C36">
        <v>200</v>
      </c>
      <c r="E36">
        <f t="shared" si="0"/>
        <v>644811.30000000005</v>
      </c>
      <c r="F36">
        <f t="shared" si="1"/>
        <v>288.14999999999998</v>
      </c>
      <c r="G36">
        <f t="shared" si="2"/>
        <v>5</v>
      </c>
    </row>
    <row r="37" spans="1:7" x14ac:dyDescent="0.35">
      <c r="A37">
        <v>6.8659999999999997</v>
      </c>
      <c r="B37">
        <v>25</v>
      </c>
      <c r="C37">
        <v>200</v>
      </c>
      <c r="E37">
        <f t="shared" si="0"/>
        <v>673554.6</v>
      </c>
      <c r="F37">
        <f t="shared" si="1"/>
        <v>298.14999999999998</v>
      </c>
      <c r="G37">
        <f t="shared" si="2"/>
        <v>5</v>
      </c>
    </row>
    <row r="38" spans="1:7" x14ac:dyDescent="0.35">
      <c r="A38">
        <v>7.5709999999999997</v>
      </c>
      <c r="B38">
        <v>50</v>
      </c>
      <c r="C38">
        <v>200</v>
      </c>
      <c r="E38">
        <f t="shared" si="0"/>
        <v>742715.10000000009</v>
      </c>
      <c r="F38">
        <f t="shared" si="1"/>
        <v>323.14999999999998</v>
      </c>
      <c r="G38">
        <f t="shared" si="2"/>
        <v>5</v>
      </c>
    </row>
    <row r="39" spans="1:7" x14ac:dyDescent="0.35">
      <c r="A39">
        <v>8.9190000000000005</v>
      </c>
      <c r="B39">
        <v>100</v>
      </c>
      <c r="C39">
        <v>200</v>
      </c>
      <c r="E39">
        <f t="shared" si="0"/>
        <v>874953.90000000014</v>
      </c>
      <c r="F39">
        <f t="shared" si="1"/>
        <v>373.15</v>
      </c>
      <c r="G39">
        <f t="shared" si="2"/>
        <v>5</v>
      </c>
    </row>
    <row r="40" spans="1:7" x14ac:dyDescent="0.35">
      <c r="A40">
        <v>10.231</v>
      </c>
      <c r="B40">
        <v>150</v>
      </c>
      <c r="C40">
        <v>200</v>
      </c>
      <c r="E40">
        <f t="shared" si="0"/>
        <v>1003661.1000000001</v>
      </c>
      <c r="F40">
        <f t="shared" si="1"/>
        <v>423.15</v>
      </c>
      <c r="G40">
        <f t="shared" si="2"/>
        <v>5</v>
      </c>
    </row>
    <row r="41" spans="1:7" x14ac:dyDescent="0.35">
      <c r="A41">
        <v>11.523999999999999</v>
      </c>
      <c r="B41">
        <v>200</v>
      </c>
      <c r="C41">
        <v>200</v>
      </c>
      <c r="E41">
        <f t="shared" si="0"/>
        <v>1130504.3999999999</v>
      </c>
      <c r="F41">
        <f t="shared" si="1"/>
        <v>473.15</v>
      </c>
      <c r="G41">
        <f t="shared" si="2"/>
        <v>5</v>
      </c>
    </row>
    <row r="42" spans="1:7" x14ac:dyDescent="0.35">
      <c r="A42">
        <v>12.807</v>
      </c>
      <c r="B42">
        <v>250</v>
      </c>
      <c r="C42">
        <v>200</v>
      </c>
      <c r="E42">
        <f t="shared" si="0"/>
        <v>1256366.7000000002</v>
      </c>
      <c r="F42">
        <f t="shared" si="1"/>
        <v>523.15</v>
      </c>
      <c r="G42">
        <f t="shared" si="2"/>
        <v>5</v>
      </c>
    </row>
    <row r="43" spans="1:7" x14ac:dyDescent="0.35">
      <c r="A43">
        <v>14.084</v>
      </c>
      <c r="B43">
        <v>300</v>
      </c>
      <c r="C43">
        <v>200</v>
      </c>
      <c r="E43">
        <f t="shared" si="0"/>
        <v>1381640.4</v>
      </c>
      <c r="F43">
        <f t="shared" si="1"/>
        <v>573.15</v>
      </c>
      <c r="G43">
        <f t="shared" si="2"/>
        <v>5</v>
      </c>
    </row>
    <row r="44" spans="1:7" x14ac:dyDescent="0.35">
      <c r="A44">
        <v>11.499000000000001</v>
      </c>
      <c r="B44">
        <v>30</v>
      </c>
      <c r="C44">
        <v>115</v>
      </c>
      <c r="E44">
        <f t="shared" si="0"/>
        <v>1128051.9000000001</v>
      </c>
      <c r="F44">
        <f t="shared" si="1"/>
        <v>303.14999999999998</v>
      </c>
      <c r="G44">
        <f t="shared" si="2"/>
        <v>8.6956521739130448</v>
      </c>
    </row>
    <row r="45" spans="1:7" x14ac:dyDescent="0.35">
      <c r="A45">
        <v>11.77</v>
      </c>
      <c r="B45">
        <v>35</v>
      </c>
      <c r="C45">
        <v>115</v>
      </c>
      <c r="E45">
        <f t="shared" si="0"/>
        <v>1154637</v>
      </c>
      <c r="F45">
        <f t="shared" si="1"/>
        <v>308.14999999999998</v>
      </c>
      <c r="G45">
        <f t="shared" si="2"/>
        <v>8.6956521739130448</v>
      </c>
    </row>
    <row r="46" spans="1:7" x14ac:dyDescent="0.35">
      <c r="A46">
        <v>12.566000000000001</v>
      </c>
      <c r="B46">
        <v>50</v>
      </c>
      <c r="C46">
        <v>115</v>
      </c>
      <c r="E46">
        <f t="shared" si="0"/>
        <v>1232724.6000000001</v>
      </c>
      <c r="F46">
        <f t="shared" si="1"/>
        <v>323.14999999999998</v>
      </c>
      <c r="G46">
        <f t="shared" si="2"/>
        <v>8.6956521739130448</v>
      </c>
    </row>
    <row r="47" spans="1:7" x14ac:dyDescent="0.35">
      <c r="A47">
        <v>15.051</v>
      </c>
      <c r="B47">
        <v>100</v>
      </c>
      <c r="C47">
        <v>115</v>
      </c>
      <c r="E47">
        <f t="shared" si="0"/>
        <v>1476503.1</v>
      </c>
      <c r="F47">
        <f t="shared" si="1"/>
        <v>373.15</v>
      </c>
      <c r="G47">
        <f t="shared" si="2"/>
        <v>8.6956521739130448</v>
      </c>
    </row>
    <row r="48" spans="1:7" x14ac:dyDescent="0.35">
      <c r="A48">
        <v>17.419</v>
      </c>
      <c r="B48">
        <v>150</v>
      </c>
      <c r="C48">
        <v>115</v>
      </c>
      <c r="E48">
        <f t="shared" si="0"/>
        <v>1708803.9000000001</v>
      </c>
      <c r="F48">
        <f t="shared" si="1"/>
        <v>423.15</v>
      </c>
      <c r="G48">
        <f t="shared" si="2"/>
        <v>8.6956521739130448</v>
      </c>
    </row>
    <row r="49" spans="1:7" x14ac:dyDescent="0.35">
      <c r="A49">
        <v>19.733000000000001</v>
      </c>
      <c r="B49">
        <v>200</v>
      </c>
      <c r="C49">
        <v>115</v>
      </c>
      <c r="E49">
        <f t="shared" si="0"/>
        <v>1935807.3000000003</v>
      </c>
      <c r="F49">
        <f t="shared" si="1"/>
        <v>473.15</v>
      </c>
      <c r="G49">
        <f t="shared" si="2"/>
        <v>8.6956521739130448</v>
      </c>
    </row>
    <row r="50" spans="1:7" x14ac:dyDescent="0.35">
      <c r="A50">
        <v>22.013999999999999</v>
      </c>
      <c r="B50">
        <v>250</v>
      </c>
      <c r="C50">
        <v>115</v>
      </c>
      <c r="E50">
        <f t="shared" si="0"/>
        <v>2159573.4000000004</v>
      </c>
      <c r="F50">
        <f t="shared" si="1"/>
        <v>523.15</v>
      </c>
      <c r="G50">
        <f t="shared" si="2"/>
        <v>8.6956521739130448</v>
      </c>
    </row>
    <row r="51" spans="1:7" x14ac:dyDescent="0.35">
      <c r="A51">
        <v>24.277999999999999</v>
      </c>
      <c r="B51">
        <v>300</v>
      </c>
      <c r="C51">
        <v>115</v>
      </c>
      <c r="E51">
        <f t="shared" si="0"/>
        <v>2381671.7999999998</v>
      </c>
      <c r="F51">
        <f t="shared" si="1"/>
        <v>573.15</v>
      </c>
      <c r="G51">
        <f t="shared" si="2"/>
        <v>8.6956521739130448</v>
      </c>
    </row>
    <row r="52" spans="1:7" x14ac:dyDescent="0.35">
      <c r="A52">
        <v>16.245000000000001</v>
      </c>
      <c r="B52">
        <v>50</v>
      </c>
      <c r="C52">
        <v>85.5</v>
      </c>
      <c r="E52">
        <f t="shared" si="0"/>
        <v>1593634.5000000002</v>
      </c>
      <c r="F52">
        <f t="shared" si="1"/>
        <v>323.14999999999998</v>
      </c>
      <c r="G52">
        <f t="shared" si="2"/>
        <v>11.695906432748536</v>
      </c>
    </row>
    <row r="53" spans="1:7" x14ac:dyDescent="0.35">
      <c r="A53">
        <v>19.745000000000001</v>
      </c>
      <c r="B53">
        <v>100</v>
      </c>
      <c r="C53">
        <v>85.5</v>
      </c>
      <c r="E53">
        <f t="shared" si="0"/>
        <v>1936984.5</v>
      </c>
      <c r="F53">
        <f t="shared" si="1"/>
        <v>373.15</v>
      </c>
      <c r="G53">
        <f t="shared" si="2"/>
        <v>11.695906432748536</v>
      </c>
    </row>
    <row r="54" spans="1:7" x14ac:dyDescent="0.35">
      <c r="A54">
        <v>23.026</v>
      </c>
      <c r="B54">
        <v>150</v>
      </c>
      <c r="C54">
        <v>85.5</v>
      </c>
      <c r="E54">
        <f t="shared" si="0"/>
        <v>2258850.6</v>
      </c>
      <c r="F54">
        <f t="shared" si="1"/>
        <v>423.15</v>
      </c>
      <c r="G54">
        <f t="shared" si="2"/>
        <v>11.695906432748536</v>
      </c>
    </row>
    <row r="55" spans="1:7" x14ac:dyDescent="0.35">
      <c r="A55">
        <v>26.204000000000001</v>
      </c>
      <c r="B55">
        <v>200</v>
      </c>
      <c r="C55">
        <v>85.5</v>
      </c>
      <c r="E55">
        <f t="shared" si="0"/>
        <v>2570612.4</v>
      </c>
      <c r="F55">
        <f t="shared" si="1"/>
        <v>473.15</v>
      </c>
      <c r="G55">
        <f t="shared" si="2"/>
        <v>11.695906432748536</v>
      </c>
    </row>
    <row r="56" spans="1:7" x14ac:dyDescent="0.35">
      <c r="A56">
        <v>29.321999999999999</v>
      </c>
      <c r="B56">
        <v>250</v>
      </c>
      <c r="C56">
        <v>85.5</v>
      </c>
      <c r="E56">
        <f t="shared" si="0"/>
        <v>2876488.2</v>
      </c>
      <c r="F56">
        <f t="shared" si="1"/>
        <v>523.15</v>
      </c>
      <c r="G56">
        <f t="shared" si="2"/>
        <v>11.695906432748536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CF07-9F01-457A-8EB7-ECC67A5D581C}">
  <dimension ref="A1:G662"/>
  <sheetViews>
    <sheetView topLeftCell="A353" workbookViewId="0">
      <selection activeCell="J359" sqref="J359"/>
    </sheetView>
  </sheetViews>
  <sheetFormatPr defaultRowHeight="14.5" x14ac:dyDescent="0.35"/>
  <cols>
    <col min="5" max="5" width="12.26953125" bestFit="1" customWidth="1"/>
  </cols>
  <sheetData>
    <row r="1" spans="1:7" x14ac:dyDescent="0.35">
      <c r="A1" t="s">
        <v>28</v>
      </c>
      <c r="B1" t="s">
        <v>8</v>
      </c>
      <c r="C1" t="s">
        <v>35</v>
      </c>
      <c r="E1" t="s">
        <v>7</v>
      </c>
      <c r="F1" t="s">
        <v>8</v>
      </c>
      <c r="G1" t="s">
        <v>9</v>
      </c>
    </row>
    <row r="2" spans="1:7" x14ac:dyDescent="0.35">
      <c r="A2">
        <v>1</v>
      </c>
      <c r="B2">
        <v>300</v>
      </c>
      <c r="C2">
        <v>1450.6</v>
      </c>
      <c r="E2">
        <f t="shared" ref="E2:E65" si="0">A2*100000</f>
        <v>100000</v>
      </c>
      <c r="F2">
        <f>B2</f>
        <v>300</v>
      </c>
      <c r="G2">
        <f>1/C2*0.001*1000000</f>
        <v>0.68936991589687024</v>
      </c>
    </row>
    <row r="3" spans="1:7" x14ac:dyDescent="0.35">
      <c r="A3">
        <v>1</v>
      </c>
      <c r="B3">
        <v>320</v>
      </c>
      <c r="C3">
        <v>1550.8</v>
      </c>
      <c r="E3">
        <f t="shared" si="0"/>
        <v>100000</v>
      </c>
      <c r="F3">
        <f t="shared" ref="F3:F66" si="1">B3</f>
        <v>320</v>
      </c>
      <c r="G3">
        <f t="shared" ref="G3:G66" si="2">1/C3*0.001*1000000</f>
        <v>0.64482847562548362</v>
      </c>
    </row>
    <row r="4" spans="1:7" x14ac:dyDescent="0.35">
      <c r="A4">
        <v>1</v>
      </c>
      <c r="B4">
        <v>340</v>
      </c>
      <c r="C4">
        <v>1650.5</v>
      </c>
      <c r="E4">
        <f t="shared" si="0"/>
        <v>100000</v>
      </c>
      <c r="F4">
        <f t="shared" si="1"/>
        <v>340</v>
      </c>
      <c r="G4">
        <f t="shared" si="2"/>
        <v>0.60587700696758551</v>
      </c>
    </row>
    <row r="5" spans="1:7" x14ac:dyDescent="0.35">
      <c r="A5">
        <v>1</v>
      </c>
      <c r="B5">
        <v>360</v>
      </c>
      <c r="C5">
        <v>1749.6</v>
      </c>
      <c r="E5">
        <f t="shared" si="0"/>
        <v>100000</v>
      </c>
      <c r="F5">
        <f t="shared" si="1"/>
        <v>360</v>
      </c>
      <c r="G5">
        <f t="shared" si="2"/>
        <v>0.57155921353452233</v>
      </c>
    </row>
    <row r="6" spans="1:7" x14ac:dyDescent="0.35">
      <c r="A6">
        <v>1</v>
      </c>
      <c r="B6">
        <v>380</v>
      </c>
      <c r="C6">
        <v>1848.5</v>
      </c>
      <c r="E6">
        <f t="shared" si="0"/>
        <v>100000</v>
      </c>
      <c r="F6">
        <f t="shared" si="1"/>
        <v>380</v>
      </c>
      <c r="G6">
        <f t="shared" si="2"/>
        <v>0.54097917230186643</v>
      </c>
    </row>
    <row r="7" spans="1:7" x14ac:dyDescent="0.35">
      <c r="A7">
        <v>1</v>
      </c>
      <c r="B7">
        <v>400</v>
      </c>
      <c r="C7">
        <v>1947.2</v>
      </c>
      <c r="E7">
        <f t="shared" si="0"/>
        <v>100000</v>
      </c>
      <c r="F7">
        <f t="shared" si="1"/>
        <v>400</v>
      </c>
      <c r="G7">
        <f t="shared" si="2"/>
        <v>0.5135579293344289</v>
      </c>
    </row>
    <row r="8" spans="1:7" x14ac:dyDescent="0.35">
      <c r="A8">
        <v>1</v>
      </c>
      <c r="B8">
        <v>420</v>
      </c>
      <c r="C8">
        <v>2045.7</v>
      </c>
      <c r="E8">
        <f t="shared" si="0"/>
        <v>100000</v>
      </c>
      <c r="F8">
        <f t="shared" si="1"/>
        <v>420</v>
      </c>
      <c r="G8">
        <f t="shared" si="2"/>
        <v>0.48883022926137759</v>
      </c>
    </row>
    <row r="9" spans="1:7" x14ac:dyDescent="0.35">
      <c r="A9">
        <v>1</v>
      </c>
      <c r="B9">
        <v>440</v>
      </c>
      <c r="C9">
        <v>2144.1</v>
      </c>
      <c r="E9">
        <f t="shared" si="0"/>
        <v>100000</v>
      </c>
      <c r="F9">
        <f t="shared" si="1"/>
        <v>440</v>
      </c>
      <c r="G9">
        <f t="shared" si="2"/>
        <v>0.46639615689566721</v>
      </c>
    </row>
    <row r="10" spans="1:7" x14ac:dyDescent="0.35">
      <c r="A10">
        <v>1</v>
      </c>
      <c r="B10">
        <v>460</v>
      </c>
      <c r="C10">
        <v>2242.3000000000002</v>
      </c>
      <c r="E10">
        <f t="shared" si="0"/>
        <v>100000</v>
      </c>
      <c r="F10">
        <f t="shared" si="1"/>
        <v>460</v>
      </c>
      <c r="G10">
        <f t="shared" si="2"/>
        <v>0.4459706551308924</v>
      </c>
    </row>
    <row r="11" spans="1:7" x14ac:dyDescent="0.35">
      <c r="A11">
        <v>1</v>
      </c>
      <c r="B11">
        <v>480</v>
      </c>
      <c r="C11">
        <v>2340.5</v>
      </c>
      <c r="E11">
        <f t="shared" si="0"/>
        <v>100000</v>
      </c>
      <c r="F11">
        <f t="shared" si="1"/>
        <v>480</v>
      </c>
      <c r="G11">
        <f t="shared" si="2"/>
        <v>0.42725913266396071</v>
      </c>
    </row>
    <row r="12" spans="1:7" x14ac:dyDescent="0.35">
      <c r="A12">
        <v>1</v>
      </c>
      <c r="B12">
        <v>500</v>
      </c>
      <c r="C12">
        <v>2438.6</v>
      </c>
      <c r="E12">
        <f t="shared" si="0"/>
        <v>100000</v>
      </c>
      <c r="F12">
        <f t="shared" si="1"/>
        <v>500</v>
      </c>
      <c r="G12">
        <f t="shared" si="2"/>
        <v>0.41007135241532028</v>
      </c>
    </row>
    <row r="13" spans="1:7" x14ac:dyDescent="0.35">
      <c r="A13">
        <v>1</v>
      </c>
      <c r="B13">
        <v>520</v>
      </c>
      <c r="C13">
        <v>2536.6</v>
      </c>
      <c r="E13">
        <f t="shared" si="0"/>
        <v>100000</v>
      </c>
      <c r="F13">
        <f t="shared" si="1"/>
        <v>520</v>
      </c>
      <c r="G13">
        <f t="shared" si="2"/>
        <v>0.39422849483560674</v>
      </c>
    </row>
    <row r="14" spans="1:7" x14ac:dyDescent="0.35">
      <c r="A14">
        <v>1</v>
      </c>
      <c r="B14">
        <v>540</v>
      </c>
      <c r="C14">
        <v>2634.7</v>
      </c>
      <c r="E14">
        <f t="shared" si="0"/>
        <v>100000</v>
      </c>
      <c r="F14">
        <f t="shared" si="1"/>
        <v>540</v>
      </c>
      <c r="G14">
        <f t="shared" si="2"/>
        <v>0.37954985387330631</v>
      </c>
    </row>
    <row r="15" spans="1:7" x14ac:dyDescent="0.35">
      <c r="A15">
        <v>1</v>
      </c>
      <c r="B15">
        <v>560</v>
      </c>
      <c r="C15">
        <v>2696.9</v>
      </c>
      <c r="E15">
        <f t="shared" si="0"/>
        <v>100000</v>
      </c>
      <c r="F15">
        <f t="shared" si="1"/>
        <v>560</v>
      </c>
      <c r="G15">
        <f t="shared" si="2"/>
        <v>0.37079609922503609</v>
      </c>
    </row>
    <row r="16" spans="1:7" x14ac:dyDescent="0.35">
      <c r="A16">
        <v>1</v>
      </c>
      <c r="B16">
        <v>580</v>
      </c>
      <c r="C16">
        <v>2830.6</v>
      </c>
      <c r="E16">
        <f t="shared" si="0"/>
        <v>100000</v>
      </c>
      <c r="F16">
        <f t="shared" si="1"/>
        <v>580</v>
      </c>
      <c r="G16">
        <f t="shared" si="2"/>
        <v>0.35328198968416591</v>
      </c>
    </row>
    <row r="17" spans="1:7" x14ac:dyDescent="0.35">
      <c r="A17">
        <v>5</v>
      </c>
      <c r="B17">
        <v>300</v>
      </c>
      <c r="C17">
        <v>277.2</v>
      </c>
      <c r="E17">
        <f t="shared" si="0"/>
        <v>500000</v>
      </c>
      <c r="F17">
        <f t="shared" si="1"/>
        <v>300</v>
      </c>
      <c r="G17">
        <f t="shared" si="2"/>
        <v>3.6075036075036073</v>
      </c>
    </row>
    <row r="18" spans="1:7" x14ac:dyDescent="0.35">
      <c r="A18">
        <v>5</v>
      </c>
      <c r="B18">
        <v>320</v>
      </c>
      <c r="C18">
        <v>299.7</v>
      </c>
      <c r="E18">
        <f t="shared" si="0"/>
        <v>500000</v>
      </c>
      <c r="F18">
        <f t="shared" si="1"/>
        <v>320</v>
      </c>
      <c r="G18">
        <f t="shared" si="2"/>
        <v>3.3366700033366703</v>
      </c>
    </row>
    <row r="19" spans="1:7" x14ac:dyDescent="0.35">
      <c r="A19">
        <v>5</v>
      </c>
      <c r="B19">
        <v>340</v>
      </c>
      <c r="C19">
        <v>321.2</v>
      </c>
      <c r="E19">
        <f t="shared" si="0"/>
        <v>500000</v>
      </c>
      <c r="F19">
        <f t="shared" si="1"/>
        <v>340</v>
      </c>
      <c r="G19">
        <f t="shared" si="2"/>
        <v>3.1133250311332508</v>
      </c>
    </row>
    <row r="20" spans="1:7" x14ac:dyDescent="0.35">
      <c r="A20">
        <v>5</v>
      </c>
      <c r="B20">
        <v>360</v>
      </c>
      <c r="C20">
        <v>342.2</v>
      </c>
      <c r="E20">
        <f t="shared" si="0"/>
        <v>500000</v>
      </c>
      <c r="F20">
        <f t="shared" si="1"/>
        <v>360</v>
      </c>
      <c r="G20">
        <f t="shared" si="2"/>
        <v>2.9222676797194622</v>
      </c>
    </row>
    <row r="21" spans="1:7" x14ac:dyDescent="0.35">
      <c r="A21">
        <v>5</v>
      </c>
      <c r="B21">
        <v>380</v>
      </c>
      <c r="C21">
        <v>363</v>
      </c>
      <c r="E21">
        <f t="shared" si="0"/>
        <v>500000</v>
      </c>
      <c r="F21">
        <f t="shared" si="1"/>
        <v>380</v>
      </c>
      <c r="G21">
        <f t="shared" si="2"/>
        <v>2.7548209366391188</v>
      </c>
    </row>
    <row r="22" spans="1:7" x14ac:dyDescent="0.35">
      <c r="A22">
        <v>5</v>
      </c>
      <c r="B22">
        <v>400</v>
      </c>
      <c r="C22">
        <v>383.5</v>
      </c>
      <c r="E22">
        <f t="shared" si="0"/>
        <v>500000</v>
      </c>
      <c r="F22">
        <f t="shared" si="1"/>
        <v>400</v>
      </c>
      <c r="G22">
        <f t="shared" si="2"/>
        <v>2.6075619295958279</v>
      </c>
    </row>
    <row r="23" spans="1:7" x14ac:dyDescent="0.35">
      <c r="A23">
        <v>5</v>
      </c>
      <c r="B23">
        <v>420</v>
      </c>
      <c r="C23">
        <v>403.9</v>
      </c>
      <c r="E23">
        <f t="shared" si="0"/>
        <v>500000</v>
      </c>
      <c r="F23">
        <f t="shared" si="1"/>
        <v>420</v>
      </c>
      <c r="G23">
        <f t="shared" si="2"/>
        <v>2.4758603614756129</v>
      </c>
    </row>
    <row r="24" spans="1:7" x14ac:dyDescent="0.35">
      <c r="A24">
        <v>5</v>
      </c>
      <c r="B24">
        <v>440</v>
      </c>
      <c r="C24">
        <v>424.1</v>
      </c>
      <c r="E24">
        <f t="shared" si="0"/>
        <v>500000</v>
      </c>
      <c r="F24">
        <f t="shared" si="1"/>
        <v>440</v>
      </c>
      <c r="G24">
        <f t="shared" si="2"/>
        <v>2.3579344494223062</v>
      </c>
    </row>
    <row r="25" spans="1:7" x14ac:dyDescent="0.35">
      <c r="A25">
        <v>5</v>
      </c>
      <c r="B25">
        <v>460</v>
      </c>
      <c r="C25">
        <v>444.3</v>
      </c>
      <c r="E25">
        <f t="shared" si="0"/>
        <v>500000</v>
      </c>
      <c r="F25">
        <f t="shared" si="1"/>
        <v>460</v>
      </c>
      <c r="G25">
        <f t="shared" si="2"/>
        <v>2.2507314877335136</v>
      </c>
    </row>
    <row r="26" spans="1:7" x14ac:dyDescent="0.35">
      <c r="A26">
        <v>5</v>
      </c>
      <c r="B26">
        <v>480</v>
      </c>
      <c r="C26">
        <v>464.3</v>
      </c>
      <c r="E26">
        <f t="shared" si="0"/>
        <v>500000</v>
      </c>
      <c r="F26">
        <f t="shared" si="1"/>
        <v>480</v>
      </c>
      <c r="G26">
        <f t="shared" si="2"/>
        <v>2.1537798836958864</v>
      </c>
    </row>
    <row r="27" spans="1:7" x14ac:dyDescent="0.35">
      <c r="A27">
        <v>5</v>
      </c>
      <c r="B27">
        <v>500</v>
      </c>
      <c r="C27">
        <v>484.3</v>
      </c>
      <c r="E27">
        <f t="shared" si="0"/>
        <v>500000</v>
      </c>
      <c r="F27">
        <f t="shared" si="1"/>
        <v>500</v>
      </c>
      <c r="G27">
        <f t="shared" si="2"/>
        <v>2.0648358455502787</v>
      </c>
    </row>
    <row r="28" spans="1:7" x14ac:dyDescent="0.35">
      <c r="A28">
        <v>5</v>
      </c>
      <c r="B28">
        <v>520</v>
      </c>
      <c r="C28">
        <v>504.2</v>
      </c>
      <c r="E28">
        <f t="shared" si="0"/>
        <v>500000</v>
      </c>
      <c r="F28">
        <f t="shared" si="1"/>
        <v>520</v>
      </c>
      <c r="G28">
        <f t="shared" si="2"/>
        <v>1.9833399444664821</v>
      </c>
    </row>
    <row r="29" spans="1:7" x14ac:dyDescent="0.35">
      <c r="A29">
        <v>5</v>
      </c>
      <c r="B29">
        <v>540</v>
      </c>
      <c r="C29">
        <v>524.1</v>
      </c>
      <c r="E29">
        <f t="shared" si="0"/>
        <v>500000</v>
      </c>
      <c r="F29">
        <f t="shared" si="1"/>
        <v>540</v>
      </c>
      <c r="G29">
        <f t="shared" si="2"/>
        <v>1.9080328181644726</v>
      </c>
    </row>
    <row r="30" spans="1:7" x14ac:dyDescent="0.35">
      <c r="A30">
        <v>5</v>
      </c>
      <c r="B30">
        <v>560</v>
      </c>
      <c r="C30">
        <v>543.9</v>
      </c>
      <c r="E30">
        <f t="shared" si="0"/>
        <v>500000</v>
      </c>
      <c r="F30">
        <f t="shared" si="1"/>
        <v>560</v>
      </c>
      <c r="G30">
        <f t="shared" si="2"/>
        <v>1.8385732671446959</v>
      </c>
    </row>
    <row r="31" spans="1:7" x14ac:dyDescent="0.35">
      <c r="A31">
        <v>5</v>
      </c>
      <c r="B31">
        <v>580</v>
      </c>
      <c r="C31">
        <v>563.70000000000005</v>
      </c>
      <c r="E31">
        <f t="shared" si="0"/>
        <v>500000</v>
      </c>
      <c r="F31">
        <f t="shared" si="1"/>
        <v>580</v>
      </c>
      <c r="G31">
        <f t="shared" si="2"/>
        <v>1.7739932588256164</v>
      </c>
    </row>
    <row r="32" spans="1:7" x14ac:dyDescent="0.35">
      <c r="A32">
        <v>10</v>
      </c>
      <c r="B32">
        <v>300</v>
      </c>
      <c r="C32">
        <v>129.80000000000001</v>
      </c>
      <c r="E32">
        <f t="shared" si="0"/>
        <v>1000000</v>
      </c>
      <c r="F32">
        <f t="shared" si="1"/>
        <v>300</v>
      </c>
      <c r="G32">
        <f t="shared" si="2"/>
        <v>7.7041602465331271</v>
      </c>
    </row>
    <row r="33" spans="1:7" x14ac:dyDescent="0.35">
      <c r="A33">
        <v>10</v>
      </c>
      <c r="B33">
        <v>320</v>
      </c>
      <c r="C33">
        <v>142.9</v>
      </c>
      <c r="E33">
        <f t="shared" si="0"/>
        <v>1000000</v>
      </c>
      <c r="F33">
        <f t="shared" si="1"/>
        <v>320</v>
      </c>
      <c r="G33">
        <f t="shared" si="2"/>
        <v>6.9979006298110562</v>
      </c>
    </row>
    <row r="34" spans="1:7" x14ac:dyDescent="0.35">
      <c r="A34">
        <v>10</v>
      </c>
      <c r="B34">
        <v>340</v>
      </c>
      <c r="C34">
        <v>155.1</v>
      </c>
      <c r="E34">
        <f t="shared" si="0"/>
        <v>1000000</v>
      </c>
      <c r="F34">
        <f t="shared" si="1"/>
        <v>340</v>
      </c>
      <c r="G34">
        <f t="shared" si="2"/>
        <v>6.4474532559638948</v>
      </c>
    </row>
    <row r="35" spans="1:7" x14ac:dyDescent="0.35">
      <c r="A35">
        <v>10</v>
      </c>
      <c r="B35">
        <v>360</v>
      </c>
      <c r="C35">
        <v>166.5</v>
      </c>
      <c r="E35">
        <f t="shared" si="0"/>
        <v>1000000</v>
      </c>
      <c r="F35">
        <f t="shared" si="1"/>
        <v>360</v>
      </c>
      <c r="G35">
        <f t="shared" si="2"/>
        <v>6.0060060060060056</v>
      </c>
    </row>
    <row r="36" spans="1:7" x14ac:dyDescent="0.35">
      <c r="A36">
        <v>10</v>
      </c>
      <c r="B36">
        <v>380</v>
      </c>
      <c r="C36">
        <v>177.6</v>
      </c>
      <c r="E36">
        <f t="shared" si="0"/>
        <v>1000000</v>
      </c>
      <c r="F36">
        <f t="shared" si="1"/>
        <v>380</v>
      </c>
      <c r="G36">
        <f t="shared" si="2"/>
        <v>5.6306306306306313</v>
      </c>
    </row>
    <row r="37" spans="1:7" x14ac:dyDescent="0.35">
      <c r="A37">
        <v>10</v>
      </c>
      <c r="B37">
        <v>400</v>
      </c>
      <c r="C37">
        <v>188.4</v>
      </c>
      <c r="E37">
        <f t="shared" si="0"/>
        <v>1000000</v>
      </c>
      <c r="F37">
        <f t="shared" si="1"/>
        <v>400</v>
      </c>
      <c r="G37">
        <f t="shared" si="2"/>
        <v>5.3078556263269636</v>
      </c>
    </row>
    <row r="38" spans="1:7" x14ac:dyDescent="0.35">
      <c r="A38">
        <v>10</v>
      </c>
      <c r="B38">
        <v>420</v>
      </c>
      <c r="C38">
        <v>198.9</v>
      </c>
      <c r="E38">
        <f t="shared" si="0"/>
        <v>1000000</v>
      </c>
      <c r="F38">
        <f t="shared" si="1"/>
        <v>420</v>
      </c>
      <c r="G38">
        <f t="shared" si="2"/>
        <v>5.0276520864756149</v>
      </c>
    </row>
    <row r="39" spans="1:7" x14ac:dyDescent="0.35">
      <c r="A39">
        <v>10</v>
      </c>
      <c r="B39">
        <v>440</v>
      </c>
      <c r="C39">
        <v>209.4</v>
      </c>
      <c r="E39">
        <f t="shared" si="0"/>
        <v>1000000</v>
      </c>
      <c r="F39">
        <f t="shared" si="1"/>
        <v>440</v>
      </c>
      <c r="G39">
        <f t="shared" si="2"/>
        <v>4.7755491881566385</v>
      </c>
    </row>
    <row r="40" spans="1:7" x14ac:dyDescent="0.35">
      <c r="A40">
        <v>10</v>
      </c>
      <c r="B40">
        <v>460</v>
      </c>
      <c r="C40">
        <v>219.8</v>
      </c>
      <c r="E40">
        <f t="shared" si="0"/>
        <v>1000000</v>
      </c>
      <c r="F40">
        <f t="shared" si="1"/>
        <v>460</v>
      </c>
      <c r="G40">
        <f t="shared" si="2"/>
        <v>4.5495905368516834</v>
      </c>
    </row>
    <row r="41" spans="1:7" x14ac:dyDescent="0.35">
      <c r="A41">
        <v>10</v>
      </c>
      <c r="B41">
        <v>480</v>
      </c>
      <c r="C41">
        <v>230</v>
      </c>
      <c r="E41">
        <f t="shared" si="0"/>
        <v>1000000</v>
      </c>
      <c r="F41">
        <f t="shared" si="1"/>
        <v>480</v>
      </c>
      <c r="G41">
        <f t="shared" si="2"/>
        <v>4.3478260869565224</v>
      </c>
    </row>
    <row r="42" spans="1:7" x14ac:dyDescent="0.35">
      <c r="A42">
        <v>10</v>
      </c>
      <c r="B42">
        <v>500</v>
      </c>
      <c r="C42">
        <v>240.3</v>
      </c>
      <c r="E42">
        <f t="shared" si="0"/>
        <v>1000000</v>
      </c>
      <c r="F42">
        <f t="shared" si="1"/>
        <v>500</v>
      </c>
      <c r="G42">
        <f t="shared" si="2"/>
        <v>4.1614648356221382</v>
      </c>
    </row>
    <row r="43" spans="1:7" x14ac:dyDescent="0.35">
      <c r="A43">
        <v>10</v>
      </c>
      <c r="B43">
        <v>520</v>
      </c>
      <c r="C43">
        <v>250.5</v>
      </c>
      <c r="E43">
        <f t="shared" si="0"/>
        <v>1000000</v>
      </c>
      <c r="F43">
        <f t="shared" si="1"/>
        <v>520</v>
      </c>
      <c r="G43">
        <f t="shared" si="2"/>
        <v>3.9920159680638716</v>
      </c>
    </row>
    <row r="44" spans="1:7" x14ac:dyDescent="0.35">
      <c r="A44">
        <v>10</v>
      </c>
      <c r="B44">
        <v>540</v>
      </c>
      <c r="C44">
        <v>260.60000000000002</v>
      </c>
      <c r="E44">
        <f t="shared" si="0"/>
        <v>1000000</v>
      </c>
      <c r="F44">
        <f t="shared" si="1"/>
        <v>540</v>
      </c>
      <c r="G44">
        <f t="shared" si="2"/>
        <v>3.8372985418265544</v>
      </c>
    </row>
    <row r="45" spans="1:7" x14ac:dyDescent="0.35">
      <c r="A45">
        <v>10</v>
      </c>
      <c r="B45">
        <v>560</v>
      </c>
      <c r="C45">
        <v>270.60000000000002</v>
      </c>
      <c r="E45">
        <f t="shared" si="0"/>
        <v>1000000</v>
      </c>
      <c r="F45">
        <f t="shared" si="1"/>
        <v>560</v>
      </c>
      <c r="G45">
        <f t="shared" si="2"/>
        <v>3.6954915003695485</v>
      </c>
    </row>
    <row r="46" spans="1:7" x14ac:dyDescent="0.35">
      <c r="A46">
        <v>10</v>
      </c>
      <c r="B46">
        <v>580</v>
      </c>
      <c r="C46">
        <v>280.60000000000002</v>
      </c>
      <c r="E46">
        <f t="shared" si="0"/>
        <v>1000000</v>
      </c>
      <c r="F46">
        <f t="shared" si="1"/>
        <v>580</v>
      </c>
      <c r="G46">
        <f t="shared" si="2"/>
        <v>3.5637918745545258</v>
      </c>
    </row>
    <row r="47" spans="1:7" x14ac:dyDescent="0.35">
      <c r="A47">
        <v>15</v>
      </c>
      <c r="B47">
        <v>320</v>
      </c>
      <c r="C47">
        <v>90.07</v>
      </c>
      <c r="E47">
        <f t="shared" si="0"/>
        <v>1500000</v>
      </c>
      <c r="F47">
        <f t="shared" si="1"/>
        <v>320</v>
      </c>
      <c r="G47">
        <f t="shared" si="2"/>
        <v>11.102475852115024</v>
      </c>
    </row>
    <row r="48" spans="1:7" x14ac:dyDescent="0.35">
      <c r="A48">
        <v>15</v>
      </c>
      <c r="B48">
        <v>340</v>
      </c>
      <c r="C48">
        <v>99.11</v>
      </c>
      <c r="E48">
        <f t="shared" si="0"/>
        <v>1500000</v>
      </c>
      <c r="F48">
        <f t="shared" si="1"/>
        <v>340</v>
      </c>
      <c r="G48">
        <f t="shared" si="2"/>
        <v>10.089799212995661</v>
      </c>
    </row>
    <row r="49" spans="1:7" x14ac:dyDescent="0.35">
      <c r="A49">
        <v>15</v>
      </c>
      <c r="B49">
        <v>360</v>
      </c>
      <c r="C49">
        <v>107.7</v>
      </c>
      <c r="E49">
        <f t="shared" si="0"/>
        <v>1500000</v>
      </c>
      <c r="F49">
        <f t="shared" si="1"/>
        <v>360</v>
      </c>
      <c r="G49">
        <f t="shared" si="2"/>
        <v>9.2850510677808717</v>
      </c>
    </row>
    <row r="50" spans="1:7" x14ac:dyDescent="0.35">
      <c r="A50">
        <v>15</v>
      </c>
      <c r="B50">
        <v>380</v>
      </c>
      <c r="C50">
        <v>115.6</v>
      </c>
      <c r="E50">
        <f t="shared" si="0"/>
        <v>1500000</v>
      </c>
      <c r="F50">
        <f t="shared" si="1"/>
        <v>380</v>
      </c>
      <c r="G50">
        <f t="shared" si="2"/>
        <v>8.6505190311418687</v>
      </c>
    </row>
    <row r="51" spans="1:7" x14ac:dyDescent="0.35">
      <c r="A51">
        <v>15</v>
      </c>
      <c r="B51">
        <v>400</v>
      </c>
      <c r="C51">
        <v>123.1</v>
      </c>
      <c r="E51">
        <f t="shared" si="0"/>
        <v>1500000</v>
      </c>
      <c r="F51">
        <f t="shared" si="1"/>
        <v>400</v>
      </c>
      <c r="G51">
        <f t="shared" si="2"/>
        <v>8.1234768480909825</v>
      </c>
    </row>
    <row r="52" spans="1:7" x14ac:dyDescent="0.35">
      <c r="A52">
        <v>15</v>
      </c>
      <c r="B52">
        <v>420</v>
      </c>
      <c r="C52">
        <v>130</v>
      </c>
      <c r="E52">
        <f t="shared" si="0"/>
        <v>1500000</v>
      </c>
      <c r="F52">
        <f t="shared" si="1"/>
        <v>420</v>
      </c>
      <c r="G52">
        <f t="shared" si="2"/>
        <v>7.6923076923076934</v>
      </c>
    </row>
    <row r="53" spans="1:7" x14ac:dyDescent="0.35">
      <c r="A53">
        <v>15</v>
      </c>
      <c r="B53">
        <v>440</v>
      </c>
      <c r="C53">
        <v>137.80000000000001</v>
      </c>
      <c r="E53">
        <f t="shared" si="0"/>
        <v>1500000</v>
      </c>
      <c r="F53">
        <f t="shared" si="1"/>
        <v>440</v>
      </c>
      <c r="G53">
        <f t="shared" si="2"/>
        <v>7.2568940493468794</v>
      </c>
    </row>
    <row r="54" spans="1:7" x14ac:dyDescent="0.35">
      <c r="A54">
        <v>15</v>
      </c>
      <c r="B54">
        <v>460</v>
      </c>
      <c r="C54">
        <v>144.9</v>
      </c>
      <c r="E54">
        <f t="shared" si="0"/>
        <v>1500000</v>
      </c>
      <c r="F54">
        <f t="shared" si="1"/>
        <v>460</v>
      </c>
      <c r="G54">
        <f t="shared" si="2"/>
        <v>6.9013112491373363</v>
      </c>
    </row>
    <row r="55" spans="1:7" x14ac:dyDescent="0.35">
      <c r="A55">
        <v>15</v>
      </c>
      <c r="B55">
        <v>480</v>
      </c>
      <c r="C55">
        <v>151.9</v>
      </c>
      <c r="E55">
        <f t="shared" si="0"/>
        <v>1500000</v>
      </c>
      <c r="F55">
        <f t="shared" si="1"/>
        <v>480</v>
      </c>
      <c r="G55">
        <f t="shared" si="2"/>
        <v>6.5832784726793951</v>
      </c>
    </row>
    <row r="56" spans="1:7" x14ac:dyDescent="0.35">
      <c r="A56">
        <v>15</v>
      </c>
      <c r="B56">
        <v>500</v>
      </c>
      <c r="C56">
        <v>158.9</v>
      </c>
      <c r="E56">
        <f t="shared" si="0"/>
        <v>1500000</v>
      </c>
      <c r="F56">
        <f t="shared" si="1"/>
        <v>500</v>
      </c>
      <c r="G56">
        <f t="shared" si="2"/>
        <v>6.293266205160478</v>
      </c>
    </row>
    <row r="57" spans="1:7" x14ac:dyDescent="0.35">
      <c r="A57">
        <v>15</v>
      </c>
      <c r="B57">
        <v>520</v>
      </c>
      <c r="C57">
        <v>165.8</v>
      </c>
      <c r="E57">
        <f t="shared" si="0"/>
        <v>1500000</v>
      </c>
      <c r="F57">
        <f t="shared" si="1"/>
        <v>520</v>
      </c>
      <c r="G57">
        <f t="shared" si="2"/>
        <v>6.0313630880579012</v>
      </c>
    </row>
    <row r="58" spans="1:7" x14ac:dyDescent="0.35">
      <c r="A58">
        <v>15</v>
      </c>
      <c r="B58">
        <v>540</v>
      </c>
      <c r="C58">
        <v>172.6</v>
      </c>
      <c r="E58">
        <f t="shared" si="0"/>
        <v>1500000</v>
      </c>
      <c r="F58">
        <f t="shared" si="1"/>
        <v>540</v>
      </c>
      <c r="G58">
        <f t="shared" si="2"/>
        <v>5.793742757821553</v>
      </c>
    </row>
    <row r="59" spans="1:7" x14ac:dyDescent="0.35">
      <c r="A59">
        <v>15</v>
      </c>
      <c r="B59">
        <v>560</v>
      </c>
      <c r="C59">
        <v>179.5</v>
      </c>
      <c r="E59">
        <f t="shared" si="0"/>
        <v>1500000</v>
      </c>
      <c r="F59">
        <f t="shared" si="1"/>
        <v>560</v>
      </c>
      <c r="G59">
        <f t="shared" si="2"/>
        <v>5.5710306406685239</v>
      </c>
    </row>
    <row r="60" spans="1:7" x14ac:dyDescent="0.35">
      <c r="A60">
        <v>15</v>
      </c>
      <c r="B60">
        <v>580</v>
      </c>
      <c r="C60">
        <v>186.2</v>
      </c>
      <c r="E60">
        <f t="shared" si="0"/>
        <v>1500000</v>
      </c>
      <c r="F60">
        <f t="shared" si="1"/>
        <v>580</v>
      </c>
      <c r="G60">
        <f t="shared" si="2"/>
        <v>5.3705692803437168</v>
      </c>
    </row>
    <row r="61" spans="1:7" x14ac:dyDescent="0.35">
      <c r="A61">
        <v>20</v>
      </c>
      <c r="B61">
        <v>310</v>
      </c>
      <c r="C61">
        <v>1.71</v>
      </c>
      <c r="E61">
        <f t="shared" si="0"/>
        <v>2000000</v>
      </c>
      <c r="F61">
        <f t="shared" si="1"/>
        <v>310</v>
      </c>
      <c r="G61">
        <f t="shared" si="2"/>
        <v>584.79532163742692</v>
      </c>
    </row>
    <row r="62" spans="1:7" x14ac:dyDescent="0.35">
      <c r="A62">
        <v>20</v>
      </c>
      <c r="B62">
        <v>320</v>
      </c>
      <c r="C62">
        <v>1.76</v>
      </c>
      <c r="E62">
        <f t="shared" si="0"/>
        <v>2000000</v>
      </c>
      <c r="F62">
        <f t="shared" si="1"/>
        <v>320</v>
      </c>
      <c r="G62">
        <f t="shared" si="2"/>
        <v>568.18181818181824</v>
      </c>
    </row>
    <row r="63" spans="1:7" x14ac:dyDescent="0.35">
      <c r="A63">
        <v>20</v>
      </c>
      <c r="B63">
        <v>340</v>
      </c>
      <c r="C63">
        <v>71.16</v>
      </c>
      <c r="E63">
        <f t="shared" si="0"/>
        <v>2000000</v>
      </c>
      <c r="F63">
        <f t="shared" si="1"/>
        <v>340</v>
      </c>
      <c r="G63">
        <f t="shared" si="2"/>
        <v>14.05283867341203</v>
      </c>
    </row>
    <row r="64" spans="1:7" x14ac:dyDescent="0.35">
      <c r="A64">
        <v>20</v>
      </c>
      <c r="B64">
        <v>360</v>
      </c>
      <c r="C64">
        <v>77.03</v>
      </c>
      <c r="E64">
        <f t="shared" si="0"/>
        <v>2000000</v>
      </c>
      <c r="F64">
        <f t="shared" si="1"/>
        <v>360</v>
      </c>
      <c r="G64">
        <f t="shared" si="2"/>
        <v>12.981955082435414</v>
      </c>
    </row>
    <row r="65" spans="1:7" x14ac:dyDescent="0.35">
      <c r="A65">
        <v>20</v>
      </c>
      <c r="B65">
        <v>380</v>
      </c>
      <c r="C65">
        <v>84.43</v>
      </c>
      <c r="E65">
        <f t="shared" si="0"/>
        <v>2000000</v>
      </c>
      <c r="F65">
        <f t="shared" si="1"/>
        <v>380</v>
      </c>
      <c r="G65">
        <f t="shared" si="2"/>
        <v>11.84413123297406</v>
      </c>
    </row>
    <row r="66" spans="1:7" x14ac:dyDescent="0.35">
      <c r="A66">
        <v>20</v>
      </c>
      <c r="B66">
        <v>400</v>
      </c>
      <c r="C66">
        <v>90.48</v>
      </c>
      <c r="E66">
        <f t="shared" ref="E66:E129" si="3">A66*100000</f>
        <v>2000000</v>
      </c>
      <c r="F66">
        <f t="shared" si="1"/>
        <v>400</v>
      </c>
      <c r="G66">
        <f t="shared" si="2"/>
        <v>11.052166224580017</v>
      </c>
    </row>
    <row r="67" spans="1:7" x14ac:dyDescent="0.35">
      <c r="A67">
        <v>20</v>
      </c>
      <c r="B67">
        <v>420</v>
      </c>
      <c r="C67">
        <v>96.29</v>
      </c>
      <c r="E67">
        <f t="shared" si="3"/>
        <v>2000000</v>
      </c>
      <c r="F67">
        <f t="shared" ref="F67:F130" si="4">B67</f>
        <v>420</v>
      </c>
      <c r="G67">
        <f t="shared" ref="G67:G130" si="5">1/C67*0.001*1000000</f>
        <v>10.385294423096894</v>
      </c>
    </row>
    <row r="68" spans="1:7" x14ac:dyDescent="0.35">
      <c r="A68">
        <v>20</v>
      </c>
      <c r="B68">
        <v>440</v>
      </c>
      <c r="C68">
        <v>101.98</v>
      </c>
      <c r="E68">
        <f t="shared" si="3"/>
        <v>2000000</v>
      </c>
      <c r="F68">
        <f t="shared" si="4"/>
        <v>440</v>
      </c>
      <c r="G68">
        <f t="shared" si="5"/>
        <v>9.8058442831927835</v>
      </c>
    </row>
    <row r="69" spans="1:7" x14ac:dyDescent="0.35">
      <c r="A69">
        <v>20</v>
      </c>
      <c r="B69">
        <v>460</v>
      </c>
      <c r="C69">
        <v>107.5</v>
      </c>
      <c r="E69">
        <f t="shared" si="3"/>
        <v>2000000</v>
      </c>
      <c r="F69">
        <f t="shared" si="4"/>
        <v>460</v>
      </c>
      <c r="G69">
        <f t="shared" si="5"/>
        <v>9.3023255813953494</v>
      </c>
    </row>
    <row r="70" spans="1:7" x14ac:dyDescent="0.35">
      <c r="A70">
        <v>20</v>
      </c>
      <c r="B70">
        <v>480</v>
      </c>
      <c r="C70">
        <v>112.9</v>
      </c>
      <c r="E70">
        <f t="shared" si="3"/>
        <v>2000000</v>
      </c>
      <c r="F70">
        <f t="shared" si="4"/>
        <v>480</v>
      </c>
      <c r="G70">
        <f t="shared" si="5"/>
        <v>8.8573959255978725</v>
      </c>
    </row>
    <row r="71" spans="1:7" x14ac:dyDescent="0.35">
      <c r="A71">
        <v>20</v>
      </c>
      <c r="B71">
        <v>500</v>
      </c>
      <c r="C71">
        <v>118.25</v>
      </c>
      <c r="E71">
        <f t="shared" si="3"/>
        <v>2000000</v>
      </c>
      <c r="F71">
        <f t="shared" si="4"/>
        <v>500</v>
      </c>
      <c r="G71">
        <f t="shared" si="5"/>
        <v>8.4566596194503187</v>
      </c>
    </row>
    <row r="72" spans="1:7" x14ac:dyDescent="0.35">
      <c r="A72">
        <v>20</v>
      </c>
      <c r="B72">
        <v>520</v>
      </c>
      <c r="C72">
        <v>123.59</v>
      </c>
      <c r="E72">
        <f t="shared" si="3"/>
        <v>2000000</v>
      </c>
      <c r="F72">
        <f t="shared" si="4"/>
        <v>520</v>
      </c>
      <c r="G72">
        <f t="shared" si="5"/>
        <v>8.0912695201877174</v>
      </c>
    </row>
    <row r="73" spans="1:7" x14ac:dyDescent="0.35">
      <c r="A73">
        <v>20</v>
      </c>
      <c r="B73">
        <v>540</v>
      </c>
      <c r="C73">
        <v>128.82</v>
      </c>
      <c r="E73">
        <f t="shared" si="3"/>
        <v>2000000</v>
      </c>
      <c r="F73">
        <f t="shared" si="4"/>
        <v>540</v>
      </c>
      <c r="G73">
        <f t="shared" si="5"/>
        <v>7.7627697562490301</v>
      </c>
    </row>
    <row r="74" spans="1:7" x14ac:dyDescent="0.35">
      <c r="A74">
        <v>20</v>
      </c>
      <c r="B74">
        <v>560</v>
      </c>
      <c r="C74">
        <v>133.97999999999999</v>
      </c>
      <c r="E74">
        <f t="shared" si="3"/>
        <v>2000000</v>
      </c>
      <c r="F74">
        <f t="shared" si="4"/>
        <v>560</v>
      </c>
      <c r="G74">
        <f t="shared" si="5"/>
        <v>7.4638005672488443</v>
      </c>
    </row>
    <row r="75" spans="1:7" x14ac:dyDescent="0.35">
      <c r="A75">
        <v>20</v>
      </c>
      <c r="B75">
        <v>580</v>
      </c>
      <c r="C75">
        <v>139.09</v>
      </c>
      <c r="E75">
        <f t="shared" si="3"/>
        <v>2000000</v>
      </c>
      <c r="F75">
        <f t="shared" si="4"/>
        <v>580</v>
      </c>
      <c r="G75">
        <f t="shared" si="5"/>
        <v>7.1895894744410098</v>
      </c>
    </row>
    <row r="76" spans="1:7" x14ac:dyDescent="0.35">
      <c r="A76">
        <v>25</v>
      </c>
      <c r="B76">
        <v>340</v>
      </c>
      <c r="C76">
        <v>54.03</v>
      </c>
      <c r="E76">
        <f t="shared" si="3"/>
        <v>2500000</v>
      </c>
      <c r="F76">
        <f t="shared" si="4"/>
        <v>340</v>
      </c>
      <c r="G76">
        <f t="shared" si="5"/>
        <v>18.508236165093468</v>
      </c>
    </row>
    <row r="77" spans="1:7" x14ac:dyDescent="0.35">
      <c r="A77">
        <v>25</v>
      </c>
      <c r="B77">
        <v>360</v>
      </c>
      <c r="C77">
        <v>60.3</v>
      </c>
      <c r="E77">
        <f t="shared" si="3"/>
        <v>2500000</v>
      </c>
      <c r="F77">
        <f t="shared" si="4"/>
        <v>360</v>
      </c>
      <c r="G77">
        <f t="shared" si="5"/>
        <v>16.58374792703151</v>
      </c>
    </row>
    <row r="78" spans="1:7" x14ac:dyDescent="0.35">
      <c r="A78">
        <v>25</v>
      </c>
      <c r="B78">
        <v>380</v>
      </c>
      <c r="C78">
        <v>65.819999999999993</v>
      </c>
      <c r="E78">
        <f t="shared" si="3"/>
        <v>2500000</v>
      </c>
      <c r="F78">
        <f t="shared" si="4"/>
        <v>380</v>
      </c>
      <c r="G78">
        <f t="shared" si="5"/>
        <v>15.192950470981465</v>
      </c>
    </row>
    <row r="79" spans="1:7" x14ac:dyDescent="0.35">
      <c r="A79">
        <v>25</v>
      </c>
      <c r="B79">
        <v>400</v>
      </c>
      <c r="C79">
        <v>70.92</v>
      </c>
      <c r="E79">
        <f t="shared" si="3"/>
        <v>2500000</v>
      </c>
      <c r="F79">
        <f t="shared" si="4"/>
        <v>400</v>
      </c>
      <c r="G79">
        <f t="shared" si="5"/>
        <v>14.100394811054709</v>
      </c>
    </row>
    <row r="80" spans="1:7" x14ac:dyDescent="0.35">
      <c r="A80">
        <v>25</v>
      </c>
      <c r="B80">
        <v>420</v>
      </c>
      <c r="C80">
        <v>75.8</v>
      </c>
      <c r="E80">
        <f t="shared" si="3"/>
        <v>2500000</v>
      </c>
      <c r="F80">
        <f t="shared" si="4"/>
        <v>420</v>
      </c>
      <c r="G80">
        <f t="shared" si="5"/>
        <v>13.192612137203167</v>
      </c>
    </row>
    <row r="81" spans="1:7" x14ac:dyDescent="0.35">
      <c r="A81">
        <v>25</v>
      </c>
      <c r="B81">
        <v>440</v>
      </c>
      <c r="C81">
        <v>80.5</v>
      </c>
      <c r="E81">
        <f t="shared" si="3"/>
        <v>2500000</v>
      </c>
      <c r="F81">
        <f t="shared" si="4"/>
        <v>440</v>
      </c>
      <c r="G81">
        <f t="shared" si="5"/>
        <v>12.422360248447205</v>
      </c>
    </row>
    <row r="82" spans="1:7" x14ac:dyDescent="0.35">
      <c r="A82">
        <v>25</v>
      </c>
      <c r="B82">
        <v>460</v>
      </c>
      <c r="C82">
        <v>85.02</v>
      </c>
      <c r="E82">
        <f t="shared" si="3"/>
        <v>2500000</v>
      </c>
      <c r="F82">
        <f t="shared" si="4"/>
        <v>460</v>
      </c>
      <c r="G82">
        <f t="shared" si="5"/>
        <v>11.761938367442955</v>
      </c>
    </row>
    <row r="83" spans="1:7" x14ac:dyDescent="0.35">
      <c r="A83">
        <v>25</v>
      </c>
      <c r="B83">
        <v>480</v>
      </c>
      <c r="C83">
        <v>89.42</v>
      </c>
      <c r="E83">
        <f t="shared" si="3"/>
        <v>2500000</v>
      </c>
      <c r="F83">
        <f t="shared" si="4"/>
        <v>480</v>
      </c>
      <c r="G83">
        <f t="shared" si="5"/>
        <v>11.183180496533213</v>
      </c>
    </row>
    <row r="84" spans="1:7" x14ac:dyDescent="0.35">
      <c r="A84">
        <v>25</v>
      </c>
      <c r="B84">
        <v>500</v>
      </c>
      <c r="C84">
        <v>93.65</v>
      </c>
      <c r="E84">
        <f t="shared" si="3"/>
        <v>2500000</v>
      </c>
      <c r="F84">
        <f t="shared" si="4"/>
        <v>500</v>
      </c>
      <c r="G84">
        <f t="shared" si="5"/>
        <v>10.678056593699944</v>
      </c>
    </row>
    <row r="85" spans="1:7" x14ac:dyDescent="0.35">
      <c r="A85">
        <v>25</v>
      </c>
      <c r="B85">
        <v>520</v>
      </c>
      <c r="C85">
        <v>98.05</v>
      </c>
      <c r="E85">
        <f t="shared" si="3"/>
        <v>2500000</v>
      </c>
      <c r="F85">
        <f t="shared" si="4"/>
        <v>520</v>
      </c>
      <c r="G85">
        <f t="shared" si="5"/>
        <v>10.198878123406425</v>
      </c>
    </row>
    <row r="86" spans="1:7" x14ac:dyDescent="0.35">
      <c r="A86">
        <v>25</v>
      </c>
      <c r="B86">
        <v>540</v>
      </c>
      <c r="C86">
        <v>102.34</v>
      </c>
      <c r="E86">
        <f t="shared" si="3"/>
        <v>2500000</v>
      </c>
      <c r="F86">
        <f t="shared" si="4"/>
        <v>540</v>
      </c>
      <c r="G86">
        <f t="shared" si="5"/>
        <v>9.7713504006253675</v>
      </c>
    </row>
    <row r="87" spans="1:7" x14ac:dyDescent="0.35">
      <c r="A87">
        <v>25</v>
      </c>
      <c r="B87">
        <v>560</v>
      </c>
      <c r="C87">
        <v>106.56</v>
      </c>
      <c r="E87">
        <f t="shared" si="3"/>
        <v>2500000</v>
      </c>
      <c r="F87">
        <f t="shared" si="4"/>
        <v>560</v>
      </c>
      <c r="G87">
        <f t="shared" si="5"/>
        <v>9.3843843843843846</v>
      </c>
    </row>
    <row r="88" spans="1:7" x14ac:dyDescent="0.35">
      <c r="A88">
        <v>25</v>
      </c>
      <c r="B88">
        <v>580</v>
      </c>
      <c r="C88">
        <v>110.79</v>
      </c>
      <c r="E88">
        <f t="shared" si="3"/>
        <v>2500000</v>
      </c>
      <c r="F88">
        <f t="shared" si="4"/>
        <v>580</v>
      </c>
      <c r="G88">
        <f t="shared" si="5"/>
        <v>9.0260853867677575</v>
      </c>
    </row>
    <row r="89" spans="1:7" x14ac:dyDescent="0.35">
      <c r="A89">
        <v>30</v>
      </c>
      <c r="B89">
        <v>310</v>
      </c>
      <c r="C89">
        <v>1.7</v>
      </c>
      <c r="E89">
        <f t="shared" si="3"/>
        <v>3000000</v>
      </c>
      <c r="F89">
        <f t="shared" si="4"/>
        <v>310</v>
      </c>
      <c r="G89">
        <f t="shared" si="5"/>
        <v>588.23529411764707</v>
      </c>
    </row>
    <row r="90" spans="1:7" x14ac:dyDescent="0.35">
      <c r="A90">
        <v>30</v>
      </c>
      <c r="B90">
        <v>320</v>
      </c>
      <c r="C90">
        <v>1.76</v>
      </c>
      <c r="E90">
        <f t="shared" si="3"/>
        <v>3000000</v>
      </c>
      <c r="F90">
        <f t="shared" si="4"/>
        <v>320</v>
      </c>
      <c r="G90">
        <f t="shared" si="5"/>
        <v>568.18181818181824</v>
      </c>
    </row>
    <row r="91" spans="1:7" x14ac:dyDescent="0.35">
      <c r="A91">
        <v>30</v>
      </c>
      <c r="B91">
        <v>330</v>
      </c>
      <c r="C91">
        <v>1.81</v>
      </c>
      <c r="E91">
        <f t="shared" si="3"/>
        <v>3000000</v>
      </c>
      <c r="F91">
        <f t="shared" si="4"/>
        <v>330</v>
      </c>
      <c r="G91">
        <f t="shared" si="5"/>
        <v>552.4861878453039</v>
      </c>
    </row>
    <row r="92" spans="1:7" x14ac:dyDescent="0.35">
      <c r="A92">
        <v>30</v>
      </c>
      <c r="B92">
        <v>340</v>
      </c>
      <c r="C92">
        <v>41.93</v>
      </c>
      <c r="E92">
        <f t="shared" si="3"/>
        <v>3000000</v>
      </c>
      <c r="F92">
        <f t="shared" si="4"/>
        <v>340</v>
      </c>
      <c r="G92">
        <f t="shared" si="5"/>
        <v>23.849272597185784</v>
      </c>
    </row>
    <row r="93" spans="1:7" x14ac:dyDescent="0.35">
      <c r="A93">
        <v>30</v>
      </c>
      <c r="B93">
        <v>360</v>
      </c>
      <c r="C93">
        <v>48.19</v>
      </c>
      <c r="E93">
        <f t="shared" si="3"/>
        <v>3000000</v>
      </c>
      <c r="F93">
        <f t="shared" si="4"/>
        <v>360</v>
      </c>
      <c r="G93">
        <f t="shared" si="5"/>
        <v>20.751193193608636</v>
      </c>
    </row>
    <row r="94" spans="1:7" x14ac:dyDescent="0.35">
      <c r="A94">
        <v>30</v>
      </c>
      <c r="B94">
        <v>380</v>
      </c>
      <c r="C94">
        <v>53.53</v>
      </c>
      <c r="E94">
        <f t="shared" si="3"/>
        <v>3000000</v>
      </c>
      <c r="F94">
        <f t="shared" si="4"/>
        <v>380</v>
      </c>
      <c r="G94">
        <f t="shared" si="5"/>
        <v>18.681113394358302</v>
      </c>
    </row>
    <row r="95" spans="1:7" x14ac:dyDescent="0.35">
      <c r="A95">
        <v>30</v>
      </c>
      <c r="B95">
        <v>400</v>
      </c>
      <c r="C95">
        <v>57.83</v>
      </c>
      <c r="E95">
        <f t="shared" si="3"/>
        <v>3000000</v>
      </c>
      <c r="F95">
        <f t="shared" si="4"/>
        <v>400</v>
      </c>
      <c r="G95">
        <f t="shared" si="5"/>
        <v>17.292062943109112</v>
      </c>
    </row>
    <row r="96" spans="1:7" x14ac:dyDescent="0.35">
      <c r="A96">
        <v>30</v>
      </c>
      <c r="B96">
        <v>420</v>
      </c>
      <c r="C96">
        <v>62.12</v>
      </c>
      <c r="E96">
        <f t="shared" si="3"/>
        <v>3000000</v>
      </c>
      <c r="F96">
        <f t="shared" si="4"/>
        <v>420</v>
      </c>
      <c r="G96">
        <f t="shared" si="5"/>
        <v>16.097875080489377</v>
      </c>
    </row>
    <row r="97" spans="1:7" x14ac:dyDescent="0.35">
      <c r="A97">
        <v>30</v>
      </c>
      <c r="B97">
        <v>440</v>
      </c>
      <c r="C97">
        <v>66.17</v>
      </c>
      <c r="E97">
        <f t="shared" si="3"/>
        <v>3000000</v>
      </c>
      <c r="F97">
        <f t="shared" si="4"/>
        <v>440</v>
      </c>
      <c r="G97">
        <f t="shared" si="5"/>
        <v>15.112588786459119</v>
      </c>
    </row>
    <row r="98" spans="1:7" x14ac:dyDescent="0.35">
      <c r="A98">
        <v>30</v>
      </c>
      <c r="B98">
        <v>460</v>
      </c>
      <c r="C98">
        <v>70.099999999999994</v>
      </c>
      <c r="E98">
        <f t="shared" si="3"/>
        <v>3000000</v>
      </c>
      <c r="F98">
        <f t="shared" si="4"/>
        <v>460</v>
      </c>
      <c r="G98">
        <f t="shared" si="5"/>
        <v>14.265335235378032</v>
      </c>
    </row>
    <row r="99" spans="1:7" x14ac:dyDescent="0.35">
      <c r="A99">
        <v>30</v>
      </c>
      <c r="B99">
        <v>480</v>
      </c>
      <c r="C99">
        <v>73.86</v>
      </c>
      <c r="E99">
        <f t="shared" si="3"/>
        <v>3000000</v>
      </c>
      <c r="F99">
        <f t="shared" si="4"/>
        <v>480</v>
      </c>
      <c r="G99">
        <f t="shared" si="5"/>
        <v>13.539128080151638</v>
      </c>
    </row>
    <row r="100" spans="1:7" x14ac:dyDescent="0.35">
      <c r="A100">
        <v>30</v>
      </c>
      <c r="B100">
        <v>500</v>
      </c>
      <c r="C100">
        <v>77.56</v>
      </c>
      <c r="E100">
        <f t="shared" si="3"/>
        <v>3000000</v>
      </c>
      <c r="F100">
        <f t="shared" si="4"/>
        <v>500</v>
      </c>
      <c r="G100">
        <f t="shared" si="5"/>
        <v>12.893243940175347</v>
      </c>
    </row>
    <row r="101" spans="1:7" x14ac:dyDescent="0.35">
      <c r="A101">
        <v>30</v>
      </c>
      <c r="B101">
        <v>520</v>
      </c>
      <c r="C101">
        <v>81.14</v>
      </c>
      <c r="E101">
        <f t="shared" si="3"/>
        <v>3000000</v>
      </c>
      <c r="F101">
        <f t="shared" si="4"/>
        <v>520</v>
      </c>
      <c r="G101">
        <f t="shared" si="5"/>
        <v>12.324377618930242</v>
      </c>
    </row>
    <row r="102" spans="1:7" x14ac:dyDescent="0.35">
      <c r="A102">
        <v>30</v>
      </c>
      <c r="B102">
        <v>540</v>
      </c>
      <c r="C102">
        <v>84.72</v>
      </c>
      <c r="E102">
        <f t="shared" si="3"/>
        <v>3000000</v>
      </c>
      <c r="F102">
        <f t="shared" si="4"/>
        <v>540</v>
      </c>
      <c r="G102">
        <f t="shared" si="5"/>
        <v>11.803588290840416</v>
      </c>
    </row>
    <row r="103" spans="1:7" x14ac:dyDescent="0.35">
      <c r="A103">
        <v>30</v>
      </c>
      <c r="B103">
        <v>560</v>
      </c>
      <c r="C103">
        <v>88.3</v>
      </c>
      <c r="E103">
        <f t="shared" si="3"/>
        <v>3000000</v>
      </c>
      <c r="F103">
        <f t="shared" si="4"/>
        <v>560</v>
      </c>
      <c r="G103">
        <f t="shared" si="5"/>
        <v>11.325028312570783</v>
      </c>
    </row>
    <row r="104" spans="1:7" x14ac:dyDescent="0.35">
      <c r="A104">
        <v>30</v>
      </c>
      <c r="B104">
        <v>580</v>
      </c>
      <c r="C104">
        <v>91.83</v>
      </c>
      <c r="E104">
        <f t="shared" si="3"/>
        <v>3000000</v>
      </c>
      <c r="F104">
        <f t="shared" si="4"/>
        <v>580</v>
      </c>
      <c r="G104">
        <f t="shared" si="5"/>
        <v>10.889687465969727</v>
      </c>
    </row>
    <row r="105" spans="1:7" x14ac:dyDescent="0.35">
      <c r="A105">
        <v>40</v>
      </c>
      <c r="B105">
        <v>310</v>
      </c>
      <c r="C105">
        <v>1.7</v>
      </c>
      <c r="E105">
        <f t="shared" si="3"/>
        <v>4000000</v>
      </c>
      <c r="F105">
        <f t="shared" si="4"/>
        <v>310</v>
      </c>
      <c r="G105">
        <f t="shared" si="5"/>
        <v>588.23529411764707</v>
      </c>
    </row>
    <row r="106" spans="1:7" x14ac:dyDescent="0.35">
      <c r="A106">
        <v>40</v>
      </c>
      <c r="B106">
        <v>320</v>
      </c>
      <c r="C106">
        <v>1.75</v>
      </c>
      <c r="E106">
        <f t="shared" si="3"/>
        <v>4000000</v>
      </c>
      <c r="F106">
        <f t="shared" si="4"/>
        <v>320</v>
      </c>
      <c r="G106">
        <f t="shared" si="5"/>
        <v>571.42857142857133</v>
      </c>
    </row>
    <row r="107" spans="1:7" x14ac:dyDescent="0.35">
      <c r="A107">
        <v>40</v>
      </c>
      <c r="B107">
        <v>330</v>
      </c>
      <c r="C107">
        <v>1.8</v>
      </c>
      <c r="E107">
        <f t="shared" si="3"/>
        <v>4000000</v>
      </c>
      <c r="F107">
        <f t="shared" si="4"/>
        <v>330</v>
      </c>
      <c r="G107">
        <f t="shared" si="5"/>
        <v>555.55555555555554</v>
      </c>
    </row>
    <row r="108" spans="1:7" x14ac:dyDescent="0.35">
      <c r="A108">
        <v>40</v>
      </c>
      <c r="B108">
        <v>340</v>
      </c>
      <c r="C108">
        <v>1.87</v>
      </c>
      <c r="E108">
        <f t="shared" si="3"/>
        <v>4000000</v>
      </c>
      <c r="F108">
        <f t="shared" si="4"/>
        <v>340</v>
      </c>
      <c r="G108">
        <f t="shared" si="5"/>
        <v>534.75935828876993</v>
      </c>
    </row>
    <row r="109" spans="1:7" x14ac:dyDescent="0.35">
      <c r="A109">
        <v>40</v>
      </c>
      <c r="B109">
        <v>350</v>
      </c>
      <c r="C109">
        <v>1.95</v>
      </c>
      <c r="E109">
        <f t="shared" si="3"/>
        <v>4000000</v>
      </c>
      <c r="F109">
        <f t="shared" si="4"/>
        <v>350</v>
      </c>
      <c r="G109">
        <f t="shared" si="5"/>
        <v>512.82051282051293</v>
      </c>
    </row>
    <row r="110" spans="1:7" x14ac:dyDescent="0.35">
      <c r="A110">
        <v>40</v>
      </c>
      <c r="B110">
        <v>360</v>
      </c>
      <c r="C110">
        <v>32.69</v>
      </c>
      <c r="E110">
        <f t="shared" si="3"/>
        <v>4000000</v>
      </c>
      <c r="F110">
        <f t="shared" si="4"/>
        <v>360</v>
      </c>
      <c r="G110">
        <f t="shared" si="5"/>
        <v>30.590394616090553</v>
      </c>
    </row>
    <row r="111" spans="1:7" x14ac:dyDescent="0.35">
      <c r="A111">
        <v>40</v>
      </c>
      <c r="B111">
        <v>380</v>
      </c>
      <c r="C111">
        <v>37.4</v>
      </c>
      <c r="E111">
        <f t="shared" si="3"/>
        <v>4000000</v>
      </c>
      <c r="F111">
        <f t="shared" si="4"/>
        <v>380</v>
      </c>
      <c r="G111">
        <f t="shared" si="5"/>
        <v>26.737967914438503</v>
      </c>
    </row>
    <row r="112" spans="1:7" x14ac:dyDescent="0.35">
      <c r="A112">
        <v>40</v>
      </c>
      <c r="B112">
        <v>400</v>
      </c>
      <c r="C112">
        <v>41.32</v>
      </c>
      <c r="E112">
        <f t="shared" si="3"/>
        <v>4000000</v>
      </c>
      <c r="F112">
        <f t="shared" si="4"/>
        <v>400</v>
      </c>
      <c r="G112">
        <f t="shared" si="5"/>
        <v>24.201355275895452</v>
      </c>
    </row>
    <row r="113" spans="1:7" x14ac:dyDescent="0.35">
      <c r="A113">
        <v>40</v>
      </c>
      <c r="B113">
        <v>420</v>
      </c>
      <c r="C113">
        <v>44.84</v>
      </c>
      <c r="E113">
        <f t="shared" si="3"/>
        <v>4000000</v>
      </c>
      <c r="F113">
        <f t="shared" si="4"/>
        <v>420</v>
      </c>
      <c r="G113">
        <f t="shared" si="5"/>
        <v>22.301516503122212</v>
      </c>
    </row>
    <row r="114" spans="1:7" x14ac:dyDescent="0.35">
      <c r="A114">
        <v>40</v>
      </c>
      <c r="B114">
        <v>440</v>
      </c>
      <c r="C114">
        <v>48.13</v>
      </c>
      <c r="E114">
        <f t="shared" si="3"/>
        <v>4000000</v>
      </c>
      <c r="F114">
        <f t="shared" si="4"/>
        <v>440</v>
      </c>
      <c r="G114">
        <f t="shared" si="5"/>
        <v>20.77706212341575</v>
      </c>
    </row>
    <row r="115" spans="1:7" x14ac:dyDescent="0.35">
      <c r="A115">
        <v>40</v>
      </c>
      <c r="B115">
        <v>460</v>
      </c>
      <c r="C115">
        <v>51.27</v>
      </c>
      <c r="E115">
        <f t="shared" si="3"/>
        <v>4000000</v>
      </c>
      <c r="F115">
        <f t="shared" si="4"/>
        <v>460</v>
      </c>
      <c r="G115">
        <f t="shared" si="5"/>
        <v>19.504583577140625</v>
      </c>
    </row>
    <row r="116" spans="1:7" x14ac:dyDescent="0.35">
      <c r="A116">
        <v>40</v>
      </c>
      <c r="B116">
        <v>480</v>
      </c>
      <c r="C116">
        <v>54.29</v>
      </c>
      <c r="E116">
        <f t="shared" si="3"/>
        <v>4000000</v>
      </c>
      <c r="F116">
        <f t="shared" si="4"/>
        <v>480</v>
      </c>
      <c r="G116">
        <f t="shared" si="5"/>
        <v>18.419598452753732</v>
      </c>
    </row>
    <row r="117" spans="1:7" x14ac:dyDescent="0.35">
      <c r="A117">
        <v>40</v>
      </c>
      <c r="B117">
        <v>500</v>
      </c>
      <c r="C117">
        <v>57.2</v>
      </c>
      <c r="E117">
        <f t="shared" si="3"/>
        <v>4000000</v>
      </c>
      <c r="F117">
        <f t="shared" si="4"/>
        <v>500</v>
      </c>
      <c r="G117">
        <f t="shared" si="5"/>
        <v>17.48251748251748</v>
      </c>
    </row>
    <row r="118" spans="1:7" x14ac:dyDescent="0.35">
      <c r="A118">
        <v>40</v>
      </c>
      <c r="B118">
        <v>520</v>
      </c>
      <c r="C118">
        <v>60.06</v>
      </c>
      <c r="E118">
        <f t="shared" si="3"/>
        <v>4000000</v>
      </c>
      <c r="F118">
        <f t="shared" si="4"/>
        <v>520</v>
      </c>
      <c r="G118">
        <f t="shared" si="5"/>
        <v>16.650016650016649</v>
      </c>
    </row>
    <row r="119" spans="1:7" x14ac:dyDescent="0.35">
      <c r="A119">
        <v>40</v>
      </c>
      <c r="B119">
        <v>540</v>
      </c>
      <c r="C119">
        <v>62.88</v>
      </c>
      <c r="E119">
        <f t="shared" si="3"/>
        <v>4000000</v>
      </c>
      <c r="F119">
        <f t="shared" si="4"/>
        <v>540</v>
      </c>
      <c r="G119">
        <f t="shared" si="5"/>
        <v>15.903307888040713</v>
      </c>
    </row>
    <row r="120" spans="1:7" x14ac:dyDescent="0.35">
      <c r="A120">
        <v>40</v>
      </c>
      <c r="B120">
        <v>560</v>
      </c>
      <c r="C120">
        <v>65.64</v>
      </c>
      <c r="E120">
        <f t="shared" si="3"/>
        <v>4000000</v>
      </c>
      <c r="F120">
        <f t="shared" si="4"/>
        <v>560</v>
      </c>
      <c r="G120">
        <f t="shared" si="5"/>
        <v>15.234613040828764</v>
      </c>
    </row>
    <row r="121" spans="1:7" x14ac:dyDescent="0.35">
      <c r="A121">
        <v>40</v>
      </c>
      <c r="B121">
        <v>580</v>
      </c>
      <c r="C121">
        <v>68.28</v>
      </c>
      <c r="E121">
        <f t="shared" si="3"/>
        <v>4000000</v>
      </c>
      <c r="F121">
        <f t="shared" si="4"/>
        <v>580</v>
      </c>
      <c r="G121">
        <f t="shared" si="5"/>
        <v>14.645577035735208</v>
      </c>
    </row>
    <row r="122" spans="1:7" x14ac:dyDescent="0.35">
      <c r="A122">
        <v>50</v>
      </c>
      <c r="B122">
        <v>310</v>
      </c>
      <c r="C122">
        <v>1.69</v>
      </c>
      <c r="E122">
        <f t="shared" si="3"/>
        <v>5000000</v>
      </c>
      <c r="F122">
        <f t="shared" si="4"/>
        <v>310</v>
      </c>
      <c r="G122">
        <f t="shared" si="5"/>
        <v>591.71597633136093</v>
      </c>
    </row>
    <row r="123" spans="1:7" x14ac:dyDescent="0.35">
      <c r="A123">
        <v>50</v>
      </c>
      <c r="B123">
        <v>320</v>
      </c>
      <c r="C123">
        <v>1.74</v>
      </c>
      <c r="E123">
        <f t="shared" si="3"/>
        <v>5000000</v>
      </c>
      <c r="F123">
        <f t="shared" si="4"/>
        <v>320</v>
      </c>
      <c r="G123">
        <f t="shared" si="5"/>
        <v>574.71264367816093</v>
      </c>
    </row>
    <row r="124" spans="1:7" x14ac:dyDescent="0.35">
      <c r="A124">
        <v>50</v>
      </c>
      <c r="B124">
        <v>330</v>
      </c>
      <c r="C124">
        <v>1.8</v>
      </c>
      <c r="E124">
        <f t="shared" si="3"/>
        <v>5000000</v>
      </c>
      <c r="F124">
        <f t="shared" si="4"/>
        <v>330</v>
      </c>
      <c r="G124">
        <f t="shared" si="5"/>
        <v>555.55555555555554</v>
      </c>
    </row>
    <row r="125" spans="1:7" x14ac:dyDescent="0.35">
      <c r="A125">
        <v>50</v>
      </c>
      <c r="B125">
        <v>340</v>
      </c>
      <c r="C125">
        <v>1.86</v>
      </c>
      <c r="E125">
        <f t="shared" si="3"/>
        <v>5000000</v>
      </c>
      <c r="F125">
        <f t="shared" si="4"/>
        <v>340</v>
      </c>
      <c r="G125">
        <f t="shared" si="5"/>
        <v>537.63440860215053</v>
      </c>
    </row>
    <row r="126" spans="1:7" x14ac:dyDescent="0.35">
      <c r="A126">
        <v>50</v>
      </c>
      <c r="B126">
        <v>350</v>
      </c>
      <c r="C126">
        <v>1.94</v>
      </c>
      <c r="E126">
        <f t="shared" si="3"/>
        <v>5000000</v>
      </c>
      <c r="F126">
        <f t="shared" si="4"/>
        <v>350</v>
      </c>
      <c r="G126">
        <f t="shared" si="5"/>
        <v>515.46391752577335</v>
      </c>
    </row>
    <row r="127" spans="1:7" x14ac:dyDescent="0.35">
      <c r="A127">
        <v>50</v>
      </c>
      <c r="B127">
        <v>360</v>
      </c>
      <c r="C127">
        <v>2.04</v>
      </c>
      <c r="E127">
        <f t="shared" si="3"/>
        <v>5000000</v>
      </c>
      <c r="F127">
        <f t="shared" si="4"/>
        <v>360</v>
      </c>
      <c r="G127">
        <f t="shared" si="5"/>
        <v>490.19607843137254</v>
      </c>
    </row>
    <row r="128" spans="1:7" x14ac:dyDescent="0.35">
      <c r="A128">
        <v>50</v>
      </c>
      <c r="B128">
        <v>380</v>
      </c>
      <c r="C128">
        <v>27.59</v>
      </c>
      <c r="E128">
        <f t="shared" si="3"/>
        <v>5000000</v>
      </c>
      <c r="F128">
        <f t="shared" si="4"/>
        <v>380</v>
      </c>
      <c r="G128">
        <f t="shared" si="5"/>
        <v>36.245016310257341</v>
      </c>
    </row>
    <row r="129" spans="1:7" x14ac:dyDescent="0.35">
      <c r="A129">
        <v>50</v>
      </c>
      <c r="B129">
        <v>400</v>
      </c>
      <c r="C129">
        <v>31.32</v>
      </c>
      <c r="E129">
        <f t="shared" si="3"/>
        <v>5000000</v>
      </c>
      <c r="F129">
        <f t="shared" si="4"/>
        <v>400</v>
      </c>
      <c r="G129">
        <f t="shared" si="5"/>
        <v>31.928480204342275</v>
      </c>
    </row>
    <row r="130" spans="1:7" x14ac:dyDescent="0.35">
      <c r="A130">
        <v>50</v>
      </c>
      <c r="B130">
        <v>420</v>
      </c>
      <c r="C130">
        <v>34.46</v>
      </c>
      <c r="E130">
        <f t="shared" ref="E130:E193" si="6">A130*100000</f>
        <v>5000000</v>
      </c>
      <c r="F130">
        <f t="shared" si="4"/>
        <v>420</v>
      </c>
      <c r="G130">
        <f t="shared" si="5"/>
        <v>29.019152640742888</v>
      </c>
    </row>
    <row r="131" spans="1:7" x14ac:dyDescent="0.35">
      <c r="A131">
        <v>50</v>
      </c>
      <c r="B131">
        <v>440</v>
      </c>
      <c r="C131">
        <v>37.33</v>
      </c>
      <c r="E131">
        <f t="shared" si="6"/>
        <v>5000000</v>
      </c>
      <c r="F131">
        <f t="shared" ref="F131:F194" si="7">B131</f>
        <v>440</v>
      </c>
      <c r="G131">
        <f t="shared" ref="G131:G194" si="8">1/C131*0.001*1000000</f>
        <v>26.788106080900082</v>
      </c>
    </row>
    <row r="132" spans="1:7" x14ac:dyDescent="0.35">
      <c r="A132">
        <v>50</v>
      </c>
      <c r="B132">
        <v>460</v>
      </c>
      <c r="C132">
        <v>40.020000000000003</v>
      </c>
      <c r="E132">
        <f t="shared" si="6"/>
        <v>5000000</v>
      </c>
      <c r="F132">
        <f t="shared" si="7"/>
        <v>460</v>
      </c>
      <c r="G132">
        <f t="shared" si="8"/>
        <v>24.987506246876563</v>
      </c>
    </row>
    <row r="133" spans="1:7" x14ac:dyDescent="0.35">
      <c r="A133">
        <v>50</v>
      </c>
      <c r="B133">
        <v>480</v>
      </c>
      <c r="C133">
        <v>42.57</v>
      </c>
      <c r="E133">
        <f t="shared" si="6"/>
        <v>5000000</v>
      </c>
      <c r="F133">
        <f t="shared" si="7"/>
        <v>480</v>
      </c>
      <c r="G133">
        <f t="shared" si="8"/>
        <v>23.490721165139767</v>
      </c>
    </row>
    <row r="134" spans="1:7" x14ac:dyDescent="0.35">
      <c r="A134">
        <v>50</v>
      </c>
      <c r="B134">
        <v>500</v>
      </c>
      <c r="C134">
        <v>45.02</v>
      </c>
      <c r="E134">
        <f t="shared" si="6"/>
        <v>5000000</v>
      </c>
      <c r="F134">
        <f t="shared" si="7"/>
        <v>500</v>
      </c>
      <c r="G134">
        <f t="shared" si="8"/>
        <v>22.212350066637047</v>
      </c>
    </row>
    <row r="135" spans="1:7" x14ac:dyDescent="0.35">
      <c r="A135">
        <v>50</v>
      </c>
      <c r="B135">
        <v>520</v>
      </c>
      <c r="C135">
        <v>47.4</v>
      </c>
      <c r="E135">
        <f t="shared" si="6"/>
        <v>5000000</v>
      </c>
      <c r="F135">
        <f t="shared" si="7"/>
        <v>520</v>
      </c>
      <c r="G135">
        <f t="shared" si="8"/>
        <v>21.09704641350211</v>
      </c>
    </row>
    <row r="136" spans="1:7" x14ac:dyDescent="0.35">
      <c r="A136">
        <v>50</v>
      </c>
      <c r="B136">
        <v>540</v>
      </c>
      <c r="C136">
        <v>49.72</v>
      </c>
      <c r="E136">
        <f t="shared" si="6"/>
        <v>5000000</v>
      </c>
      <c r="F136">
        <f t="shared" si="7"/>
        <v>540</v>
      </c>
      <c r="G136">
        <f t="shared" si="8"/>
        <v>20.11263073209976</v>
      </c>
    </row>
    <row r="137" spans="1:7" x14ac:dyDescent="0.35">
      <c r="A137">
        <v>50</v>
      </c>
      <c r="B137">
        <v>560</v>
      </c>
      <c r="C137">
        <v>51.99</v>
      </c>
      <c r="E137">
        <f t="shared" si="6"/>
        <v>5000000</v>
      </c>
      <c r="F137">
        <f t="shared" si="7"/>
        <v>560</v>
      </c>
      <c r="G137">
        <f t="shared" si="8"/>
        <v>19.234468166955185</v>
      </c>
    </row>
    <row r="138" spans="1:7" x14ac:dyDescent="0.35">
      <c r="A138">
        <v>50</v>
      </c>
      <c r="B138">
        <v>580</v>
      </c>
      <c r="C138">
        <v>54.2</v>
      </c>
      <c r="E138">
        <f t="shared" si="6"/>
        <v>5000000</v>
      </c>
      <c r="F138">
        <f t="shared" si="7"/>
        <v>580</v>
      </c>
      <c r="G138">
        <f t="shared" si="8"/>
        <v>18.450184501845019</v>
      </c>
    </row>
    <row r="139" spans="1:7" x14ac:dyDescent="0.35">
      <c r="A139">
        <v>60</v>
      </c>
      <c r="B139">
        <v>310</v>
      </c>
      <c r="C139">
        <v>1.69</v>
      </c>
      <c r="E139">
        <f t="shared" si="6"/>
        <v>6000000</v>
      </c>
      <c r="F139">
        <f t="shared" si="7"/>
        <v>310</v>
      </c>
      <c r="G139">
        <f t="shared" si="8"/>
        <v>591.71597633136093</v>
      </c>
    </row>
    <row r="140" spans="1:7" x14ac:dyDescent="0.35">
      <c r="A140">
        <v>60</v>
      </c>
      <c r="B140">
        <v>320</v>
      </c>
      <c r="C140">
        <v>1.74</v>
      </c>
      <c r="E140">
        <f t="shared" si="6"/>
        <v>6000000</v>
      </c>
      <c r="F140">
        <f t="shared" si="7"/>
        <v>320</v>
      </c>
      <c r="G140">
        <f t="shared" si="8"/>
        <v>574.71264367816093</v>
      </c>
    </row>
    <row r="141" spans="1:7" x14ac:dyDescent="0.35">
      <c r="A141">
        <v>60</v>
      </c>
      <c r="B141">
        <v>330</v>
      </c>
      <c r="C141">
        <v>1.79</v>
      </c>
      <c r="E141">
        <f t="shared" si="6"/>
        <v>6000000</v>
      </c>
      <c r="F141">
        <f t="shared" si="7"/>
        <v>330</v>
      </c>
      <c r="G141">
        <f t="shared" si="8"/>
        <v>558.65921787709487</v>
      </c>
    </row>
    <row r="142" spans="1:7" x14ac:dyDescent="0.35">
      <c r="A142">
        <v>60</v>
      </c>
      <c r="B142">
        <v>340</v>
      </c>
      <c r="C142">
        <v>1.85</v>
      </c>
      <c r="E142">
        <f t="shared" si="6"/>
        <v>6000000</v>
      </c>
      <c r="F142">
        <f t="shared" si="7"/>
        <v>340</v>
      </c>
      <c r="G142">
        <f t="shared" si="8"/>
        <v>540.54054054054041</v>
      </c>
    </row>
    <row r="143" spans="1:7" x14ac:dyDescent="0.35">
      <c r="A143">
        <v>60</v>
      </c>
      <c r="B143">
        <v>350</v>
      </c>
      <c r="C143">
        <v>1.93</v>
      </c>
      <c r="E143">
        <f t="shared" si="6"/>
        <v>6000000</v>
      </c>
      <c r="F143">
        <f t="shared" si="7"/>
        <v>350</v>
      </c>
      <c r="G143">
        <f t="shared" si="8"/>
        <v>518.13471502590687</v>
      </c>
    </row>
    <row r="144" spans="1:7" x14ac:dyDescent="0.35">
      <c r="A144">
        <v>60</v>
      </c>
      <c r="B144">
        <v>360</v>
      </c>
      <c r="C144">
        <v>2.0299999999999998</v>
      </c>
      <c r="E144">
        <f t="shared" si="6"/>
        <v>6000000</v>
      </c>
      <c r="F144">
        <f t="shared" si="7"/>
        <v>360</v>
      </c>
      <c r="G144">
        <f t="shared" si="8"/>
        <v>492.61083743842374</v>
      </c>
    </row>
    <row r="145" spans="1:7" x14ac:dyDescent="0.35">
      <c r="A145">
        <v>60</v>
      </c>
      <c r="B145">
        <v>370</v>
      </c>
      <c r="C145">
        <v>2.14</v>
      </c>
      <c r="E145">
        <f t="shared" si="6"/>
        <v>6000000</v>
      </c>
      <c r="F145">
        <f t="shared" si="7"/>
        <v>370</v>
      </c>
      <c r="G145">
        <f t="shared" si="8"/>
        <v>467.28971962616822</v>
      </c>
    </row>
    <row r="146" spans="1:7" x14ac:dyDescent="0.35">
      <c r="A146">
        <v>60</v>
      </c>
      <c r="B146">
        <v>380</v>
      </c>
      <c r="C146">
        <v>21.07</v>
      </c>
      <c r="E146">
        <f t="shared" si="6"/>
        <v>6000000</v>
      </c>
      <c r="F146">
        <f t="shared" si="7"/>
        <v>380</v>
      </c>
      <c r="G146">
        <f t="shared" si="8"/>
        <v>47.460844803037489</v>
      </c>
    </row>
    <row r="147" spans="1:7" x14ac:dyDescent="0.35">
      <c r="A147">
        <v>60</v>
      </c>
      <c r="B147">
        <v>400</v>
      </c>
      <c r="C147">
        <v>24.59</v>
      </c>
      <c r="E147">
        <f t="shared" si="6"/>
        <v>6000000</v>
      </c>
      <c r="F147">
        <f t="shared" si="7"/>
        <v>400</v>
      </c>
      <c r="G147">
        <f t="shared" si="8"/>
        <v>40.666937779585197</v>
      </c>
    </row>
    <row r="148" spans="1:7" x14ac:dyDescent="0.35">
      <c r="A148">
        <v>60</v>
      </c>
      <c r="B148">
        <v>420</v>
      </c>
      <c r="C148">
        <v>27.62</v>
      </c>
      <c r="E148">
        <f t="shared" si="6"/>
        <v>6000000</v>
      </c>
      <c r="F148">
        <f t="shared" si="7"/>
        <v>420</v>
      </c>
      <c r="G148">
        <f t="shared" si="8"/>
        <v>36.205648081100648</v>
      </c>
    </row>
    <row r="149" spans="1:7" x14ac:dyDescent="0.35">
      <c r="A149">
        <v>60</v>
      </c>
      <c r="B149">
        <v>440</v>
      </c>
      <c r="C149">
        <v>30.24</v>
      </c>
      <c r="E149">
        <f t="shared" si="6"/>
        <v>6000000</v>
      </c>
      <c r="F149">
        <f t="shared" si="7"/>
        <v>440</v>
      </c>
      <c r="G149">
        <f t="shared" si="8"/>
        <v>33.068783068783077</v>
      </c>
    </row>
    <row r="150" spans="1:7" x14ac:dyDescent="0.35">
      <c r="A150">
        <v>60</v>
      </c>
      <c r="B150">
        <v>460</v>
      </c>
      <c r="C150">
        <v>32.64</v>
      </c>
      <c r="E150">
        <f t="shared" si="6"/>
        <v>6000000</v>
      </c>
      <c r="F150">
        <f t="shared" si="7"/>
        <v>460</v>
      </c>
      <c r="G150">
        <f t="shared" si="8"/>
        <v>30.637254901960784</v>
      </c>
    </row>
    <row r="151" spans="1:7" x14ac:dyDescent="0.35">
      <c r="A151">
        <v>60</v>
      </c>
      <c r="B151">
        <v>480</v>
      </c>
      <c r="C151">
        <v>34.86</v>
      </c>
      <c r="E151">
        <f t="shared" si="6"/>
        <v>6000000</v>
      </c>
      <c r="F151">
        <f t="shared" si="7"/>
        <v>480</v>
      </c>
      <c r="G151">
        <f t="shared" si="8"/>
        <v>28.68617326448652</v>
      </c>
    </row>
    <row r="152" spans="1:7" x14ac:dyDescent="0.35">
      <c r="A152">
        <v>60</v>
      </c>
      <c r="B152">
        <v>500</v>
      </c>
      <c r="C152">
        <v>37.04</v>
      </c>
      <c r="E152">
        <f t="shared" si="6"/>
        <v>6000000</v>
      </c>
      <c r="F152">
        <f t="shared" si="7"/>
        <v>500</v>
      </c>
      <c r="G152">
        <f t="shared" si="8"/>
        <v>26.997840172786177</v>
      </c>
    </row>
    <row r="153" spans="1:7" x14ac:dyDescent="0.35">
      <c r="A153">
        <v>60</v>
      </c>
      <c r="B153">
        <v>520</v>
      </c>
      <c r="C153">
        <v>39.06</v>
      </c>
      <c r="E153">
        <f t="shared" si="6"/>
        <v>6000000</v>
      </c>
      <c r="F153">
        <f t="shared" si="7"/>
        <v>520</v>
      </c>
      <c r="G153">
        <f t="shared" si="8"/>
        <v>25.601638504864312</v>
      </c>
    </row>
    <row r="154" spans="1:7" x14ac:dyDescent="0.35">
      <c r="A154">
        <v>60</v>
      </c>
      <c r="B154">
        <v>540</v>
      </c>
      <c r="C154">
        <v>41.06</v>
      </c>
      <c r="E154">
        <f t="shared" si="6"/>
        <v>6000000</v>
      </c>
      <c r="F154">
        <f t="shared" si="7"/>
        <v>540</v>
      </c>
      <c r="G154">
        <f t="shared" si="8"/>
        <v>24.354603019970774</v>
      </c>
    </row>
    <row r="155" spans="1:7" x14ac:dyDescent="0.35">
      <c r="A155">
        <v>60</v>
      </c>
      <c r="B155">
        <v>560</v>
      </c>
      <c r="C155">
        <v>43.03</v>
      </c>
      <c r="E155">
        <f t="shared" si="6"/>
        <v>6000000</v>
      </c>
      <c r="F155">
        <f t="shared" si="7"/>
        <v>560</v>
      </c>
      <c r="G155">
        <f t="shared" si="8"/>
        <v>23.239600278875205</v>
      </c>
    </row>
    <row r="156" spans="1:7" x14ac:dyDescent="0.35">
      <c r="A156">
        <v>60</v>
      </c>
      <c r="B156">
        <v>580</v>
      </c>
      <c r="C156">
        <v>44.94</v>
      </c>
      <c r="E156">
        <f t="shared" si="6"/>
        <v>6000000</v>
      </c>
      <c r="F156">
        <f t="shared" si="7"/>
        <v>580</v>
      </c>
      <c r="G156">
        <f t="shared" si="8"/>
        <v>22.251891410769918</v>
      </c>
    </row>
    <row r="157" spans="1:7" x14ac:dyDescent="0.35">
      <c r="A157">
        <v>70</v>
      </c>
      <c r="B157">
        <v>310</v>
      </c>
      <c r="C157">
        <v>1.68</v>
      </c>
      <c r="E157">
        <f t="shared" si="6"/>
        <v>7000000</v>
      </c>
      <c r="F157">
        <f t="shared" si="7"/>
        <v>310</v>
      </c>
      <c r="G157">
        <f t="shared" si="8"/>
        <v>595.2380952380953</v>
      </c>
    </row>
    <row r="158" spans="1:7" x14ac:dyDescent="0.35">
      <c r="A158">
        <v>70</v>
      </c>
      <c r="B158">
        <v>320</v>
      </c>
      <c r="C158">
        <v>1.73</v>
      </c>
      <c r="E158">
        <f t="shared" si="6"/>
        <v>7000000</v>
      </c>
      <c r="F158">
        <f t="shared" si="7"/>
        <v>320</v>
      </c>
      <c r="G158">
        <f t="shared" si="8"/>
        <v>578.03468208092488</v>
      </c>
    </row>
    <row r="159" spans="1:7" x14ac:dyDescent="0.35">
      <c r="A159">
        <v>70</v>
      </c>
      <c r="B159">
        <v>330</v>
      </c>
      <c r="C159">
        <v>1.78</v>
      </c>
      <c r="E159">
        <f t="shared" si="6"/>
        <v>7000000</v>
      </c>
      <c r="F159">
        <f t="shared" si="7"/>
        <v>330</v>
      </c>
      <c r="G159">
        <f t="shared" si="8"/>
        <v>561.79775280898878</v>
      </c>
    </row>
    <row r="160" spans="1:7" x14ac:dyDescent="0.35">
      <c r="A160">
        <v>70</v>
      </c>
      <c r="B160">
        <v>340</v>
      </c>
      <c r="C160">
        <v>1.84</v>
      </c>
      <c r="E160">
        <f t="shared" si="6"/>
        <v>7000000</v>
      </c>
      <c r="F160">
        <f t="shared" si="7"/>
        <v>340</v>
      </c>
      <c r="G160">
        <f t="shared" si="8"/>
        <v>543.47826086956525</v>
      </c>
    </row>
    <row r="161" spans="1:7" x14ac:dyDescent="0.35">
      <c r="A161">
        <v>70</v>
      </c>
      <c r="B161">
        <v>350</v>
      </c>
      <c r="C161">
        <v>1.91</v>
      </c>
      <c r="E161">
        <f t="shared" si="6"/>
        <v>7000000</v>
      </c>
      <c r="F161">
        <f t="shared" si="7"/>
        <v>350</v>
      </c>
      <c r="G161">
        <f t="shared" si="8"/>
        <v>523.56020942408384</v>
      </c>
    </row>
    <row r="162" spans="1:7" x14ac:dyDescent="0.35">
      <c r="A162">
        <v>70</v>
      </c>
      <c r="B162">
        <v>360</v>
      </c>
      <c r="C162">
        <v>2.0099999999999998</v>
      </c>
      <c r="E162">
        <f t="shared" si="6"/>
        <v>7000000</v>
      </c>
      <c r="F162">
        <f t="shared" si="7"/>
        <v>360</v>
      </c>
      <c r="G162">
        <f t="shared" si="8"/>
        <v>497.51243781094536</v>
      </c>
    </row>
    <row r="163" spans="1:7" x14ac:dyDescent="0.35">
      <c r="A163">
        <v>70</v>
      </c>
      <c r="B163">
        <v>370</v>
      </c>
      <c r="C163">
        <v>2.12</v>
      </c>
      <c r="E163">
        <f t="shared" si="6"/>
        <v>7000000</v>
      </c>
      <c r="F163">
        <f t="shared" si="7"/>
        <v>370</v>
      </c>
      <c r="G163">
        <f t="shared" si="8"/>
        <v>471.69811320754712</v>
      </c>
    </row>
    <row r="164" spans="1:7" x14ac:dyDescent="0.35">
      <c r="A164">
        <v>70</v>
      </c>
      <c r="B164">
        <v>380</v>
      </c>
      <c r="C164">
        <v>15.39</v>
      </c>
      <c r="E164">
        <f t="shared" si="6"/>
        <v>7000000</v>
      </c>
      <c r="F164">
        <f t="shared" si="7"/>
        <v>380</v>
      </c>
      <c r="G164">
        <f t="shared" si="8"/>
        <v>64.977257959714095</v>
      </c>
    </row>
    <row r="165" spans="1:7" x14ac:dyDescent="0.35">
      <c r="A165">
        <v>70</v>
      </c>
      <c r="B165">
        <v>400</v>
      </c>
      <c r="C165">
        <v>19.63</v>
      </c>
      <c r="E165">
        <f t="shared" si="6"/>
        <v>7000000</v>
      </c>
      <c r="F165">
        <f t="shared" si="7"/>
        <v>400</v>
      </c>
      <c r="G165">
        <f t="shared" si="8"/>
        <v>50.942435048395318</v>
      </c>
    </row>
    <row r="166" spans="1:7" x14ac:dyDescent="0.35">
      <c r="A166">
        <v>70</v>
      </c>
      <c r="B166">
        <v>420</v>
      </c>
      <c r="C166">
        <v>22.49</v>
      </c>
      <c r="E166">
        <f t="shared" si="6"/>
        <v>7000000</v>
      </c>
      <c r="F166">
        <f t="shared" si="7"/>
        <v>420</v>
      </c>
      <c r="G166">
        <f t="shared" si="8"/>
        <v>44.464206313917302</v>
      </c>
    </row>
    <row r="167" spans="1:7" x14ac:dyDescent="0.35">
      <c r="A167">
        <v>70</v>
      </c>
      <c r="B167">
        <v>440</v>
      </c>
      <c r="C167">
        <v>24.99</v>
      </c>
      <c r="E167">
        <f t="shared" si="6"/>
        <v>7000000</v>
      </c>
      <c r="F167">
        <f t="shared" si="7"/>
        <v>440</v>
      </c>
      <c r="G167">
        <f t="shared" si="8"/>
        <v>40.016006402561025</v>
      </c>
    </row>
    <row r="168" spans="1:7" x14ac:dyDescent="0.35">
      <c r="A168">
        <v>70</v>
      </c>
      <c r="B168">
        <v>460</v>
      </c>
      <c r="C168">
        <v>27.24</v>
      </c>
      <c r="E168">
        <f t="shared" si="6"/>
        <v>7000000</v>
      </c>
      <c r="F168">
        <f t="shared" si="7"/>
        <v>460</v>
      </c>
      <c r="G168">
        <f t="shared" si="8"/>
        <v>36.710719530102793</v>
      </c>
    </row>
    <row r="169" spans="1:7" x14ac:dyDescent="0.35">
      <c r="A169">
        <v>70</v>
      </c>
      <c r="B169">
        <v>480</v>
      </c>
      <c r="C169">
        <v>29.28</v>
      </c>
      <c r="E169">
        <f t="shared" si="6"/>
        <v>7000000</v>
      </c>
      <c r="F169">
        <f t="shared" si="7"/>
        <v>480</v>
      </c>
      <c r="G169">
        <f t="shared" si="8"/>
        <v>34.153005464480877</v>
      </c>
    </row>
    <row r="170" spans="1:7" x14ac:dyDescent="0.35">
      <c r="A170">
        <v>70</v>
      </c>
      <c r="B170">
        <v>500</v>
      </c>
      <c r="C170">
        <v>31.18</v>
      </c>
      <c r="E170">
        <f t="shared" si="6"/>
        <v>7000000</v>
      </c>
      <c r="F170">
        <f t="shared" si="7"/>
        <v>500</v>
      </c>
      <c r="G170">
        <f t="shared" si="8"/>
        <v>32.071840923669022</v>
      </c>
    </row>
    <row r="171" spans="1:7" x14ac:dyDescent="0.35">
      <c r="A171">
        <v>70</v>
      </c>
      <c r="B171">
        <v>520</v>
      </c>
      <c r="C171">
        <v>32.979999999999997</v>
      </c>
      <c r="E171">
        <f t="shared" si="6"/>
        <v>7000000</v>
      </c>
      <c r="F171">
        <f t="shared" si="7"/>
        <v>520</v>
      </c>
      <c r="G171">
        <f t="shared" si="8"/>
        <v>30.321406913280779</v>
      </c>
    </row>
    <row r="172" spans="1:7" x14ac:dyDescent="0.35">
      <c r="A172">
        <v>70</v>
      </c>
      <c r="B172">
        <v>540</v>
      </c>
      <c r="C172">
        <v>34.69</v>
      </c>
      <c r="E172">
        <f t="shared" si="6"/>
        <v>7000000</v>
      </c>
      <c r="F172">
        <f t="shared" si="7"/>
        <v>540</v>
      </c>
      <c r="G172">
        <f t="shared" si="8"/>
        <v>28.826751225136928</v>
      </c>
    </row>
    <row r="173" spans="1:7" x14ac:dyDescent="0.35">
      <c r="A173">
        <v>70</v>
      </c>
      <c r="B173">
        <v>560</v>
      </c>
      <c r="C173">
        <v>36.44</v>
      </c>
      <c r="E173">
        <f t="shared" si="6"/>
        <v>7000000</v>
      </c>
      <c r="F173">
        <f t="shared" si="7"/>
        <v>560</v>
      </c>
      <c r="G173">
        <f t="shared" si="8"/>
        <v>27.4423710208562</v>
      </c>
    </row>
    <row r="174" spans="1:7" x14ac:dyDescent="0.35">
      <c r="A174">
        <v>70</v>
      </c>
      <c r="B174">
        <v>580</v>
      </c>
      <c r="C174">
        <v>38.1</v>
      </c>
      <c r="E174">
        <f t="shared" si="6"/>
        <v>7000000</v>
      </c>
      <c r="F174">
        <f t="shared" si="7"/>
        <v>580</v>
      </c>
      <c r="G174">
        <f t="shared" si="8"/>
        <v>26.246719160104988</v>
      </c>
    </row>
    <row r="175" spans="1:7" x14ac:dyDescent="0.35">
      <c r="A175">
        <v>80</v>
      </c>
      <c r="B175">
        <v>310</v>
      </c>
      <c r="C175">
        <v>1.68</v>
      </c>
      <c r="E175">
        <f t="shared" si="6"/>
        <v>8000000</v>
      </c>
      <c r="F175">
        <f t="shared" si="7"/>
        <v>310</v>
      </c>
      <c r="G175">
        <f t="shared" si="8"/>
        <v>595.2380952380953</v>
      </c>
    </row>
    <row r="176" spans="1:7" x14ac:dyDescent="0.35">
      <c r="A176">
        <v>80</v>
      </c>
      <c r="B176">
        <v>320</v>
      </c>
      <c r="C176">
        <v>1.73</v>
      </c>
      <c r="E176">
        <f t="shared" si="6"/>
        <v>8000000</v>
      </c>
      <c r="F176">
        <f t="shared" si="7"/>
        <v>320</v>
      </c>
      <c r="G176">
        <f t="shared" si="8"/>
        <v>578.03468208092488</v>
      </c>
    </row>
    <row r="177" spans="1:7" x14ac:dyDescent="0.35">
      <c r="A177">
        <v>80</v>
      </c>
      <c r="B177">
        <v>330</v>
      </c>
      <c r="C177">
        <v>1.78</v>
      </c>
      <c r="E177">
        <f t="shared" si="6"/>
        <v>8000000</v>
      </c>
      <c r="F177">
        <f t="shared" si="7"/>
        <v>330</v>
      </c>
      <c r="G177">
        <f t="shared" si="8"/>
        <v>561.79775280898878</v>
      </c>
    </row>
    <row r="178" spans="1:7" x14ac:dyDescent="0.35">
      <c r="A178">
        <v>80</v>
      </c>
      <c r="B178">
        <v>340</v>
      </c>
      <c r="C178">
        <v>1.84</v>
      </c>
      <c r="E178">
        <f t="shared" si="6"/>
        <v>8000000</v>
      </c>
      <c r="F178">
        <f t="shared" si="7"/>
        <v>340</v>
      </c>
      <c r="G178">
        <f t="shared" si="8"/>
        <v>543.47826086956525</v>
      </c>
    </row>
    <row r="179" spans="1:7" x14ac:dyDescent="0.35">
      <c r="A179">
        <v>80</v>
      </c>
      <c r="B179">
        <v>350</v>
      </c>
      <c r="C179">
        <v>1.91</v>
      </c>
      <c r="E179">
        <f t="shared" si="6"/>
        <v>8000000</v>
      </c>
      <c r="F179">
        <f t="shared" si="7"/>
        <v>350</v>
      </c>
      <c r="G179">
        <f t="shared" si="8"/>
        <v>523.56020942408384</v>
      </c>
    </row>
    <row r="180" spans="1:7" x14ac:dyDescent="0.35">
      <c r="A180">
        <v>80</v>
      </c>
      <c r="B180">
        <v>360</v>
      </c>
      <c r="C180">
        <v>2</v>
      </c>
      <c r="E180">
        <f t="shared" si="6"/>
        <v>8000000</v>
      </c>
      <c r="F180">
        <f t="shared" si="7"/>
        <v>360</v>
      </c>
      <c r="G180">
        <f t="shared" si="8"/>
        <v>500</v>
      </c>
    </row>
    <row r="181" spans="1:7" x14ac:dyDescent="0.35">
      <c r="A181">
        <v>80</v>
      </c>
      <c r="B181">
        <v>370</v>
      </c>
      <c r="C181">
        <v>2.11</v>
      </c>
      <c r="E181">
        <f t="shared" si="6"/>
        <v>8000000</v>
      </c>
      <c r="F181">
        <f t="shared" si="7"/>
        <v>370</v>
      </c>
      <c r="G181">
        <f t="shared" si="8"/>
        <v>473.93364928909955</v>
      </c>
    </row>
    <row r="182" spans="1:7" x14ac:dyDescent="0.35">
      <c r="A182">
        <v>80</v>
      </c>
      <c r="B182">
        <v>380</v>
      </c>
      <c r="C182">
        <v>2.2599999999999998</v>
      </c>
      <c r="E182">
        <f t="shared" si="6"/>
        <v>8000000</v>
      </c>
      <c r="F182">
        <f t="shared" si="7"/>
        <v>380</v>
      </c>
      <c r="G182">
        <f t="shared" si="8"/>
        <v>442.47787610619474</v>
      </c>
    </row>
    <row r="183" spans="1:7" x14ac:dyDescent="0.35">
      <c r="A183">
        <v>80</v>
      </c>
      <c r="B183">
        <v>400</v>
      </c>
      <c r="C183">
        <v>15.74</v>
      </c>
      <c r="E183">
        <f t="shared" si="6"/>
        <v>8000000</v>
      </c>
      <c r="F183">
        <f t="shared" si="7"/>
        <v>400</v>
      </c>
      <c r="G183">
        <f t="shared" si="8"/>
        <v>63.532401524777647</v>
      </c>
    </row>
    <row r="184" spans="1:7" x14ac:dyDescent="0.35">
      <c r="A184">
        <v>80</v>
      </c>
      <c r="B184">
        <v>420</v>
      </c>
      <c r="C184">
        <v>18.59</v>
      </c>
      <c r="E184">
        <f t="shared" si="6"/>
        <v>8000000</v>
      </c>
      <c r="F184">
        <f t="shared" si="7"/>
        <v>420</v>
      </c>
      <c r="G184">
        <f t="shared" si="8"/>
        <v>53.792361484669179</v>
      </c>
    </row>
    <row r="185" spans="1:7" x14ac:dyDescent="0.35">
      <c r="A185">
        <v>80</v>
      </c>
      <c r="B185">
        <v>440</v>
      </c>
      <c r="C185">
        <v>21</v>
      </c>
      <c r="E185">
        <f t="shared" si="6"/>
        <v>8000000</v>
      </c>
      <c r="F185">
        <f t="shared" si="7"/>
        <v>440</v>
      </c>
      <c r="G185">
        <f t="shared" si="8"/>
        <v>47.61904761904762</v>
      </c>
    </row>
    <row r="186" spans="1:7" x14ac:dyDescent="0.35">
      <c r="A186">
        <v>80</v>
      </c>
      <c r="B186">
        <v>460</v>
      </c>
      <c r="C186">
        <v>23.1</v>
      </c>
      <c r="E186">
        <f t="shared" si="6"/>
        <v>8000000</v>
      </c>
      <c r="F186">
        <f t="shared" si="7"/>
        <v>460</v>
      </c>
      <c r="G186">
        <f t="shared" si="8"/>
        <v>43.290043290043293</v>
      </c>
    </row>
    <row r="187" spans="1:7" x14ac:dyDescent="0.35">
      <c r="A187">
        <v>80</v>
      </c>
      <c r="B187">
        <v>480</v>
      </c>
      <c r="C187">
        <v>24.99</v>
      </c>
      <c r="E187">
        <f t="shared" si="6"/>
        <v>8000000</v>
      </c>
      <c r="F187">
        <f t="shared" si="7"/>
        <v>480</v>
      </c>
      <c r="G187">
        <f t="shared" si="8"/>
        <v>40.016006402561025</v>
      </c>
    </row>
    <row r="188" spans="1:7" x14ac:dyDescent="0.35">
      <c r="A188">
        <v>80</v>
      </c>
      <c r="B188">
        <v>500</v>
      </c>
      <c r="C188">
        <v>26.76</v>
      </c>
      <c r="E188">
        <f t="shared" si="6"/>
        <v>8000000</v>
      </c>
      <c r="F188">
        <f t="shared" si="7"/>
        <v>500</v>
      </c>
      <c r="G188">
        <f t="shared" si="8"/>
        <v>37.369207772795214</v>
      </c>
    </row>
    <row r="189" spans="1:7" x14ac:dyDescent="0.35">
      <c r="A189">
        <v>80</v>
      </c>
      <c r="B189">
        <v>520</v>
      </c>
      <c r="C189">
        <v>28.43</v>
      </c>
      <c r="E189">
        <f t="shared" si="6"/>
        <v>8000000</v>
      </c>
      <c r="F189">
        <f t="shared" si="7"/>
        <v>520</v>
      </c>
      <c r="G189">
        <f t="shared" si="8"/>
        <v>35.174111853675697</v>
      </c>
    </row>
    <row r="190" spans="1:7" x14ac:dyDescent="0.35">
      <c r="A190">
        <v>80</v>
      </c>
      <c r="B190">
        <v>540</v>
      </c>
      <c r="C190">
        <v>30.05</v>
      </c>
      <c r="E190">
        <f t="shared" si="6"/>
        <v>8000000</v>
      </c>
      <c r="F190">
        <f t="shared" si="7"/>
        <v>540</v>
      </c>
      <c r="G190">
        <f t="shared" si="8"/>
        <v>33.277870216306155</v>
      </c>
    </row>
    <row r="191" spans="1:7" x14ac:dyDescent="0.35">
      <c r="A191">
        <v>80</v>
      </c>
      <c r="B191">
        <v>560</v>
      </c>
      <c r="C191">
        <v>31.59</v>
      </c>
      <c r="E191">
        <f t="shared" si="6"/>
        <v>8000000</v>
      </c>
      <c r="F191">
        <f t="shared" si="7"/>
        <v>560</v>
      </c>
      <c r="G191">
        <f t="shared" si="8"/>
        <v>31.65558721114277</v>
      </c>
    </row>
    <row r="192" spans="1:7" x14ac:dyDescent="0.35">
      <c r="A192">
        <v>80</v>
      </c>
      <c r="B192">
        <v>580</v>
      </c>
      <c r="C192">
        <v>33.08</v>
      </c>
      <c r="E192">
        <f t="shared" si="6"/>
        <v>8000000</v>
      </c>
      <c r="F192">
        <f t="shared" si="7"/>
        <v>580</v>
      </c>
      <c r="G192">
        <f t="shared" si="8"/>
        <v>30.229746070133011</v>
      </c>
    </row>
    <row r="193" spans="1:7" x14ac:dyDescent="0.35">
      <c r="A193">
        <v>90</v>
      </c>
      <c r="B193">
        <v>310</v>
      </c>
      <c r="C193">
        <v>1.68</v>
      </c>
      <c r="E193">
        <f t="shared" si="6"/>
        <v>9000000</v>
      </c>
      <c r="F193">
        <f t="shared" si="7"/>
        <v>310</v>
      </c>
      <c r="G193">
        <f t="shared" si="8"/>
        <v>595.2380952380953</v>
      </c>
    </row>
    <row r="194" spans="1:7" x14ac:dyDescent="0.35">
      <c r="A194">
        <v>90</v>
      </c>
      <c r="B194">
        <v>320</v>
      </c>
      <c r="C194">
        <v>1.73</v>
      </c>
      <c r="E194">
        <f t="shared" ref="E194:E257" si="9">A194*100000</f>
        <v>9000000</v>
      </c>
      <c r="F194">
        <f t="shared" si="7"/>
        <v>320</v>
      </c>
      <c r="G194">
        <f t="shared" si="8"/>
        <v>578.03468208092488</v>
      </c>
    </row>
    <row r="195" spans="1:7" x14ac:dyDescent="0.35">
      <c r="A195">
        <v>90</v>
      </c>
      <c r="B195">
        <v>330</v>
      </c>
      <c r="C195">
        <v>1.77</v>
      </c>
      <c r="E195">
        <f t="shared" si="9"/>
        <v>9000000</v>
      </c>
      <c r="F195">
        <f t="shared" ref="F195:F258" si="10">B195</f>
        <v>330</v>
      </c>
      <c r="G195">
        <f t="shared" ref="G195:G258" si="11">1/C195*0.001*1000000</f>
        <v>564.9717514124294</v>
      </c>
    </row>
    <row r="196" spans="1:7" x14ac:dyDescent="0.35">
      <c r="A196">
        <v>90</v>
      </c>
      <c r="B196">
        <v>340</v>
      </c>
      <c r="C196">
        <v>1.883</v>
      </c>
      <c r="E196">
        <f t="shared" si="9"/>
        <v>9000000</v>
      </c>
      <c r="F196">
        <f t="shared" si="10"/>
        <v>340</v>
      </c>
      <c r="G196">
        <f t="shared" si="11"/>
        <v>531.06744556558681</v>
      </c>
    </row>
    <row r="197" spans="1:7" x14ac:dyDescent="0.35">
      <c r="A197">
        <v>90</v>
      </c>
      <c r="B197">
        <v>350</v>
      </c>
      <c r="C197">
        <v>1.9</v>
      </c>
      <c r="E197">
        <f t="shared" si="9"/>
        <v>9000000</v>
      </c>
      <c r="F197">
        <f t="shared" si="10"/>
        <v>350</v>
      </c>
      <c r="G197">
        <f t="shared" si="11"/>
        <v>526.31578947368416</v>
      </c>
    </row>
    <row r="198" spans="1:7" x14ac:dyDescent="0.35">
      <c r="A198">
        <v>90</v>
      </c>
      <c r="B198">
        <v>360</v>
      </c>
      <c r="C198">
        <v>1.98</v>
      </c>
      <c r="E198">
        <f t="shared" si="9"/>
        <v>9000000</v>
      </c>
      <c r="F198">
        <f t="shared" si="10"/>
        <v>360</v>
      </c>
      <c r="G198">
        <f t="shared" si="11"/>
        <v>505.05050505050502</v>
      </c>
    </row>
    <row r="199" spans="1:7" x14ac:dyDescent="0.35">
      <c r="A199">
        <v>90</v>
      </c>
      <c r="B199">
        <v>370</v>
      </c>
      <c r="C199">
        <v>2.1</v>
      </c>
      <c r="E199">
        <f t="shared" si="9"/>
        <v>9000000</v>
      </c>
      <c r="F199">
        <f t="shared" si="10"/>
        <v>370</v>
      </c>
      <c r="G199">
        <f t="shared" si="11"/>
        <v>476.1904761904762</v>
      </c>
    </row>
    <row r="200" spans="1:7" x14ac:dyDescent="0.35">
      <c r="A200">
        <v>90</v>
      </c>
      <c r="B200">
        <v>380</v>
      </c>
      <c r="C200">
        <v>2.2400000000000002</v>
      </c>
      <c r="E200">
        <f t="shared" si="9"/>
        <v>9000000</v>
      </c>
      <c r="F200">
        <f t="shared" si="10"/>
        <v>380</v>
      </c>
      <c r="G200">
        <f t="shared" si="11"/>
        <v>446.42857142857139</v>
      </c>
    </row>
    <row r="201" spans="1:7" x14ac:dyDescent="0.35">
      <c r="A201">
        <v>90</v>
      </c>
      <c r="B201">
        <v>390</v>
      </c>
      <c r="C201">
        <v>2.4700000000000002</v>
      </c>
      <c r="E201">
        <f t="shared" si="9"/>
        <v>9000000</v>
      </c>
      <c r="F201">
        <f t="shared" si="10"/>
        <v>390</v>
      </c>
      <c r="G201">
        <f t="shared" si="11"/>
        <v>404.85829959514166</v>
      </c>
    </row>
    <row r="202" spans="1:7" x14ac:dyDescent="0.35">
      <c r="A202">
        <v>90</v>
      </c>
      <c r="B202">
        <v>400</v>
      </c>
      <c r="C202">
        <v>12.65</v>
      </c>
      <c r="E202">
        <f t="shared" si="9"/>
        <v>9000000</v>
      </c>
      <c r="F202">
        <f t="shared" si="10"/>
        <v>400</v>
      </c>
      <c r="G202">
        <f t="shared" si="11"/>
        <v>79.051383399209485</v>
      </c>
    </row>
    <row r="203" spans="1:7" x14ac:dyDescent="0.35">
      <c r="A203">
        <v>90</v>
      </c>
      <c r="B203">
        <v>420</v>
      </c>
      <c r="C203">
        <v>15.79</v>
      </c>
      <c r="E203">
        <f t="shared" si="9"/>
        <v>9000000</v>
      </c>
      <c r="F203">
        <f t="shared" si="10"/>
        <v>420</v>
      </c>
      <c r="G203">
        <f t="shared" si="11"/>
        <v>63.331222292590255</v>
      </c>
    </row>
    <row r="204" spans="1:7" x14ac:dyDescent="0.35">
      <c r="A204">
        <v>90</v>
      </c>
      <c r="B204">
        <v>440</v>
      </c>
      <c r="C204">
        <v>17.95</v>
      </c>
      <c r="E204">
        <f t="shared" si="9"/>
        <v>9000000</v>
      </c>
      <c r="F204">
        <f t="shared" si="10"/>
        <v>440</v>
      </c>
      <c r="G204">
        <f t="shared" si="11"/>
        <v>55.710306406685241</v>
      </c>
    </row>
    <row r="205" spans="1:7" x14ac:dyDescent="0.35">
      <c r="A205">
        <v>90</v>
      </c>
      <c r="B205">
        <v>460</v>
      </c>
      <c r="C205">
        <v>19.93</v>
      </c>
      <c r="E205">
        <f t="shared" si="9"/>
        <v>9000000</v>
      </c>
      <c r="F205">
        <f t="shared" si="10"/>
        <v>460</v>
      </c>
      <c r="G205">
        <f t="shared" si="11"/>
        <v>50.175614651279488</v>
      </c>
    </row>
    <row r="206" spans="1:7" x14ac:dyDescent="0.35">
      <c r="A206">
        <v>90</v>
      </c>
      <c r="B206">
        <v>480</v>
      </c>
      <c r="C206">
        <v>21.7</v>
      </c>
      <c r="E206">
        <f t="shared" si="9"/>
        <v>9000000</v>
      </c>
      <c r="F206">
        <f t="shared" si="10"/>
        <v>480</v>
      </c>
      <c r="G206">
        <f t="shared" si="11"/>
        <v>46.082949308755758</v>
      </c>
    </row>
    <row r="207" spans="1:7" x14ac:dyDescent="0.35">
      <c r="A207">
        <v>90</v>
      </c>
      <c r="B207">
        <v>500</v>
      </c>
      <c r="C207">
        <v>23.35</v>
      </c>
      <c r="E207">
        <f t="shared" si="9"/>
        <v>9000000</v>
      </c>
      <c r="F207">
        <f t="shared" si="10"/>
        <v>500</v>
      </c>
      <c r="G207">
        <f t="shared" si="11"/>
        <v>42.826552462526763</v>
      </c>
    </row>
    <row r="208" spans="1:7" x14ac:dyDescent="0.35">
      <c r="A208">
        <v>90</v>
      </c>
      <c r="B208">
        <v>520</v>
      </c>
      <c r="C208">
        <v>24.9</v>
      </c>
      <c r="E208">
        <f t="shared" si="9"/>
        <v>9000000</v>
      </c>
      <c r="F208">
        <f t="shared" si="10"/>
        <v>520</v>
      </c>
      <c r="G208">
        <f t="shared" si="11"/>
        <v>40.160642570281126</v>
      </c>
    </row>
    <row r="209" spans="1:7" x14ac:dyDescent="0.35">
      <c r="A209">
        <v>90</v>
      </c>
      <c r="B209">
        <v>540</v>
      </c>
      <c r="C209">
        <v>26.37</v>
      </c>
      <c r="E209">
        <f t="shared" si="9"/>
        <v>9000000</v>
      </c>
      <c r="F209">
        <f t="shared" si="10"/>
        <v>540</v>
      </c>
      <c r="G209">
        <f t="shared" si="11"/>
        <v>37.921880925293898</v>
      </c>
    </row>
    <row r="210" spans="1:7" x14ac:dyDescent="0.35">
      <c r="A210">
        <v>90</v>
      </c>
      <c r="B210">
        <v>560</v>
      </c>
      <c r="C210">
        <v>27.78</v>
      </c>
      <c r="E210">
        <f t="shared" si="9"/>
        <v>9000000</v>
      </c>
      <c r="F210">
        <f t="shared" si="10"/>
        <v>560</v>
      </c>
      <c r="G210">
        <f t="shared" si="11"/>
        <v>35.997120230381569</v>
      </c>
    </row>
    <row r="211" spans="1:7" x14ac:dyDescent="0.35">
      <c r="A211">
        <v>90</v>
      </c>
      <c r="B211">
        <v>580</v>
      </c>
      <c r="C211">
        <v>29.15</v>
      </c>
      <c r="E211">
        <f t="shared" si="9"/>
        <v>9000000</v>
      </c>
      <c r="F211">
        <f t="shared" si="10"/>
        <v>580</v>
      </c>
      <c r="G211">
        <f t="shared" si="11"/>
        <v>34.305317324185253</v>
      </c>
    </row>
    <row r="212" spans="1:7" x14ac:dyDescent="0.35">
      <c r="A212">
        <v>100</v>
      </c>
      <c r="B212">
        <v>310</v>
      </c>
      <c r="C212">
        <v>1.68</v>
      </c>
      <c r="E212">
        <f t="shared" si="9"/>
        <v>10000000</v>
      </c>
      <c r="F212">
        <f t="shared" si="10"/>
        <v>310</v>
      </c>
      <c r="G212">
        <f t="shared" si="11"/>
        <v>595.2380952380953</v>
      </c>
    </row>
    <row r="213" spans="1:7" x14ac:dyDescent="0.35">
      <c r="A213">
        <v>100</v>
      </c>
      <c r="B213">
        <v>320</v>
      </c>
      <c r="C213">
        <v>1.72</v>
      </c>
      <c r="E213">
        <f t="shared" si="9"/>
        <v>10000000</v>
      </c>
      <c r="F213">
        <f t="shared" si="10"/>
        <v>320</v>
      </c>
      <c r="G213">
        <f t="shared" si="11"/>
        <v>581.39534883720933</v>
      </c>
    </row>
    <row r="214" spans="1:7" x14ac:dyDescent="0.35">
      <c r="A214">
        <v>100</v>
      </c>
      <c r="B214">
        <v>330</v>
      </c>
      <c r="C214">
        <v>1.77</v>
      </c>
      <c r="E214">
        <f t="shared" si="9"/>
        <v>10000000</v>
      </c>
      <c r="F214">
        <f t="shared" si="10"/>
        <v>330</v>
      </c>
      <c r="G214">
        <f t="shared" si="11"/>
        <v>564.9717514124294</v>
      </c>
    </row>
    <row r="215" spans="1:7" x14ac:dyDescent="0.35">
      <c r="A215">
        <v>100</v>
      </c>
      <c r="B215">
        <v>340</v>
      </c>
      <c r="C215">
        <v>1.83</v>
      </c>
      <c r="E215">
        <f t="shared" si="9"/>
        <v>10000000</v>
      </c>
      <c r="F215">
        <f t="shared" si="10"/>
        <v>340</v>
      </c>
      <c r="G215">
        <f t="shared" si="11"/>
        <v>546.44808743169403</v>
      </c>
    </row>
    <row r="216" spans="1:7" x14ac:dyDescent="0.35">
      <c r="A216">
        <v>100</v>
      </c>
      <c r="B216">
        <v>350</v>
      </c>
      <c r="C216">
        <v>1.89</v>
      </c>
      <c r="E216">
        <f t="shared" si="9"/>
        <v>10000000</v>
      </c>
      <c r="F216">
        <f t="shared" si="10"/>
        <v>350</v>
      </c>
      <c r="G216">
        <f t="shared" si="11"/>
        <v>529.10052910052923</v>
      </c>
    </row>
    <row r="217" spans="1:7" x14ac:dyDescent="0.35">
      <c r="A217">
        <v>100</v>
      </c>
      <c r="B217">
        <v>360</v>
      </c>
      <c r="C217">
        <v>1.97</v>
      </c>
      <c r="E217">
        <f t="shared" si="9"/>
        <v>10000000</v>
      </c>
      <c r="F217">
        <f t="shared" si="10"/>
        <v>360</v>
      </c>
      <c r="G217">
        <f t="shared" si="11"/>
        <v>507.61421319796955</v>
      </c>
    </row>
    <row r="218" spans="1:7" x14ac:dyDescent="0.35">
      <c r="A218">
        <v>100</v>
      </c>
      <c r="B218">
        <v>370</v>
      </c>
      <c r="C218">
        <v>2.08</v>
      </c>
      <c r="E218">
        <f t="shared" si="9"/>
        <v>10000000</v>
      </c>
      <c r="F218">
        <f t="shared" si="10"/>
        <v>370</v>
      </c>
      <c r="G218">
        <f t="shared" si="11"/>
        <v>480.76923076923072</v>
      </c>
    </row>
    <row r="219" spans="1:7" x14ac:dyDescent="0.35">
      <c r="A219">
        <v>100</v>
      </c>
      <c r="B219">
        <v>380</v>
      </c>
      <c r="C219">
        <v>2.2200000000000002</v>
      </c>
      <c r="E219">
        <f t="shared" si="9"/>
        <v>10000000</v>
      </c>
      <c r="F219">
        <f t="shared" si="10"/>
        <v>380</v>
      </c>
      <c r="G219">
        <f t="shared" si="11"/>
        <v>450.45045045045038</v>
      </c>
    </row>
    <row r="220" spans="1:7" x14ac:dyDescent="0.35">
      <c r="A220">
        <v>100</v>
      </c>
      <c r="B220">
        <v>390</v>
      </c>
      <c r="C220">
        <v>2.42</v>
      </c>
      <c r="E220">
        <f t="shared" si="9"/>
        <v>10000000</v>
      </c>
      <c r="F220">
        <f t="shared" si="10"/>
        <v>390</v>
      </c>
      <c r="G220">
        <f t="shared" si="11"/>
        <v>413.22314049586782</v>
      </c>
    </row>
    <row r="221" spans="1:7" x14ac:dyDescent="0.35">
      <c r="A221">
        <v>100</v>
      </c>
      <c r="B221">
        <v>400</v>
      </c>
      <c r="C221">
        <v>8.65</v>
      </c>
      <c r="E221">
        <f t="shared" si="9"/>
        <v>10000000</v>
      </c>
      <c r="F221">
        <f t="shared" si="10"/>
        <v>400</v>
      </c>
      <c r="G221">
        <f t="shared" si="11"/>
        <v>115.60693641618496</v>
      </c>
    </row>
    <row r="222" spans="1:7" x14ac:dyDescent="0.35">
      <c r="A222">
        <v>100</v>
      </c>
      <c r="B222">
        <v>420</v>
      </c>
      <c r="C222">
        <v>13.29</v>
      </c>
      <c r="E222">
        <f t="shared" si="9"/>
        <v>10000000</v>
      </c>
      <c r="F222">
        <f t="shared" si="10"/>
        <v>420</v>
      </c>
      <c r="G222">
        <f t="shared" si="11"/>
        <v>75.244544770504135</v>
      </c>
    </row>
    <row r="223" spans="1:7" x14ac:dyDescent="0.35">
      <c r="A223">
        <v>100</v>
      </c>
      <c r="B223">
        <v>440</v>
      </c>
      <c r="C223">
        <v>15.48</v>
      </c>
      <c r="E223">
        <f t="shared" si="9"/>
        <v>10000000</v>
      </c>
      <c r="F223">
        <f t="shared" si="10"/>
        <v>440</v>
      </c>
      <c r="G223">
        <f t="shared" si="11"/>
        <v>64.599483204134359</v>
      </c>
    </row>
    <row r="224" spans="1:7" x14ac:dyDescent="0.35">
      <c r="A224">
        <v>100</v>
      </c>
      <c r="B224">
        <v>460</v>
      </c>
      <c r="C224">
        <v>17.399999999999999</v>
      </c>
      <c r="E224">
        <f t="shared" si="9"/>
        <v>10000000</v>
      </c>
      <c r="F224">
        <f t="shared" si="10"/>
        <v>460</v>
      </c>
      <c r="G224">
        <f t="shared" si="11"/>
        <v>57.471264367816097</v>
      </c>
    </row>
    <row r="225" spans="1:7" x14ac:dyDescent="0.35">
      <c r="A225">
        <v>100</v>
      </c>
      <c r="B225">
        <v>480</v>
      </c>
      <c r="C225">
        <v>19.100000000000001</v>
      </c>
      <c r="E225">
        <f t="shared" si="9"/>
        <v>10000000</v>
      </c>
      <c r="F225">
        <f t="shared" si="10"/>
        <v>480</v>
      </c>
      <c r="G225">
        <f t="shared" si="11"/>
        <v>52.356020942408371</v>
      </c>
    </row>
    <row r="226" spans="1:7" x14ac:dyDescent="0.35">
      <c r="A226">
        <v>100</v>
      </c>
      <c r="B226">
        <v>500</v>
      </c>
      <c r="C226">
        <v>20.66</v>
      </c>
      <c r="E226">
        <f t="shared" si="9"/>
        <v>10000000</v>
      </c>
      <c r="F226">
        <f t="shared" si="10"/>
        <v>500</v>
      </c>
      <c r="G226">
        <f t="shared" si="11"/>
        <v>48.402710551790904</v>
      </c>
    </row>
    <row r="227" spans="1:7" x14ac:dyDescent="0.35">
      <c r="A227">
        <v>100</v>
      </c>
      <c r="B227">
        <v>520</v>
      </c>
      <c r="C227">
        <v>22.1</v>
      </c>
      <c r="E227">
        <f t="shared" si="9"/>
        <v>10000000</v>
      </c>
      <c r="F227">
        <f t="shared" si="10"/>
        <v>520</v>
      </c>
      <c r="G227">
        <f t="shared" si="11"/>
        <v>45.248868778280546</v>
      </c>
    </row>
    <row r="228" spans="1:7" x14ac:dyDescent="0.35">
      <c r="A228">
        <v>100</v>
      </c>
      <c r="B228">
        <v>540</v>
      </c>
      <c r="C228">
        <v>23.47</v>
      </c>
      <c r="E228">
        <f t="shared" si="9"/>
        <v>10000000</v>
      </c>
      <c r="F228">
        <f t="shared" si="10"/>
        <v>540</v>
      </c>
      <c r="G228">
        <f t="shared" si="11"/>
        <v>42.607584149978699</v>
      </c>
    </row>
    <row r="229" spans="1:7" x14ac:dyDescent="0.35">
      <c r="A229">
        <v>100</v>
      </c>
      <c r="B229">
        <v>560</v>
      </c>
      <c r="C229">
        <v>24.78</v>
      </c>
      <c r="E229">
        <f t="shared" si="9"/>
        <v>10000000</v>
      </c>
      <c r="F229">
        <f t="shared" si="10"/>
        <v>560</v>
      </c>
      <c r="G229">
        <f t="shared" si="11"/>
        <v>40.355125100887811</v>
      </c>
    </row>
    <row r="230" spans="1:7" x14ac:dyDescent="0.35">
      <c r="A230">
        <v>100</v>
      </c>
      <c r="B230">
        <v>580</v>
      </c>
      <c r="C230">
        <v>26.05</v>
      </c>
      <c r="E230">
        <f t="shared" si="9"/>
        <v>10000000</v>
      </c>
      <c r="F230">
        <f t="shared" si="10"/>
        <v>580</v>
      </c>
      <c r="G230">
        <f t="shared" si="11"/>
        <v>38.387715930902111</v>
      </c>
    </row>
    <row r="231" spans="1:7" x14ac:dyDescent="0.35">
      <c r="A231">
        <v>120</v>
      </c>
      <c r="B231">
        <v>310</v>
      </c>
      <c r="C231">
        <v>1.67</v>
      </c>
      <c r="E231">
        <f t="shared" si="9"/>
        <v>12000000</v>
      </c>
      <c r="F231">
        <f t="shared" si="10"/>
        <v>310</v>
      </c>
      <c r="G231">
        <f t="shared" si="11"/>
        <v>598.80239520958094</v>
      </c>
    </row>
    <row r="232" spans="1:7" x14ac:dyDescent="0.35">
      <c r="A232">
        <v>120</v>
      </c>
      <c r="B232">
        <v>320</v>
      </c>
      <c r="C232">
        <v>1.71</v>
      </c>
      <c r="E232">
        <f t="shared" si="9"/>
        <v>12000000</v>
      </c>
      <c r="F232">
        <f t="shared" si="10"/>
        <v>320</v>
      </c>
      <c r="G232">
        <f t="shared" si="11"/>
        <v>584.79532163742692</v>
      </c>
    </row>
    <row r="233" spans="1:7" x14ac:dyDescent="0.35">
      <c r="A233">
        <v>120</v>
      </c>
      <c r="B233">
        <v>330</v>
      </c>
      <c r="C233">
        <v>1.76</v>
      </c>
      <c r="E233">
        <f t="shared" si="9"/>
        <v>12000000</v>
      </c>
      <c r="F233">
        <f t="shared" si="10"/>
        <v>330</v>
      </c>
      <c r="G233">
        <f t="shared" si="11"/>
        <v>568.18181818181824</v>
      </c>
    </row>
    <row r="234" spans="1:7" x14ac:dyDescent="0.35">
      <c r="A234">
        <v>120</v>
      </c>
      <c r="B234">
        <v>340</v>
      </c>
      <c r="C234">
        <v>1.81</v>
      </c>
      <c r="E234">
        <f t="shared" si="9"/>
        <v>12000000</v>
      </c>
      <c r="F234">
        <f t="shared" si="10"/>
        <v>340</v>
      </c>
      <c r="G234">
        <f t="shared" si="11"/>
        <v>552.4861878453039</v>
      </c>
    </row>
    <row r="235" spans="1:7" x14ac:dyDescent="0.35">
      <c r="A235">
        <v>120</v>
      </c>
      <c r="B235">
        <v>350</v>
      </c>
      <c r="C235">
        <v>1.88</v>
      </c>
      <c r="E235">
        <f t="shared" si="9"/>
        <v>12000000</v>
      </c>
      <c r="F235">
        <f t="shared" si="10"/>
        <v>350</v>
      </c>
      <c r="G235">
        <f t="shared" si="11"/>
        <v>531.91489361702133</v>
      </c>
    </row>
    <row r="236" spans="1:7" x14ac:dyDescent="0.35">
      <c r="A236">
        <v>120</v>
      </c>
      <c r="B236">
        <v>360</v>
      </c>
      <c r="C236">
        <v>1.96</v>
      </c>
      <c r="E236">
        <f t="shared" si="9"/>
        <v>12000000</v>
      </c>
      <c r="F236">
        <f t="shared" si="10"/>
        <v>360</v>
      </c>
      <c r="G236">
        <f t="shared" si="11"/>
        <v>510.20408163265313</v>
      </c>
    </row>
    <row r="237" spans="1:7" x14ac:dyDescent="0.35">
      <c r="A237">
        <v>120</v>
      </c>
      <c r="B237">
        <v>370</v>
      </c>
      <c r="C237">
        <v>2.0499999999999998</v>
      </c>
      <c r="E237">
        <f t="shared" si="9"/>
        <v>12000000</v>
      </c>
      <c r="F237">
        <f t="shared" si="10"/>
        <v>370</v>
      </c>
      <c r="G237">
        <f t="shared" si="11"/>
        <v>487.80487804878055</v>
      </c>
    </row>
    <row r="238" spans="1:7" x14ac:dyDescent="0.35">
      <c r="A238">
        <v>120</v>
      </c>
      <c r="B238">
        <v>380</v>
      </c>
      <c r="C238">
        <v>2.1800000000000002</v>
      </c>
      <c r="E238">
        <f t="shared" si="9"/>
        <v>12000000</v>
      </c>
      <c r="F238">
        <f t="shared" si="10"/>
        <v>380</v>
      </c>
      <c r="G238">
        <f t="shared" si="11"/>
        <v>458.71559633027522</v>
      </c>
    </row>
    <row r="239" spans="1:7" x14ac:dyDescent="0.35">
      <c r="A239">
        <v>120</v>
      </c>
      <c r="B239">
        <v>390</v>
      </c>
      <c r="C239">
        <v>2.34</v>
      </c>
      <c r="E239">
        <f t="shared" si="9"/>
        <v>12000000</v>
      </c>
      <c r="F239">
        <f t="shared" si="10"/>
        <v>390</v>
      </c>
      <c r="G239">
        <f t="shared" si="11"/>
        <v>427.35042735042742</v>
      </c>
    </row>
    <row r="240" spans="1:7" x14ac:dyDescent="0.35">
      <c r="A240">
        <v>120</v>
      </c>
      <c r="B240">
        <v>400</v>
      </c>
      <c r="C240">
        <v>2.66</v>
      </c>
      <c r="E240">
        <f t="shared" si="9"/>
        <v>12000000</v>
      </c>
      <c r="F240">
        <f t="shared" si="10"/>
        <v>400</v>
      </c>
      <c r="G240">
        <f t="shared" si="11"/>
        <v>375.93984962406012</v>
      </c>
    </row>
    <row r="241" spans="1:7" x14ac:dyDescent="0.35">
      <c r="A241">
        <v>120</v>
      </c>
      <c r="B241">
        <v>420</v>
      </c>
      <c r="C241">
        <v>9.2899999999999991</v>
      </c>
      <c r="E241">
        <f t="shared" si="9"/>
        <v>12000000</v>
      </c>
      <c r="F241">
        <f t="shared" si="10"/>
        <v>420</v>
      </c>
      <c r="G241">
        <f t="shared" si="11"/>
        <v>107.64262648008614</v>
      </c>
    </row>
    <row r="242" spans="1:7" x14ac:dyDescent="0.35">
      <c r="A242">
        <v>120</v>
      </c>
      <c r="B242">
        <v>440</v>
      </c>
      <c r="C242">
        <v>11.77</v>
      </c>
      <c r="E242">
        <f t="shared" si="9"/>
        <v>12000000</v>
      </c>
      <c r="F242">
        <f t="shared" si="10"/>
        <v>440</v>
      </c>
      <c r="G242">
        <f t="shared" si="11"/>
        <v>84.961767204757848</v>
      </c>
    </row>
    <row r="243" spans="1:7" x14ac:dyDescent="0.35">
      <c r="A243">
        <v>120</v>
      </c>
      <c r="B243">
        <v>460</v>
      </c>
      <c r="C243">
        <v>13.67</v>
      </c>
      <c r="E243">
        <f t="shared" si="9"/>
        <v>12000000</v>
      </c>
      <c r="F243">
        <f t="shared" si="10"/>
        <v>460</v>
      </c>
      <c r="G243">
        <f t="shared" si="11"/>
        <v>73.152889539136794</v>
      </c>
    </row>
    <row r="244" spans="1:7" x14ac:dyDescent="0.35">
      <c r="A244">
        <v>120</v>
      </c>
      <c r="B244">
        <v>480</v>
      </c>
      <c r="C244">
        <v>15.17</v>
      </c>
      <c r="E244">
        <f t="shared" si="9"/>
        <v>12000000</v>
      </c>
      <c r="F244">
        <f t="shared" si="10"/>
        <v>480</v>
      </c>
      <c r="G244">
        <f t="shared" si="11"/>
        <v>65.919578114700059</v>
      </c>
    </row>
    <row r="245" spans="1:7" x14ac:dyDescent="0.35">
      <c r="A245">
        <v>120</v>
      </c>
      <c r="B245">
        <v>500</v>
      </c>
      <c r="C245">
        <v>16.55</v>
      </c>
      <c r="E245">
        <f t="shared" si="9"/>
        <v>12000000</v>
      </c>
      <c r="F245">
        <f t="shared" si="10"/>
        <v>500</v>
      </c>
      <c r="G245">
        <f t="shared" si="11"/>
        <v>60.422960725075527</v>
      </c>
    </row>
    <row r="246" spans="1:7" x14ac:dyDescent="0.35">
      <c r="A246">
        <v>120</v>
      </c>
      <c r="B246">
        <v>520</v>
      </c>
      <c r="C246">
        <v>17.84</v>
      </c>
      <c r="E246">
        <f t="shared" si="9"/>
        <v>12000000</v>
      </c>
      <c r="F246">
        <f t="shared" si="10"/>
        <v>520</v>
      </c>
      <c r="G246">
        <f t="shared" si="11"/>
        <v>56.053811659192824</v>
      </c>
    </row>
    <row r="247" spans="1:7" x14ac:dyDescent="0.35">
      <c r="A247">
        <v>120</v>
      </c>
      <c r="B247">
        <v>540</v>
      </c>
      <c r="C247">
        <v>19.079999999999998</v>
      </c>
      <c r="E247">
        <f t="shared" si="9"/>
        <v>12000000</v>
      </c>
      <c r="F247">
        <f t="shared" si="10"/>
        <v>540</v>
      </c>
      <c r="G247">
        <f t="shared" si="11"/>
        <v>52.410901467505248</v>
      </c>
    </row>
    <row r="248" spans="1:7" x14ac:dyDescent="0.35">
      <c r="A248">
        <v>120</v>
      </c>
      <c r="B248">
        <v>560</v>
      </c>
      <c r="C248">
        <v>20.25</v>
      </c>
      <c r="E248">
        <f t="shared" si="9"/>
        <v>12000000</v>
      </c>
      <c r="F248">
        <f t="shared" si="10"/>
        <v>560</v>
      </c>
      <c r="G248">
        <f t="shared" si="11"/>
        <v>49.382716049382715</v>
      </c>
    </row>
    <row r="249" spans="1:7" x14ac:dyDescent="0.35">
      <c r="A249">
        <v>140</v>
      </c>
      <c r="B249">
        <v>310</v>
      </c>
      <c r="C249">
        <v>1.67</v>
      </c>
      <c r="E249">
        <f t="shared" si="9"/>
        <v>14000000</v>
      </c>
      <c r="F249">
        <f t="shared" si="10"/>
        <v>310</v>
      </c>
      <c r="G249">
        <f t="shared" si="11"/>
        <v>598.80239520958094</v>
      </c>
    </row>
    <row r="250" spans="1:7" x14ac:dyDescent="0.35">
      <c r="A250">
        <v>140</v>
      </c>
      <c r="B250">
        <v>320</v>
      </c>
      <c r="C250">
        <v>1.71</v>
      </c>
      <c r="E250">
        <f t="shared" si="9"/>
        <v>14000000</v>
      </c>
      <c r="F250">
        <f t="shared" si="10"/>
        <v>320</v>
      </c>
      <c r="G250">
        <f t="shared" si="11"/>
        <v>584.79532163742692</v>
      </c>
    </row>
    <row r="251" spans="1:7" x14ac:dyDescent="0.35">
      <c r="A251">
        <v>140</v>
      </c>
      <c r="B251">
        <v>330</v>
      </c>
      <c r="C251">
        <v>1.76</v>
      </c>
      <c r="E251">
        <f t="shared" si="9"/>
        <v>14000000</v>
      </c>
      <c r="F251">
        <f t="shared" si="10"/>
        <v>330</v>
      </c>
      <c r="G251">
        <f t="shared" si="11"/>
        <v>568.18181818181824</v>
      </c>
    </row>
    <row r="252" spans="1:7" x14ac:dyDescent="0.35">
      <c r="A252">
        <v>140</v>
      </c>
      <c r="B252">
        <v>340</v>
      </c>
      <c r="C252">
        <v>1.81</v>
      </c>
      <c r="E252">
        <f t="shared" si="9"/>
        <v>14000000</v>
      </c>
      <c r="F252">
        <f t="shared" si="10"/>
        <v>340</v>
      </c>
      <c r="G252">
        <f t="shared" si="11"/>
        <v>552.4861878453039</v>
      </c>
    </row>
    <row r="253" spans="1:7" x14ac:dyDescent="0.35">
      <c r="A253">
        <v>140</v>
      </c>
      <c r="B253">
        <v>350</v>
      </c>
      <c r="C253">
        <v>1.87</v>
      </c>
      <c r="E253">
        <f t="shared" si="9"/>
        <v>14000000</v>
      </c>
      <c r="F253">
        <f t="shared" si="10"/>
        <v>350</v>
      </c>
      <c r="G253">
        <f t="shared" si="11"/>
        <v>534.75935828876993</v>
      </c>
    </row>
    <row r="254" spans="1:7" x14ac:dyDescent="0.35">
      <c r="A254">
        <v>140</v>
      </c>
      <c r="B254">
        <v>360</v>
      </c>
      <c r="C254">
        <v>1.94</v>
      </c>
      <c r="E254">
        <f t="shared" si="9"/>
        <v>14000000</v>
      </c>
      <c r="F254">
        <f t="shared" si="10"/>
        <v>360</v>
      </c>
      <c r="G254">
        <f t="shared" si="11"/>
        <v>515.46391752577335</v>
      </c>
    </row>
    <row r="255" spans="1:7" x14ac:dyDescent="0.35">
      <c r="A255">
        <v>140</v>
      </c>
      <c r="B255">
        <v>370</v>
      </c>
      <c r="C255">
        <v>2.0299999999999998</v>
      </c>
      <c r="E255">
        <f t="shared" si="9"/>
        <v>14000000</v>
      </c>
      <c r="F255">
        <f t="shared" si="10"/>
        <v>370</v>
      </c>
      <c r="G255">
        <f t="shared" si="11"/>
        <v>492.61083743842374</v>
      </c>
    </row>
    <row r="256" spans="1:7" x14ac:dyDescent="0.35">
      <c r="A256">
        <v>140</v>
      </c>
      <c r="B256">
        <v>380</v>
      </c>
      <c r="C256">
        <v>2.14</v>
      </c>
      <c r="E256">
        <f t="shared" si="9"/>
        <v>14000000</v>
      </c>
      <c r="F256">
        <f t="shared" si="10"/>
        <v>380</v>
      </c>
      <c r="G256">
        <f t="shared" si="11"/>
        <v>467.28971962616822</v>
      </c>
    </row>
    <row r="257" spans="1:7" x14ac:dyDescent="0.35">
      <c r="A257">
        <v>140</v>
      </c>
      <c r="B257">
        <v>390</v>
      </c>
      <c r="C257">
        <v>2.2799999999999998</v>
      </c>
      <c r="E257">
        <f t="shared" si="9"/>
        <v>14000000</v>
      </c>
      <c r="F257">
        <f t="shared" si="10"/>
        <v>390</v>
      </c>
      <c r="G257">
        <f t="shared" si="11"/>
        <v>438.59649122807025</v>
      </c>
    </row>
    <row r="258" spans="1:7" x14ac:dyDescent="0.35">
      <c r="A258">
        <v>140</v>
      </c>
      <c r="B258">
        <v>400</v>
      </c>
      <c r="C258">
        <v>2.5099999999999998</v>
      </c>
      <c r="E258">
        <f t="shared" ref="E258:E321" si="12">A258*100000</f>
        <v>14000000</v>
      </c>
      <c r="F258">
        <f t="shared" si="10"/>
        <v>400</v>
      </c>
      <c r="G258">
        <f t="shared" si="11"/>
        <v>398.4063745019921</v>
      </c>
    </row>
    <row r="259" spans="1:7" x14ac:dyDescent="0.35">
      <c r="A259">
        <v>140</v>
      </c>
      <c r="B259">
        <v>420</v>
      </c>
      <c r="C259">
        <v>5.37</v>
      </c>
      <c r="E259">
        <f t="shared" si="12"/>
        <v>14000000</v>
      </c>
      <c r="F259">
        <f t="shared" ref="F259:F322" si="13">B259</f>
        <v>420</v>
      </c>
      <c r="G259">
        <f t="shared" ref="G259:G322" si="14">1/C259*0.001*1000000</f>
        <v>186.21973929236498</v>
      </c>
    </row>
    <row r="260" spans="1:7" x14ac:dyDescent="0.35">
      <c r="A260">
        <v>140</v>
      </c>
      <c r="B260">
        <v>440</v>
      </c>
      <c r="C260">
        <v>8.7799999999999994</v>
      </c>
      <c r="E260">
        <f t="shared" si="12"/>
        <v>14000000</v>
      </c>
      <c r="F260">
        <f t="shared" si="13"/>
        <v>440</v>
      </c>
      <c r="G260">
        <f t="shared" si="14"/>
        <v>113.89521640091118</v>
      </c>
    </row>
    <row r="261" spans="1:7" x14ac:dyDescent="0.35">
      <c r="A261">
        <v>140</v>
      </c>
      <c r="B261">
        <v>460</v>
      </c>
      <c r="C261">
        <v>10.75</v>
      </c>
      <c r="E261">
        <f t="shared" si="12"/>
        <v>14000000</v>
      </c>
      <c r="F261">
        <f t="shared" si="13"/>
        <v>460</v>
      </c>
      <c r="G261">
        <f t="shared" si="14"/>
        <v>93.023255813953483</v>
      </c>
    </row>
    <row r="262" spans="1:7" x14ac:dyDescent="0.35">
      <c r="A262">
        <v>140</v>
      </c>
      <c r="B262">
        <v>480</v>
      </c>
      <c r="C262">
        <v>12.25</v>
      </c>
      <c r="E262">
        <f t="shared" si="12"/>
        <v>14000000</v>
      </c>
      <c r="F262">
        <f t="shared" si="13"/>
        <v>480</v>
      </c>
      <c r="G262">
        <f t="shared" si="14"/>
        <v>81.632653061224488</v>
      </c>
    </row>
    <row r="263" spans="1:7" x14ac:dyDescent="0.35">
      <c r="A263">
        <v>140</v>
      </c>
      <c r="B263">
        <v>500</v>
      </c>
      <c r="C263">
        <v>13.56</v>
      </c>
      <c r="E263">
        <f t="shared" si="12"/>
        <v>14000000</v>
      </c>
      <c r="F263">
        <f t="shared" si="13"/>
        <v>500</v>
      </c>
      <c r="G263">
        <f t="shared" si="14"/>
        <v>73.746312684365776</v>
      </c>
    </row>
    <row r="264" spans="1:7" x14ac:dyDescent="0.35">
      <c r="A264">
        <v>140</v>
      </c>
      <c r="B264">
        <v>520</v>
      </c>
      <c r="C264">
        <v>14.75</v>
      </c>
      <c r="E264">
        <f t="shared" si="12"/>
        <v>14000000</v>
      </c>
      <c r="F264">
        <f t="shared" si="13"/>
        <v>520</v>
      </c>
      <c r="G264">
        <f t="shared" si="14"/>
        <v>67.79661016949153</v>
      </c>
    </row>
    <row r="265" spans="1:7" x14ac:dyDescent="0.35">
      <c r="A265">
        <v>140</v>
      </c>
      <c r="B265">
        <v>540</v>
      </c>
      <c r="C265">
        <v>15.88</v>
      </c>
      <c r="E265">
        <f t="shared" si="12"/>
        <v>14000000</v>
      </c>
      <c r="F265">
        <f t="shared" si="13"/>
        <v>540</v>
      </c>
      <c r="G265">
        <f t="shared" si="14"/>
        <v>62.97229219143577</v>
      </c>
    </row>
    <row r="266" spans="1:7" x14ac:dyDescent="0.35">
      <c r="A266">
        <v>140</v>
      </c>
      <c r="B266">
        <v>560</v>
      </c>
      <c r="C266">
        <v>16.940000000000001</v>
      </c>
      <c r="E266">
        <f t="shared" si="12"/>
        <v>14000000</v>
      </c>
      <c r="F266">
        <f t="shared" si="13"/>
        <v>560</v>
      </c>
      <c r="G266">
        <f t="shared" si="14"/>
        <v>59.031877213695388</v>
      </c>
    </row>
    <row r="267" spans="1:7" x14ac:dyDescent="0.35">
      <c r="A267">
        <v>160</v>
      </c>
      <c r="B267">
        <v>310</v>
      </c>
      <c r="C267">
        <v>1.66</v>
      </c>
      <c r="E267">
        <f t="shared" si="12"/>
        <v>16000000</v>
      </c>
      <c r="F267">
        <f t="shared" si="13"/>
        <v>310</v>
      </c>
      <c r="G267">
        <f t="shared" si="14"/>
        <v>602.40963855421694</v>
      </c>
    </row>
    <row r="268" spans="1:7" x14ac:dyDescent="0.35">
      <c r="A268">
        <v>160</v>
      </c>
      <c r="B268">
        <v>320</v>
      </c>
      <c r="C268">
        <v>1.7</v>
      </c>
      <c r="E268">
        <f t="shared" si="12"/>
        <v>16000000</v>
      </c>
      <c r="F268">
        <f t="shared" si="13"/>
        <v>320</v>
      </c>
      <c r="G268">
        <f t="shared" si="14"/>
        <v>588.23529411764707</v>
      </c>
    </row>
    <row r="269" spans="1:7" x14ac:dyDescent="0.35">
      <c r="A269">
        <v>160</v>
      </c>
      <c r="B269">
        <v>330</v>
      </c>
      <c r="C269">
        <v>1.75</v>
      </c>
      <c r="E269">
        <f t="shared" si="12"/>
        <v>16000000</v>
      </c>
      <c r="F269">
        <f t="shared" si="13"/>
        <v>330</v>
      </c>
      <c r="G269">
        <f t="shared" si="14"/>
        <v>571.42857142857133</v>
      </c>
    </row>
    <row r="270" spans="1:7" x14ac:dyDescent="0.35">
      <c r="A270">
        <v>160</v>
      </c>
      <c r="B270">
        <v>340</v>
      </c>
      <c r="C270">
        <v>1.8</v>
      </c>
      <c r="E270">
        <f t="shared" si="12"/>
        <v>16000000</v>
      </c>
      <c r="F270">
        <f t="shared" si="13"/>
        <v>340</v>
      </c>
      <c r="G270">
        <f t="shared" si="14"/>
        <v>555.55555555555554</v>
      </c>
    </row>
    <row r="271" spans="1:7" x14ac:dyDescent="0.35">
      <c r="A271">
        <v>160</v>
      </c>
      <c r="B271">
        <v>350</v>
      </c>
      <c r="C271">
        <v>1.86</v>
      </c>
      <c r="E271">
        <f t="shared" si="12"/>
        <v>16000000</v>
      </c>
      <c r="F271">
        <f t="shared" si="13"/>
        <v>350</v>
      </c>
      <c r="G271">
        <f t="shared" si="14"/>
        <v>537.63440860215053</v>
      </c>
    </row>
    <row r="272" spans="1:7" x14ac:dyDescent="0.35">
      <c r="A272">
        <v>160</v>
      </c>
      <c r="B272">
        <v>360</v>
      </c>
      <c r="C272">
        <v>1.93</v>
      </c>
      <c r="E272">
        <f t="shared" si="12"/>
        <v>16000000</v>
      </c>
      <c r="F272">
        <f t="shared" si="13"/>
        <v>360</v>
      </c>
      <c r="G272">
        <f t="shared" si="14"/>
        <v>518.13471502590687</v>
      </c>
    </row>
    <row r="273" spans="1:7" x14ac:dyDescent="0.35">
      <c r="A273">
        <v>160</v>
      </c>
      <c r="B273">
        <v>370</v>
      </c>
      <c r="C273">
        <v>2.0099999999999998</v>
      </c>
      <c r="E273">
        <f t="shared" si="12"/>
        <v>16000000</v>
      </c>
      <c r="F273">
        <f t="shared" si="13"/>
        <v>370</v>
      </c>
      <c r="G273">
        <f t="shared" si="14"/>
        <v>497.51243781094536</v>
      </c>
    </row>
    <row r="274" spans="1:7" x14ac:dyDescent="0.35">
      <c r="A274">
        <v>160</v>
      </c>
      <c r="B274">
        <v>380</v>
      </c>
      <c r="C274">
        <v>2.11</v>
      </c>
      <c r="E274">
        <f t="shared" si="12"/>
        <v>16000000</v>
      </c>
      <c r="F274">
        <f t="shared" si="13"/>
        <v>380</v>
      </c>
      <c r="G274">
        <f t="shared" si="14"/>
        <v>473.93364928909955</v>
      </c>
    </row>
    <row r="275" spans="1:7" x14ac:dyDescent="0.35">
      <c r="A275">
        <v>160</v>
      </c>
      <c r="B275">
        <v>390</v>
      </c>
      <c r="C275">
        <v>2.23</v>
      </c>
      <c r="E275">
        <f t="shared" si="12"/>
        <v>16000000</v>
      </c>
      <c r="F275">
        <f t="shared" si="13"/>
        <v>390</v>
      </c>
      <c r="G275">
        <f t="shared" si="14"/>
        <v>448.4304932735426</v>
      </c>
    </row>
    <row r="276" spans="1:7" x14ac:dyDescent="0.35">
      <c r="A276">
        <v>160</v>
      </c>
      <c r="B276">
        <v>400</v>
      </c>
      <c r="C276">
        <v>2.4</v>
      </c>
      <c r="E276">
        <f t="shared" si="12"/>
        <v>16000000</v>
      </c>
      <c r="F276">
        <f t="shared" si="13"/>
        <v>400</v>
      </c>
      <c r="G276">
        <f t="shared" si="14"/>
        <v>416.66666666666669</v>
      </c>
    </row>
    <row r="277" spans="1:7" x14ac:dyDescent="0.35">
      <c r="A277">
        <v>160</v>
      </c>
      <c r="B277">
        <v>420</v>
      </c>
      <c r="C277">
        <v>3.43</v>
      </c>
      <c r="E277">
        <f t="shared" si="12"/>
        <v>16000000</v>
      </c>
      <c r="F277">
        <f t="shared" si="13"/>
        <v>420</v>
      </c>
      <c r="G277">
        <f t="shared" si="14"/>
        <v>291.54518950437313</v>
      </c>
    </row>
    <row r="278" spans="1:7" x14ac:dyDescent="0.35">
      <c r="A278">
        <v>160</v>
      </c>
      <c r="B278">
        <v>440</v>
      </c>
      <c r="C278">
        <v>6.27</v>
      </c>
      <c r="E278">
        <f t="shared" si="12"/>
        <v>16000000</v>
      </c>
      <c r="F278">
        <f t="shared" si="13"/>
        <v>440</v>
      </c>
      <c r="G278">
        <f t="shared" si="14"/>
        <v>159.48963317384371</v>
      </c>
    </row>
    <row r="279" spans="1:7" x14ac:dyDescent="0.35">
      <c r="A279">
        <v>160</v>
      </c>
      <c r="B279">
        <v>460</v>
      </c>
      <c r="C279">
        <v>8.5399999999999991</v>
      </c>
      <c r="E279">
        <f t="shared" si="12"/>
        <v>16000000</v>
      </c>
      <c r="F279">
        <f t="shared" si="13"/>
        <v>460</v>
      </c>
      <c r="G279">
        <f t="shared" si="14"/>
        <v>117.09601873536302</v>
      </c>
    </row>
    <row r="280" spans="1:7" x14ac:dyDescent="0.35">
      <c r="A280">
        <v>160</v>
      </c>
      <c r="B280">
        <v>480</v>
      </c>
      <c r="C280">
        <v>10.06</v>
      </c>
      <c r="E280">
        <f t="shared" si="12"/>
        <v>16000000</v>
      </c>
      <c r="F280">
        <f t="shared" si="13"/>
        <v>480</v>
      </c>
      <c r="G280">
        <f t="shared" si="14"/>
        <v>99.403578528827026</v>
      </c>
    </row>
    <row r="281" spans="1:7" x14ac:dyDescent="0.35">
      <c r="A281">
        <v>160</v>
      </c>
      <c r="B281">
        <v>500</v>
      </c>
      <c r="C281">
        <v>11.31</v>
      </c>
      <c r="E281">
        <f t="shared" si="12"/>
        <v>16000000</v>
      </c>
      <c r="F281">
        <f t="shared" si="13"/>
        <v>500</v>
      </c>
      <c r="G281">
        <f t="shared" si="14"/>
        <v>88.417329796640132</v>
      </c>
    </row>
    <row r="282" spans="1:7" x14ac:dyDescent="0.35">
      <c r="A282">
        <v>160</v>
      </c>
      <c r="B282">
        <v>520</v>
      </c>
      <c r="C282">
        <v>12.44</v>
      </c>
      <c r="E282">
        <f t="shared" si="12"/>
        <v>16000000</v>
      </c>
      <c r="F282">
        <f t="shared" si="13"/>
        <v>520</v>
      </c>
      <c r="G282">
        <f t="shared" si="14"/>
        <v>80.385852090032159</v>
      </c>
    </row>
    <row r="283" spans="1:7" x14ac:dyDescent="0.35">
      <c r="A283">
        <v>160</v>
      </c>
      <c r="B283">
        <v>540</v>
      </c>
      <c r="C283">
        <v>13.49</v>
      </c>
      <c r="E283">
        <f t="shared" si="12"/>
        <v>16000000</v>
      </c>
      <c r="F283">
        <f t="shared" si="13"/>
        <v>540</v>
      </c>
      <c r="G283">
        <f t="shared" si="14"/>
        <v>74.128984432913271</v>
      </c>
    </row>
    <row r="284" spans="1:7" x14ac:dyDescent="0.35">
      <c r="A284">
        <v>160</v>
      </c>
      <c r="B284">
        <v>560</v>
      </c>
      <c r="C284">
        <v>14.48</v>
      </c>
      <c r="E284">
        <f t="shared" si="12"/>
        <v>16000000</v>
      </c>
      <c r="F284">
        <f t="shared" si="13"/>
        <v>560</v>
      </c>
      <c r="G284">
        <f t="shared" si="14"/>
        <v>69.060773480662988</v>
      </c>
    </row>
    <row r="285" spans="1:7" x14ac:dyDescent="0.35">
      <c r="A285">
        <v>180</v>
      </c>
      <c r="B285">
        <v>310</v>
      </c>
      <c r="C285">
        <v>1.66</v>
      </c>
      <c r="E285">
        <f t="shared" si="12"/>
        <v>18000000</v>
      </c>
      <c r="F285">
        <f t="shared" si="13"/>
        <v>310</v>
      </c>
      <c r="G285">
        <f t="shared" si="14"/>
        <v>602.40963855421694</v>
      </c>
    </row>
    <row r="286" spans="1:7" x14ac:dyDescent="0.35">
      <c r="A286">
        <v>180</v>
      </c>
      <c r="B286">
        <v>320</v>
      </c>
      <c r="C286">
        <v>1.7</v>
      </c>
      <c r="E286">
        <f t="shared" si="12"/>
        <v>18000000</v>
      </c>
      <c r="F286">
        <f t="shared" si="13"/>
        <v>320</v>
      </c>
      <c r="G286">
        <f t="shared" si="14"/>
        <v>588.23529411764707</v>
      </c>
    </row>
    <row r="287" spans="1:7" x14ac:dyDescent="0.35">
      <c r="A287">
        <v>180</v>
      </c>
      <c r="B287">
        <v>330</v>
      </c>
      <c r="C287">
        <v>1.74</v>
      </c>
      <c r="E287">
        <f t="shared" si="12"/>
        <v>18000000</v>
      </c>
      <c r="F287">
        <f t="shared" si="13"/>
        <v>330</v>
      </c>
      <c r="G287">
        <f t="shared" si="14"/>
        <v>574.71264367816093</v>
      </c>
    </row>
    <row r="288" spans="1:7" x14ac:dyDescent="0.35">
      <c r="A288">
        <v>180</v>
      </c>
      <c r="B288">
        <v>340</v>
      </c>
      <c r="C288">
        <v>1.79</v>
      </c>
      <c r="E288">
        <f t="shared" si="12"/>
        <v>18000000</v>
      </c>
      <c r="F288">
        <f t="shared" si="13"/>
        <v>340</v>
      </c>
      <c r="G288">
        <f t="shared" si="14"/>
        <v>558.65921787709487</v>
      </c>
    </row>
    <row r="289" spans="1:7" x14ac:dyDescent="0.35">
      <c r="A289">
        <v>180</v>
      </c>
      <c r="B289">
        <v>350</v>
      </c>
      <c r="C289">
        <v>1.84</v>
      </c>
      <c r="E289">
        <f t="shared" si="12"/>
        <v>18000000</v>
      </c>
      <c r="F289">
        <f t="shared" si="13"/>
        <v>350</v>
      </c>
      <c r="G289">
        <f t="shared" si="14"/>
        <v>543.47826086956525</v>
      </c>
    </row>
    <row r="290" spans="1:7" x14ac:dyDescent="0.35">
      <c r="A290">
        <v>180</v>
      </c>
      <c r="B290">
        <v>360</v>
      </c>
      <c r="C290">
        <v>1.91</v>
      </c>
      <c r="E290">
        <f t="shared" si="12"/>
        <v>18000000</v>
      </c>
      <c r="F290">
        <f t="shared" si="13"/>
        <v>360</v>
      </c>
      <c r="G290">
        <f t="shared" si="14"/>
        <v>523.56020942408384</v>
      </c>
    </row>
    <row r="291" spans="1:7" x14ac:dyDescent="0.35">
      <c r="A291">
        <v>180</v>
      </c>
      <c r="B291">
        <v>370</v>
      </c>
      <c r="C291">
        <v>1.98</v>
      </c>
      <c r="E291">
        <f t="shared" si="12"/>
        <v>18000000</v>
      </c>
      <c r="F291">
        <f t="shared" si="13"/>
        <v>370</v>
      </c>
      <c r="G291">
        <f t="shared" si="14"/>
        <v>505.05050505050502</v>
      </c>
    </row>
    <row r="292" spans="1:7" x14ac:dyDescent="0.35">
      <c r="A292">
        <v>180</v>
      </c>
      <c r="B292">
        <v>380</v>
      </c>
      <c r="C292">
        <v>2.08</v>
      </c>
      <c r="E292">
        <f t="shared" si="12"/>
        <v>18000000</v>
      </c>
      <c r="F292">
        <f t="shared" si="13"/>
        <v>380</v>
      </c>
      <c r="G292">
        <f t="shared" si="14"/>
        <v>480.76923076923072</v>
      </c>
    </row>
    <row r="293" spans="1:7" x14ac:dyDescent="0.35">
      <c r="A293">
        <v>180</v>
      </c>
      <c r="B293">
        <v>390</v>
      </c>
      <c r="C293">
        <v>2.1800000000000002</v>
      </c>
      <c r="E293">
        <f t="shared" si="12"/>
        <v>18000000</v>
      </c>
      <c r="F293">
        <f t="shared" si="13"/>
        <v>390</v>
      </c>
      <c r="G293">
        <f t="shared" si="14"/>
        <v>458.71559633027522</v>
      </c>
    </row>
    <row r="294" spans="1:7" x14ac:dyDescent="0.35">
      <c r="A294">
        <v>180</v>
      </c>
      <c r="B294">
        <v>400</v>
      </c>
      <c r="C294">
        <v>2.3199999999999998</v>
      </c>
      <c r="E294">
        <f t="shared" si="12"/>
        <v>18000000</v>
      </c>
      <c r="F294">
        <f t="shared" si="13"/>
        <v>400</v>
      </c>
      <c r="G294">
        <f t="shared" si="14"/>
        <v>431.03448275862075</v>
      </c>
    </row>
    <row r="295" spans="1:7" x14ac:dyDescent="0.35">
      <c r="A295">
        <v>180</v>
      </c>
      <c r="B295">
        <v>420</v>
      </c>
      <c r="C295">
        <v>2.88</v>
      </c>
      <c r="E295">
        <f t="shared" si="12"/>
        <v>18000000</v>
      </c>
      <c r="F295">
        <f t="shared" si="13"/>
        <v>420</v>
      </c>
      <c r="G295">
        <f t="shared" si="14"/>
        <v>347.22222222222223</v>
      </c>
    </row>
    <row r="296" spans="1:7" x14ac:dyDescent="0.35">
      <c r="A296">
        <v>180</v>
      </c>
      <c r="B296">
        <v>440</v>
      </c>
      <c r="C296">
        <v>4.4400000000000004</v>
      </c>
      <c r="E296">
        <f t="shared" si="12"/>
        <v>18000000</v>
      </c>
      <c r="F296">
        <f t="shared" si="13"/>
        <v>440</v>
      </c>
      <c r="G296">
        <f t="shared" si="14"/>
        <v>225.22522522522519</v>
      </c>
    </row>
    <row r="297" spans="1:7" x14ac:dyDescent="0.35">
      <c r="A297">
        <v>180</v>
      </c>
      <c r="B297">
        <v>460</v>
      </c>
      <c r="C297">
        <v>6.77</v>
      </c>
      <c r="E297">
        <f t="shared" si="12"/>
        <v>18000000</v>
      </c>
      <c r="F297">
        <f t="shared" si="13"/>
        <v>460</v>
      </c>
      <c r="G297">
        <f t="shared" si="14"/>
        <v>147.71048744460859</v>
      </c>
    </row>
    <row r="298" spans="1:7" x14ac:dyDescent="0.35">
      <c r="A298">
        <v>180</v>
      </c>
      <c r="B298">
        <v>480</v>
      </c>
      <c r="C298">
        <v>8.32</v>
      </c>
      <c r="E298">
        <f t="shared" si="12"/>
        <v>18000000</v>
      </c>
      <c r="F298">
        <f t="shared" si="13"/>
        <v>480</v>
      </c>
      <c r="G298">
        <f t="shared" si="14"/>
        <v>120.19230769230768</v>
      </c>
    </row>
    <row r="299" spans="1:7" x14ac:dyDescent="0.35">
      <c r="A299">
        <v>180</v>
      </c>
      <c r="B299">
        <v>500</v>
      </c>
      <c r="C299">
        <v>9.58</v>
      </c>
      <c r="E299">
        <f t="shared" si="12"/>
        <v>18000000</v>
      </c>
      <c r="F299">
        <f t="shared" si="13"/>
        <v>500</v>
      </c>
      <c r="G299">
        <f t="shared" si="14"/>
        <v>104.38413361169103</v>
      </c>
    </row>
    <row r="300" spans="1:7" x14ac:dyDescent="0.35">
      <c r="A300">
        <v>180</v>
      </c>
      <c r="B300">
        <v>520</v>
      </c>
      <c r="C300">
        <v>10.66</v>
      </c>
      <c r="E300">
        <f t="shared" si="12"/>
        <v>18000000</v>
      </c>
      <c r="F300">
        <f t="shared" si="13"/>
        <v>520</v>
      </c>
      <c r="G300">
        <f t="shared" si="14"/>
        <v>93.808630393996253</v>
      </c>
    </row>
    <row r="301" spans="1:7" x14ac:dyDescent="0.35">
      <c r="A301">
        <v>180</v>
      </c>
      <c r="B301">
        <v>540</v>
      </c>
      <c r="C301">
        <v>11.64</v>
      </c>
      <c r="E301">
        <f t="shared" si="12"/>
        <v>18000000</v>
      </c>
      <c r="F301">
        <f t="shared" si="13"/>
        <v>540</v>
      </c>
      <c r="G301">
        <f t="shared" si="14"/>
        <v>85.910652920962207</v>
      </c>
    </row>
    <row r="302" spans="1:7" x14ac:dyDescent="0.35">
      <c r="A302">
        <v>180</v>
      </c>
      <c r="B302">
        <v>560</v>
      </c>
      <c r="C302">
        <v>12.57</v>
      </c>
      <c r="E302">
        <f t="shared" si="12"/>
        <v>18000000</v>
      </c>
      <c r="F302">
        <f t="shared" si="13"/>
        <v>560</v>
      </c>
      <c r="G302">
        <f t="shared" si="14"/>
        <v>79.554494828957843</v>
      </c>
    </row>
    <row r="303" spans="1:7" x14ac:dyDescent="0.35">
      <c r="A303">
        <v>200</v>
      </c>
      <c r="B303">
        <v>310</v>
      </c>
      <c r="C303">
        <v>1.66</v>
      </c>
      <c r="E303">
        <f t="shared" si="12"/>
        <v>20000000</v>
      </c>
      <c r="F303">
        <f t="shared" si="13"/>
        <v>310</v>
      </c>
      <c r="G303">
        <f t="shared" si="14"/>
        <v>602.40963855421694</v>
      </c>
    </row>
    <row r="304" spans="1:7" x14ac:dyDescent="0.35">
      <c r="A304">
        <v>200</v>
      </c>
      <c r="B304">
        <v>320</v>
      </c>
      <c r="C304">
        <v>1.69</v>
      </c>
      <c r="E304">
        <f t="shared" si="12"/>
        <v>20000000</v>
      </c>
      <c r="F304">
        <f t="shared" si="13"/>
        <v>320</v>
      </c>
      <c r="G304">
        <f t="shared" si="14"/>
        <v>591.71597633136093</v>
      </c>
    </row>
    <row r="305" spans="1:7" x14ac:dyDescent="0.35">
      <c r="A305">
        <v>200</v>
      </c>
      <c r="B305">
        <v>330</v>
      </c>
      <c r="C305">
        <v>1.73</v>
      </c>
      <c r="E305">
        <f t="shared" si="12"/>
        <v>20000000</v>
      </c>
      <c r="F305">
        <f t="shared" si="13"/>
        <v>330</v>
      </c>
      <c r="G305">
        <f t="shared" si="14"/>
        <v>578.03468208092488</v>
      </c>
    </row>
    <row r="306" spans="1:7" x14ac:dyDescent="0.35">
      <c r="A306">
        <v>200</v>
      </c>
      <c r="B306">
        <v>340</v>
      </c>
      <c r="C306">
        <v>1.78</v>
      </c>
      <c r="E306">
        <f t="shared" si="12"/>
        <v>20000000</v>
      </c>
      <c r="F306">
        <f t="shared" si="13"/>
        <v>340</v>
      </c>
      <c r="G306">
        <f t="shared" si="14"/>
        <v>561.79775280898878</v>
      </c>
    </row>
    <row r="307" spans="1:7" x14ac:dyDescent="0.35">
      <c r="A307">
        <v>200</v>
      </c>
      <c r="B307">
        <v>350</v>
      </c>
      <c r="C307">
        <v>1.83</v>
      </c>
      <c r="E307">
        <f t="shared" si="12"/>
        <v>20000000</v>
      </c>
      <c r="F307">
        <f t="shared" si="13"/>
        <v>350</v>
      </c>
      <c r="G307">
        <f t="shared" si="14"/>
        <v>546.44808743169403</v>
      </c>
    </row>
    <row r="308" spans="1:7" x14ac:dyDescent="0.35">
      <c r="A308">
        <v>200</v>
      </c>
      <c r="B308">
        <v>360</v>
      </c>
      <c r="C308">
        <v>1.9</v>
      </c>
      <c r="E308">
        <f t="shared" si="12"/>
        <v>20000000</v>
      </c>
      <c r="F308">
        <f t="shared" si="13"/>
        <v>360</v>
      </c>
      <c r="G308">
        <f t="shared" si="14"/>
        <v>526.31578947368416</v>
      </c>
    </row>
    <row r="309" spans="1:7" x14ac:dyDescent="0.35">
      <c r="A309">
        <v>200</v>
      </c>
      <c r="B309">
        <v>370</v>
      </c>
      <c r="C309">
        <v>1.96</v>
      </c>
      <c r="E309">
        <f t="shared" si="12"/>
        <v>20000000</v>
      </c>
      <c r="F309">
        <f t="shared" si="13"/>
        <v>370</v>
      </c>
      <c r="G309">
        <f t="shared" si="14"/>
        <v>510.20408163265313</v>
      </c>
    </row>
    <row r="310" spans="1:7" x14ac:dyDescent="0.35">
      <c r="A310">
        <v>200</v>
      </c>
      <c r="B310">
        <v>380</v>
      </c>
      <c r="C310">
        <v>2.0499999999999998</v>
      </c>
      <c r="E310">
        <f t="shared" si="12"/>
        <v>20000000</v>
      </c>
      <c r="F310">
        <f t="shared" si="13"/>
        <v>380</v>
      </c>
      <c r="G310">
        <f t="shared" si="14"/>
        <v>487.80487804878055</v>
      </c>
    </row>
    <row r="311" spans="1:7" x14ac:dyDescent="0.35">
      <c r="A311">
        <v>200</v>
      </c>
      <c r="B311">
        <v>390</v>
      </c>
      <c r="C311">
        <v>2.15</v>
      </c>
      <c r="E311">
        <f t="shared" si="12"/>
        <v>20000000</v>
      </c>
      <c r="F311">
        <f t="shared" si="13"/>
        <v>390</v>
      </c>
      <c r="G311">
        <f t="shared" si="14"/>
        <v>465.11627906976747</v>
      </c>
    </row>
    <row r="312" spans="1:7" x14ac:dyDescent="0.35">
      <c r="A312">
        <v>200</v>
      </c>
      <c r="B312">
        <v>400</v>
      </c>
      <c r="C312">
        <v>2.27</v>
      </c>
      <c r="E312">
        <f t="shared" si="12"/>
        <v>20000000</v>
      </c>
      <c r="F312">
        <f t="shared" si="13"/>
        <v>400</v>
      </c>
      <c r="G312">
        <f t="shared" si="14"/>
        <v>440.52863436123346</v>
      </c>
    </row>
    <row r="313" spans="1:7" x14ac:dyDescent="0.35">
      <c r="A313">
        <v>200</v>
      </c>
      <c r="B313">
        <v>420</v>
      </c>
      <c r="C313">
        <v>2.69</v>
      </c>
      <c r="E313">
        <f t="shared" si="12"/>
        <v>20000000</v>
      </c>
      <c r="F313">
        <f t="shared" si="13"/>
        <v>420</v>
      </c>
      <c r="G313">
        <f t="shared" si="14"/>
        <v>371.74721189591082</v>
      </c>
    </row>
    <row r="314" spans="1:7" x14ac:dyDescent="0.35">
      <c r="A314">
        <v>200</v>
      </c>
      <c r="B314">
        <v>440</v>
      </c>
      <c r="C314">
        <v>3.72</v>
      </c>
      <c r="E314">
        <f t="shared" si="12"/>
        <v>20000000</v>
      </c>
      <c r="F314">
        <f t="shared" si="13"/>
        <v>440</v>
      </c>
      <c r="G314">
        <f t="shared" si="14"/>
        <v>268.81720430107526</v>
      </c>
    </row>
    <row r="315" spans="1:7" x14ac:dyDescent="0.35">
      <c r="A315">
        <v>200</v>
      </c>
      <c r="B315">
        <v>460</v>
      </c>
      <c r="C315">
        <v>5.45</v>
      </c>
      <c r="E315">
        <f t="shared" si="12"/>
        <v>20000000</v>
      </c>
      <c r="F315">
        <f t="shared" si="13"/>
        <v>460</v>
      </c>
      <c r="G315">
        <f t="shared" si="14"/>
        <v>183.48623853211009</v>
      </c>
    </row>
    <row r="316" spans="1:7" x14ac:dyDescent="0.35">
      <c r="A316">
        <v>200</v>
      </c>
      <c r="B316">
        <v>480</v>
      </c>
      <c r="C316">
        <v>6.96</v>
      </c>
      <c r="E316">
        <f t="shared" si="12"/>
        <v>20000000</v>
      </c>
      <c r="F316">
        <f t="shared" si="13"/>
        <v>480</v>
      </c>
      <c r="G316">
        <f t="shared" si="14"/>
        <v>143.67816091954023</v>
      </c>
    </row>
    <row r="317" spans="1:7" x14ac:dyDescent="0.35">
      <c r="A317">
        <v>200</v>
      </c>
      <c r="B317">
        <v>500</v>
      </c>
      <c r="C317">
        <v>8.23</v>
      </c>
      <c r="E317">
        <f t="shared" si="12"/>
        <v>20000000</v>
      </c>
      <c r="F317">
        <f t="shared" si="13"/>
        <v>500</v>
      </c>
      <c r="G317">
        <f t="shared" si="14"/>
        <v>121.50668286755771</v>
      </c>
    </row>
    <row r="318" spans="1:7" x14ac:dyDescent="0.35">
      <c r="A318">
        <v>200</v>
      </c>
      <c r="B318">
        <v>520</v>
      </c>
      <c r="C318">
        <v>9.25</v>
      </c>
      <c r="E318">
        <f t="shared" si="12"/>
        <v>20000000</v>
      </c>
      <c r="F318">
        <f t="shared" si="13"/>
        <v>520</v>
      </c>
      <c r="G318">
        <f t="shared" si="14"/>
        <v>108.10810810810813</v>
      </c>
    </row>
    <row r="319" spans="1:7" x14ac:dyDescent="0.35">
      <c r="A319">
        <v>200</v>
      </c>
      <c r="B319">
        <v>540</v>
      </c>
      <c r="C319">
        <v>10.19</v>
      </c>
      <c r="E319">
        <f t="shared" si="12"/>
        <v>20000000</v>
      </c>
      <c r="F319">
        <f t="shared" si="13"/>
        <v>540</v>
      </c>
      <c r="G319">
        <f t="shared" si="14"/>
        <v>98.135426889106967</v>
      </c>
    </row>
    <row r="320" spans="1:7" x14ac:dyDescent="0.35">
      <c r="A320">
        <v>200</v>
      </c>
      <c r="B320">
        <v>560</v>
      </c>
      <c r="C320">
        <v>11.07</v>
      </c>
      <c r="E320">
        <f t="shared" si="12"/>
        <v>20000000</v>
      </c>
      <c r="F320">
        <f t="shared" si="13"/>
        <v>560</v>
      </c>
      <c r="G320">
        <f t="shared" si="14"/>
        <v>90.334236675700097</v>
      </c>
    </row>
    <row r="321" spans="1:7" x14ac:dyDescent="0.35">
      <c r="A321">
        <v>220</v>
      </c>
      <c r="B321">
        <v>310</v>
      </c>
      <c r="C321">
        <v>1.65</v>
      </c>
      <c r="E321">
        <f t="shared" si="12"/>
        <v>22000000</v>
      </c>
      <c r="F321">
        <f t="shared" si="13"/>
        <v>310</v>
      </c>
      <c r="G321">
        <f t="shared" si="14"/>
        <v>606.06060606060601</v>
      </c>
    </row>
    <row r="322" spans="1:7" x14ac:dyDescent="0.35">
      <c r="A322">
        <v>220</v>
      </c>
      <c r="B322">
        <v>320</v>
      </c>
      <c r="C322">
        <v>1.68</v>
      </c>
      <c r="E322">
        <f t="shared" ref="E322:E385" si="15">A322*100000</f>
        <v>22000000</v>
      </c>
      <c r="F322">
        <f t="shared" si="13"/>
        <v>320</v>
      </c>
      <c r="G322">
        <f t="shared" si="14"/>
        <v>595.2380952380953</v>
      </c>
    </row>
    <row r="323" spans="1:7" x14ac:dyDescent="0.35">
      <c r="A323">
        <v>220</v>
      </c>
      <c r="B323">
        <v>330</v>
      </c>
      <c r="C323">
        <v>1.73</v>
      </c>
      <c r="E323">
        <f t="shared" si="15"/>
        <v>22000000</v>
      </c>
      <c r="F323">
        <f t="shared" ref="F323:F386" si="16">B323</f>
        <v>330</v>
      </c>
      <c r="G323">
        <f t="shared" ref="G323:G386" si="17">1/C323*0.001*1000000</f>
        <v>578.03468208092488</v>
      </c>
    </row>
    <row r="324" spans="1:7" x14ac:dyDescent="0.35">
      <c r="A324">
        <v>220</v>
      </c>
      <c r="B324">
        <v>340</v>
      </c>
      <c r="C324">
        <v>1.77</v>
      </c>
      <c r="E324">
        <f t="shared" si="15"/>
        <v>22000000</v>
      </c>
      <c r="F324">
        <f t="shared" si="16"/>
        <v>340</v>
      </c>
      <c r="G324">
        <f t="shared" si="17"/>
        <v>564.9717514124294</v>
      </c>
    </row>
    <row r="325" spans="1:7" x14ac:dyDescent="0.35">
      <c r="A325">
        <v>220</v>
      </c>
      <c r="B325">
        <v>350</v>
      </c>
      <c r="C325">
        <v>1.83</v>
      </c>
      <c r="E325">
        <f t="shared" si="15"/>
        <v>22000000</v>
      </c>
      <c r="F325">
        <f t="shared" si="16"/>
        <v>350</v>
      </c>
      <c r="G325">
        <f t="shared" si="17"/>
        <v>546.44808743169403</v>
      </c>
    </row>
    <row r="326" spans="1:7" x14ac:dyDescent="0.35">
      <c r="A326">
        <v>220</v>
      </c>
      <c r="B326">
        <v>360</v>
      </c>
      <c r="C326">
        <v>1.88</v>
      </c>
      <c r="E326">
        <f t="shared" si="15"/>
        <v>22000000</v>
      </c>
      <c r="F326">
        <f t="shared" si="16"/>
        <v>360</v>
      </c>
      <c r="G326">
        <f t="shared" si="17"/>
        <v>531.91489361702133</v>
      </c>
    </row>
    <row r="327" spans="1:7" x14ac:dyDescent="0.35">
      <c r="A327">
        <v>220</v>
      </c>
      <c r="B327">
        <v>370</v>
      </c>
      <c r="C327">
        <v>1.95</v>
      </c>
      <c r="E327">
        <f t="shared" si="15"/>
        <v>22000000</v>
      </c>
      <c r="F327">
        <f t="shared" si="16"/>
        <v>370</v>
      </c>
      <c r="G327">
        <f t="shared" si="17"/>
        <v>512.82051282051293</v>
      </c>
    </row>
    <row r="328" spans="1:7" x14ac:dyDescent="0.35">
      <c r="A328">
        <v>220</v>
      </c>
      <c r="B328">
        <v>380</v>
      </c>
      <c r="C328">
        <v>2.0299999999999998</v>
      </c>
      <c r="E328">
        <f t="shared" si="15"/>
        <v>22000000</v>
      </c>
      <c r="F328">
        <f t="shared" si="16"/>
        <v>380</v>
      </c>
      <c r="G328">
        <f t="shared" si="17"/>
        <v>492.61083743842374</v>
      </c>
    </row>
    <row r="329" spans="1:7" x14ac:dyDescent="0.35">
      <c r="A329">
        <v>220</v>
      </c>
      <c r="B329">
        <v>390</v>
      </c>
      <c r="C329">
        <v>2.12</v>
      </c>
      <c r="E329">
        <f t="shared" si="15"/>
        <v>22000000</v>
      </c>
      <c r="F329">
        <f t="shared" si="16"/>
        <v>390</v>
      </c>
      <c r="G329">
        <f t="shared" si="17"/>
        <v>471.69811320754712</v>
      </c>
    </row>
    <row r="330" spans="1:7" x14ac:dyDescent="0.35">
      <c r="A330">
        <v>220</v>
      </c>
      <c r="B330">
        <v>400</v>
      </c>
      <c r="C330">
        <v>2.23</v>
      </c>
      <c r="E330">
        <f t="shared" si="15"/>
        <v>22000000</v>
      </c>
      <c r="F330">
        <f t="shared" si="16"/>
        <v>400</v>
      </c>
      <c r="G330">
        <f t="shared" si="17"/>
        <v>448.4304932735426</v>
      </c>
    </row>
    <row r="331" spans="1:7" x14ac:dyDescent="0.35">
      <c r="A331">
        <v>220</v>
      </c>
      <c r="B331">
        <v>420</v>
      </c>
      <c r="C331">
        <v>2.58</v>
      </c>
      <c r="E331">
        <f t="shared" si="15"/>
        <v>22000000</v>
      </c>
      <c r="F331">
        <f t="shared" si="16"/>
        <v>420</v>
      </c>
      <c r="G331">
        <f t="shared" si="17"/>
        <v>387.59689922480618</v>
      </c>
    </row>
    <row r="332" spans="1:7" x14ac:dyDescent="0.35">
      <c r="A332">
        <v>220</v>
      </c>
      <c r="B332">
        <v>440</v>
      </c>
      <c r="C332">
        <v>3.31</v>
      </c>
      <c r="E332">
        <f t="shared" si="15"/>
        <v>22000000</v>
      </c>
      <c r="F332">
        <f t="shared" si="16"/>
        <v>440</v>
      </c>
      <c r="G332">
        <f t="shared" si="17"/>
        <v>302.11480362537765</v>
      </c>
    </row>
    <row r="333" spans="1:7" x14ac:dyDescent="0.35">
      <c r="A333">
        <v>220</v>
      </c>
      <c r="B333">
        <v>460</v>
      </c>
      <c r="C333">
        <v>4.5599999999999996</v>
      </c>
      <c r="E333">
        <f t="shared" si="15"/>
        <v>22000000</v>
      </c>
      <c r="F333">
        <f t="shared" si="16"/>
        <v>460</v>
      </c>
      <c r="G333">
        <f t="shared" si="17"/>
        <v>219.29824561403512</v>
      </c>
    </row>
    <row r="334" spans="1:7" x14ac:dyDescent="0.35">
      <c r="A334">
        <v>220</v>
      </c>
      <c r="B334">
        <v>480</v>
      </c>
      <c r="C334">
        <v>5.92</v>
      </c>
      <c r="E334">
        <f t="shared" si="15"/>
        <v>22000000</v>
      </c>
      <c r="F334">
        <f t="shared" si="16"/>
        <v>480</v>
      </c>
      <c r="G334">
        <f t="shared" si="17"/>
        <v>168.91891891891893</v>
      </c>
    </row>
    <row r="335" spans="1:7" x14ac:dyDescent="0.35">
      <c r="A335">
        <v>220</v>
      </c>
      <c r="B335">
        <v>500</v>
      </c>
      <c r="C335">
        <v>7.13</v>
      </c>
      <c r="E335">
        <f t="shared" si="15"/>
        <v>22000000</v>
      </c>
      <c r="F335">
        <f t="shared" si="16"/>
        <v>500</v>
      </c>
      <c r="G335">
        <f t="shared" si="17"/>
        <v>140.25245441795232</v>
      </c>
    </row>
    <row r="336" spans="1:7" x14ac:dyDescent="0.35">
      <c r="A336">
        <v>220</v>
      </c>
      <c r="B336">
        <v>520</v>
      </c>
      <c r="C336">
        <v>8.1199999999999992</v>
      </c>
      <c r="E336">
        <f t="shared" si="15"/>
        <v>22000000</v>
      </c>
      <c r="F336">
        <f t="shared" si="16"/>
        <v>520</v>
      </c>
      <c r="G336">
        <f t="shared" si="17"/>
        <v>123.15270935960594</v>
      </c>
    </row>
    <row r="337" spans="1:7" x14ac:dyDescent="0.35">
      <c r="A337">
        <v>220</v>
      </c>
      <c r="B337">
        <v>540</v>
      </c>
      <c r="C337">
        <v>9.02</v>
      </c>
      <c r="E337">
        <f t="shared" si="15"/>
        <v>22000000</v>
      </c>
      <c r="F337">
        <f t="shared" si="16"/>
        <v>540</v>
      </c>
      <c r="G337">
        <f t="shared" si="17"/>
        <v>110.86474501108648</v>
      </c>
    </row>
    <row r="338" spans="1:7" x14ac:dyDescent="0.35">
      <c r="A338">
        <v>220</v>
      </c>
      <c r="B338">
        <v>560</v>
      </c>
      <c r="C338">
        <v>9.85</v>
      </c>
      <c r="E338">
        <f t="shared" si="15"/>
        <v>22000000</v>
      </c>
      <c r="F338">
        <f t="shared" si="16"/>
        <v>560</v>
      </c>
      <c r="G338">
        <f t="shared" si="17"/>
        <v>101.5228426395939</v>
      </c>
    </row>
    <row r="339" spans="1:7" x14ac:dyDescent="0.35">
      <c r="A339">
        <v>240</v>
      </c>
      <c r="B339">
        <v>310</v>
      </c>
      <c r="C339">
        <v>1.64</v>
      </c>
      <c r="E339">
        <f t="shared" si="15"/>
        <v>24000000</v>
      </c>
      <c r="F339">
        <f t="shared" si="16"/>
        <v>310</v>
      </c>
      <c r="G339">
        <f t="shared" si="17"/>
        <v>609.7560975609756</v>
      </c>
    </row>
    <row r="340" spans="1:7" x14ac:dyDescent="0.35">
      <c r="A340">
        <v>240</v>
      </c>
      <c r="B340">
        <v>320</v>
      </c>
      <c r="C340">
        <v>1.68</v>
      </c>
      <c r="E340">
        <f t="shared" si="15"/>
        <v>24000000</v>
      </c>
      <c r="F340">
        <f t="shared" si="16"/>
        <v>320</v>
      </c>
      <c r="G340">
        <f t="shared" si="17"/>
        <v>595.2380952380953</v>
      </c>
    </row>
    <row r="341" spans="1:7" x14ac:dyDescent="0.35">
      <c r="A341">
        <v>240</v>
      </c>
      <c r="B341">
        <v>330</v>
      </c>
      <c r="C341">
        <v>1.72</v>
      </c>
      <c r="E341">
        <f t="shared" si="15"/>
        <v>24000000</v>
      </c>
      <c r="F341">
        <f t="shared" si="16"/>
        <v>330</v>
      </c>
      <c r="G341">
        <f t="shared" si="17"/>
        <v>581.39534883720933</v>
      </c>
    </row>
    <row r="342" spans="1:7" x14ac:dyDescent="0.35">
      <c r="A342">
        <v>240</v>
      </c>
      <c r="B342">
        <v>340</v>
      </c>
      <c r="C342">
        <v>1.77</v>
      </c>
      <c r="E342">
        <f t="shared" si="15"/>
        <v>24000000</v>
      </c>
      <c r="F342">
        <f t="shared" si="16"/>
        <v>340</v>
      </c>
      <c r="G342">
        <f t="shared" si="17"/>
        <v>564.9717514124294</v>
      </c>
    </row>
    <row r="343" spans="1:7" x14ac:dyDescent="0.35">
      <c r="A343">
        <v>240</v>
      </c>
      <c r="B343">
        <v>350</v>
      </c>
      <c r="C343">
        <v>1.81</v>
      </c>
      <c r="E343">
        <f t="shared" si="15"/>
        <v>24000000</v>
      </c>
      <c r="F343">
        <f t="shared" si="16"/>
        <v>350</v>
      </c>
      <c r="G343">
        <f t="shared" si="17"/>
        <v>552.4861878453039</v>
      </c>
    </row>
    <row r="344" spans="1:7" x14ac:dyDescent="0.35">
      <c r="A344">
        <v>240</v>
      </c>
      <c r="B344">
        <v>360</v>
      </c>
      <c r="C344">
        <v>1.87</v>
      </c>
      <c r="E344">
        <f t="shared" si="15"/>
        <v>24000000</v>
      </c>
      <c r="F344">
        <f t="shared" si="16"/>
        <v>360</v>
      </c>
      <c r="G344">
        <f t="shared" si="17"/>
        <v>534.75935828876993</v>
      </c>
    </row>
    <row r="345" spans="1:7" x14ac:dyDescent="0.35">
      <c r="A345">
        <v>240</v>
      </c>
      <c r="B345">
        <v>370</v>
      </c>
      <c r="C345">
        <v>1.94</v>
      </c>
      <c r="E345">
        <f t="shared" si="15"/>
        <v>24000000</v>
      </c>
      <c r="F345">
        <f t="shared" si="16"/>
        <v>370</v>
      </c>
      <c r="G345">
        <f t="shared" si="17"/>
        <v>515.46391752577335</v>
      </c>
    </row>
    <row r="346" spans="1:7" x14ac:dyDescent="0.35">
      <c r="A346">
        <v>240</v>
      </c>
      <c r="B346">
        <v>380</v>
      </c>
      <c r="C346">
        <v>2.0099999999999998</v>
      </c>
      <c r="E346">
        <f t="shared" si="15"/>
        <v>24000000</v>
      </c>
      <c r="F346">
        <f t="shared" si="16"/>
        <v>380</v>
      </c>
      <c r="G346">
        <f t="shared" si="17"/>
        <v>497.51243781094536</v>
      </c>
    </row>
    <row r="347" spans="1:7" x14ac:dyDescent="0.35">
      <c r="A347">
        <v>240</v>
      </c>
      <c r="B347">
        <v>390</v>
      </c>
      <c r="C347">
        <v>2.1</v>
      </c>
      <c r="E347">
        <f t="shared" si="15"/>
        <v>24000000</v>
      </c>
      <c r="F347">
        <f t="shared" si="16"/>
        <v>390</v>
      </c>
      <c r="G347">
        <f t="shared" si="17"/>
        <v>476.1904761904762</v>
      </c>
    </row>
    <row r="348" spans="1:7" x14ac:dyDescent="0.35">
      <c r="A348">
        <v>240</v>
      </c>
      <c r="B348">
        <v>400</v>
      </c>
      <c r="C348">
        <v>2.2000000000000002</v>
      </c>
      <c r="E348">
        <f t="shared" si="15"/>
        <v>24000000</v>
      </c>
      <c r="F348">
        <f t="shared" si="16"/>
        <v>400</v>
      </c>
      <c r="G348">
        <f t="shared" si="17"/>
        <v>454.54545454545456</v>
      </c>
    </row>
    <row r="349" spans="1:7" x14ac:dyDescent="0.35">
      <c r="A349">
        <v>240</v>
      </c>
      <c r="B349">
        <v>420</v>
      </c>
      <c r="C349">
        <v>2.5</v>
      </c>
      <c r="E349">
        <f t="shared" si="15"/>
        <v>24000000</v>
      </c>
      <c r="F349">
        <f t="shared" si="16"/>
        <v>420</v>
      </c>
      <c r="G349">
        <f t="shared" si="17"/>
        <v>400</v>
      </c>
    </row>
    <row r="350" spans="1:7" x14ac:dyDescent="0.35">
      <c r="A350">
        <v>240</v>
      </c>
      <c r="B350">
        <v>440</v>
      </c>
      <c r="C350">
        <v>3.05</v>
      </c>
      <c r="E350">
        <f t="shared" si="15"/>
        <v>24000000</v>
      </c>
      <c r="F350">
        <f t="shared" si="16"/>
        <v>440</v>
      </c>
      <c r="G350">
        <f t="shared" si="17"/>
        <v>327.86885245901647</v>
      </c>
    </row>
    <row r="351" spans="1:7" x14ac:dyDescent="0.35">
      <c r="A351">
        <v>240</v>
      </c>
      <c r="B351">
        <v>460</v>
      </c>
      <c r="C351">
        <v>3.97</v>
      </c>
      <c r="E351">
        <f t="shared" si="15"/>
        <v>24000000</v>
      </c>
      <c r="F351">
        <f t="shared" si="16"/>
        <v>460</v>
      </c>
      <c r="G351">
        <f t="shared" si="17"/>
        <v>251.88916876574308</v>
      </c>
    </row>
    <row r="352" spans="1:7" x14ac:dyDescent="0.35">
      <c r="A352">
        <v>240</v>
      </c>
      <c r="B352">
        <v>480</v>
      </c>
      <c r="C352">
        <v>5.14</v>
      </c>
      <c r="E352">
        <f t="shared" si="15"/>
        <v>24000000</v>
      </c>
      <c r="F352">
        <f t="shared" si="16"/>
        <v>480</v>
      </c>
      <c r="G352">
        <f t="shared" si="17"/>
        <v>194.5525291828794</v>
      </c>
    </row>
    <row r="353" spans="1:7" x14ac:dyDescent="0.35">
      <c r="A353">
        <v>240</v>
      </c>
      <c r="B353">
        <v>500</v>
      </c>
      <c r="C353">
        <v>6.25</v>
      </c>
      <c r="E353">
        <f t="shared" si="15"/>
        <v>24000000</v>
      </c>
      <c r="F353">
        <f t="shared" si="16"/>
        <v>500</v>
      </c>
      <c r="G353">
        <f t="shared" si="17"/>
        <v>160</v>
      </c>
    </row>
    <row r="354" spans="1:7" x14ac:dyDescent="0.35">
      <c r="A354">
        <v>240</v>
      </c>
      <c r="B354">
        <v>520</v>
      </c>
      <c r="C354">
        <v>7.2</v>
      </c>
      <c r="E354">
        <f t="shared" si="15"/>
        <v>24000000</v>
      </c>
      <c r="F354">
        <f t="shared" si="16"/>
        <v>520</v>
      </c>
      <c r="G354">
        <f t="shared" si="17"/>
        <v>138.88888888888889</v>
      </c>
    </row>
    <row r="355" spans="1:7" x14ac:dyDescent="0.35">
      <c r="A355">
        <v>240</v>
      </c>
      <c r="B355">
        <v>540</v>
      </c>
      <c r="C355">
        <v>8.06</v>
      </c>
      <c r="E355">
        <f t="shared" si="15"/>
        <v>24000000</v>
      </c>
      <c r="F355">
        <f t="shared" si="16"/>
        <v>540</v>
      </c>
      <c r="G355">
        <f t="shared" si="17"/>
        <v>124.06947890818859</v>
      </c>
    </row>
    <row r="356" spans="1:7" x14ac:dyDescent="0.35">
      <c r="A356">
        <v>240</v>
      </c>
      <c r="B356">
        <v>560</v>
      </c>
      <c r="C356">
        <v>8.85</v>
      </c>
      <c r="E356">
        <f t="shared" si="15"/>
        <v>24000000</v>
      </c>
      <c r="F356">
        <f t="shared" si="16"/>
        <v>560</v>
      </c>
      <c r="G356">
        <f t="shared" si="17"/>
        <v>112.99435028248587</v>
      </c>
    </row>
    <row r="357" spans="1:7" x14ac:dyDescent="0.35">
      <c r="A357">
        <v>260</v>
      </c>
      <c r="B357">
        <v>310</v>
      </c>
      <c r="C357">
        <v>1.64</v>
      </c>
      <c r="E357">
        <f t="shared" si="15"/>
        <v>26000000</v>
      </c>
      <c r="F357">
        <f t="shared" si="16"/>
        <v>310</v>
      </c>
      <c r="G357">
        <f t="shared" si="17"/>
        <v>609.7560975609756</v>
      </c>
    </row>
    <row r="358" spans="1:7" x14ac:dyDescent="0.35">
      <c r="A358">
        <v>260</v>
      </c>
      <c r="B358">
        <v>320</v>
      </c>
      <c r="C358">
        <v>1.67</v>
      </c>
      <c r="E358">
        <f t="shared" si="15"/>
        <v>26000000</v>
      </c>
      <c r="F358">
        <f t="shared" si="16"/>
        <v>320</v>
      </c>
      <c r="G358">
        <f t="shared" si="17"/>
        <v>598.80239520958094</v>
      </c>
    </row>
    <row r="359" spans="1:7" x14ac:dyDescent="0.35">
      <c r="A359">
        <v>260</v>
      </c>
      <c r="B359">
        <v>330</v>
      </c>
      <c r="C359">
        <v>1.71</v>
      </c>
      <c r="E359">
        <f t="shared" si="15"/>
        <v>26000000</v>
      </c>
      <c r="F359">
        <f t="shared" si="16"/>
        <v>330</v>
      </c>
      <c r="G359">
        <f t="shared" si="17"/>
        <v>584.79532163742692</v>
      </c>
    </row>
    <row r="360" spans="1:7" x14ac:dyDescent="0.35">
      <c r="A360">
        <v>260</v>
      </c>
      <c r="B360">
        <v>340</v>
      </c>
      <c r="C360">
        <v>1.76</v>
      </c>
      <c r="E360">
        <f t="shared" si="15"/>
        <v>26000000</v>
      </c>
      <c r="F360">
        <f t="shared" si="16"/>
        <v>340</v>
      </c>
      <c r="G360">
        <f t="shared" si="17"/>
        <v>568.18181818181824</v>
      </c>
    </row>
    <row r="361" spans="1:7" x14ac:dyDescent="0.35">
      <c r="A361">
        <v>260</v>
      </c>
      <c r="B361">
        <v>350</v>
      </c>
      <c r="C361">
        <v>1.81</v>
      </c>
      <c r="E361">
        <f t="shared" si="15"/>
        <v>26000000</v>
      </c>
      <c r="F361">
        <f t="shared" si="16"/>
        <v>350</v>
      </c>
      <c r="G361">
        <f t="shared" si="17"/>
        <v>552.4861878453039</v>
      </c>
    </row>
    <row r="362" spans="1:7" x14ac:dyDescent="0.35">
      <c r="A362">
        <v>260</v>
      </c>
      <c r="B362">
        <v>360</v>
      </c>
      <c r="C362">
        <v>1.86</v>
      </c>
      <c r="E362">
        <f t="shared" si="15"/>
        <v>26000000</v>
      </c>
      <c r="F362">
        <f t="shared" si="16"/>
        <v>360</v>
      </c>
      <c r="G362">
        <f t="shared" si="17"/>
        <v>537.63440860215053</v>
      </c>
    </row>
    <row r="363" spans="1:7" x14ac:dyDescent="0.35">
      <c r="A363">
        <v>260</v>
      </c>
      <c r="B363">
        <v>370</v>
      </c>
      <c r="C363">
        <v>1.92</v>
      </c>
      <c r="E363">
        <f t="shared" si="15"/>
        <v>26000000</v>
      </c>
      <c r="F363">
        <f t="shared" si="16"/>
        <v>370</v>
      </c>
      <c r="G363">
        <f t="shared" si="17"/>
        <v>520.83333333333348</v>
      </c>
    </row>
    <row r="364" spans="1:7" x14ac:dyDescent="0.35">
      <c r="A364">
        <v>260</v>
      </c>
      <c r="B364">
        <v>380</v>
      </c>
      <c r="C364">
        <v>1.99</v>
      </c>
      <c r="E364">
        <f t="shared" si="15"/>
        <v>26000000</v>
      </c>
      <c r="F364">
        <f t="shared" si="16"/>
        <v>380</v>
      </c>
      <c r="G364">
        <f t="shared" si="17"/>
        <v>502.51256281407029</v>
      </c>
    </row>
    <row r="365" spans="1:7" x14ac:dyDescent="0.35">
      <c r="A365">
        <v>260</v>
      </c>
      <c r="B365">
        <v>390</v>
      </c>
      <c r="C365">
        <v>2.08</v>
      </c>
      <c r="E365">
        <f t="shared" si="15"/>
        <v>26000000</v>
      </c>
      <c r="F365">
        <f t="shared" si="16"/>
        <v>390</v>
      </c>
      <c r="G365">
        <f t="shared" si="17"/>
        <v>480.76923076923072</v>
      </c>
    </row>
    <row r="366" spans="1:7" x14ac:dyDescent="0.35">
      <c r="A366">
        <v>260</v>
      </c>
      <c r="B366">
        <v>400</v>
      </c>
      <c r="C366">
        <v>2.17</v>
      </c>
      <c r="E366">
        <f t="shared" si="15"/>
        <v>26000000</v>
      </c>
      <c r="F366">
        <f t="shared" si="16"/>
        <v>400</v>
      </c>
      <c r="G366">
        <f t="shared" si="17"/>
        <v>460.82949308755758</v>
      </c>
    </row>
    <row r="367" spans="1:7" x14ac:dyDescent="0.35">
      <c r="A367">
        <v>260</v>
      </c>
      <c r="B367">
        <v>420</v>
      </c>
      <c r="C367">
        <v>2.4300000000000002</v>
      </c>
      <c r="E367">
        <f t="shared" si="15"/>
        <v>26000000</v>
      </c>
      <c r="F367">
        <f t="shared" si="16"/>
        <v>420</v>
      </c>
      <c r="G367">
        <f t="shared" si="17"/>
        <v>411.52263374485597</v>
      </c>
    </row>
    <row r="368" spans="1:7" x14ac:dyDescent="0.35">
      <c r="A368">
        <v>260</v>
      </c>
      <c r="B368">
        <v>440</v>
      </c>
      <c r="C368">
        <v>2.85</v>
      </c>
      <c r="E368">
        <f t="shared" si="15"/>
        <v>26000000</v>
      </c>
      <c r="F368">
        <f t="shared" si="16"/>
        <v>440</v>
      </c>
      <c r="G368">
        <f t="shared" si="17"/>
        <v>350.87719298245611</v>
      </c>
    </row>
    <row r="369" spans="1:7" x14ac:dyDescent="0.35">
      <c r="A369">
        <v>260</v>
      </c>
      <c r="B369">
        <v>460</v>
      </c>
      <c r="C369">
        <v>2.99</v>
      </c>
      <c r="E369">
        <f t="shared" si="15"/>
        <v>26000000</v>
      </c>
      <c r="F369">
        <f t="shared" si="16"/>
        <v>460</v>
      </c>
      <c r="G369">
        <f t="shared" si="17"/>
        <v>334.44816053511704</v>
      </c>
    </row>
    <row r="370" spans="1:7" x14ac:dyDescent="0.35">
      <c r="A370">
        <v>260</v>
      </c>
      <c r="B370">
        <v>480</v>
      </c>
      <c r="C370">
        <v>4.55</v>
      </c>
      <c r="E370">
        <f t="shared" si="15"/>
        <v>26000000</v>
      </c>
      <c r="F370">
        <f t="shared" si="16"/>
        <v>480</v>
      </c>
      <c r="G370">
        <f t="shared" si="17"/>
        <v>219.78021978021977</v>
      </c>
    </row>
    <row r="371" spans="1:7" x14ac:dyDescent="0.35">
      <c r="A371">
        <v>260</v>
      </c>
      <c r="B371">
        <v>500</v>
      </c>
      <c r="C371">
        <v>5.55</v>
      </c>
      <c r="E371">
        <f t="shared" si="15"/>
        <v>26000000</v>
      </c>
      <c r="F371">
        <f t="shared" si="16"/>
        <v>500</v>
      </c>
      <c r="G371">
        <f t="shared" si="17"/>
        <v>180.1801801801802</v>
      </c>
    </row>
    <row r="372" spans="1:7" x14ac:dyDescent="0.35">
      <c r="A372">
        <v>260</v>
      </c>
      <c r="B372">
        <v>520</v>
      </c>
      <c r="C372">
        <v>6.44</v>
      </c>
      <c r="E372">
        <f t="shared" si="15"/>
        <v>26000000</v>
      </c>
      <c r="F372">
        <f t="shared" si="16"/>
        <v>520</v>
      </c>
      <c r="G372">
        <f t="shared" si="17"/>
        <v>155.27950310559004</v>
      </c>
    </row>
    <row r="373" spans="1:7" x14ac:dyDescent="0.35">
      <c r="A373">
        <v>260</v>
      </c>
      <c r="B373">
        <v>540</v>
      </c>
      <c r="C373">
        <v>7.27</v>
      </c>
      <c r="E373">
        <f t="shared" si="15"/>
        <v>26000000</v>
      </c>
      <c r="F373">
        <f t="shared" si="16"/>
        <v>540</v>
      </c>
      <c r="G373">
        <f t="shared" si="17"/>
        <v>137.55158184319123</v>
      </c>
    </row>
    <row r="374" spans="1:7" x14ac:dyDescent="0.35">
      <c r="A374">
        <v>260</v>
      </c>
      <c r="B374">
        <v>560</v>
      </c>
      <c r="C374">
        <v>8.01</v>
      </c>
      <c r="E374">
        <f t="shared" si="15"/>
        <v>26000000</v>
      </c>
      <c r="F374">
        <f t="shared" si="16"/>
        <v>560</v>
      </c>
      <c r="G374">
        <f t="shared" si="17"/>
        <v>124.84394506866417</v>
      </c>
    </row>
    <row r="375" spans="1:7" x14ac:dyDescent="0.35">
      <c r="A375">
        <v>280</v>
      </c>
      <c r="B375">
        <v>310</v>
      </c>
      <c r="C375">
        <v>1.64</v>
      </c>
      <c r="E375">
        <f t="shared" si="15"/>
        <v>28000000</v>
      </c>
      <c r="F375">
        <f t="shared" si="16"/>
        <v>310</v>
      </c>
      <c r="G375">
        <f t="shared" si="17"/>
        <v>609.7560975609756</v>
      </c>
    </row>
    <row r="376" spans="1:7" x14ac:dyDescent="0.35">
      <c r="A376">
        <v>280</v>
      </c>
      <c r="B376">
        <v>320</v>
      </c>
      <c r="C376">
        <v>1.67</v>
      </c>
      <c r="E376">
        <f t="shared" si="15"/>
        <v>28000000</v>
      </c>
      <c r="F376">
        <f t="shared" si="16"/>
        <v>320</v>
      </c>
      <c r="G376">
        <f t="shared" si="17"/>
        <v>598.80239520958094</v>
      </c>
    </row>
    <row r="377" spans="1:7" x14ac:dyDescent="0.35">
      <c r="A377">
        <v>280</v>
      </c>
      <c r="B377">
        <v>330</v>
      </c>
      <c r="C377">
        <v>1.71</v>
      </c>
      <c r="E377">
        <f t="shared" si="15"/>
        <v>28000000</v>
      </c>
      <c r="F377">
        <f t="shared" si="16"/>
        <v>330</v>
      </c>
      <c r="G377">
        <f t="shared" si="17"/>
        <v>584.79532163742692</v>
      </c>
    </row>
    <row r="378" spans="1:7" x14ac:dyDescent="0.35">
      <c r="A378">
        <v>280</v>
      </c>
      <c r="B378">
        <v>340</v>
      </c>
      <c r="C378">
        <v>1.75</v>
      </c>
      <c r="E378">
        <f t="shared" si="15"/>
        <v>28000000</v>
      </c>
      <c r="F378">
        <f t="shared" si="16"/>
        <v>340</v>
      </c>
      <c r="G378">
        <f t="shared" si="17"/>
        <v>571.42857142857133</v>
      </c>
    </row>
    <row r="379" spans="1:7" x14ac:dyDescent="0.35">
      <c r="A379">
        <v>280</v>
      </c>
      <c r="B379">
        <v>350</v>
      </c>
      <c r="C379">
        <v>1.8</v>
      </c>
      <c r="E379">
        <f t="shared" si="15"/>
        <v>28000000</v>
      </c>
      <c r="F379">
        <f t="shared" si="16"/>
        <v>350</v>
      </c>
      <c r="G379">
        <f t="shared" si="17"/>
        <v>555.55555555555554</v>
      </c>
    </row>
    <row r="380" spans="1:7" x14ac:dyDescent="0.35">
      <c r="A380">
        <v>280</v>
      </c>
      <c r="B380">
        <v>360</v>
      </c>
      <c r="C380">
        <v>1.85</v>
      </c>
      <c r="E380">
        <f t="shared" si="15"/>
        <v>28000000</v>
      </c>
      <c r="F380">
        <f t="shared" si="16"/>
        <v>360</v>
      </c>
      <c r="G380">
        <f t="shared" si="17"/>
        <v>540.54054054054041</v>
      </c>
    </row>
    <row r="381" spans="1:7" x14ac:dyDescent="0.35">
      <c r="A381">
        <v>280</v>
      </c>
      <c r="B381">
        <v>370</v>
      </c>
      <c r="C381">
        <v>1.91</v>
      </c>
      <c r="E381">
        <f t="shared" si="15"/>
        <v>28000000</v>
      </c>
      <c r="F381">
        <f t="shared" si="16"/>
        <v>370</v>
      </c>
      <c r="G381">
        <f t="shared" si="17"/>
        <v>523.56020942408384</v>
      </c>
    </row>
    <row r="382" spans="1:7" x14ac:dyDescent="0.35">
      <c r="A382">
        <v>280</v>
      </c>
      <c r="B382">
        <v>380</v>
      </c>
      <c r="C382">
        <v>1.98</v>
      </c>
      <c r="E382">
        <f t="shared" si="15"/>
        <v>28000000</v>
      </c>
      <c r="F382">
        <f t="shared" si="16"/>
        <v>380</v>
      </c>
      <c r="G382">
        <f t="shared" si="17"/>
        <v>505.05050505050502</v>
      </c>
    </row>
    <row r="383" spans="1:7" x14ac:dyDescent="0.35">
      <c r="A383">
        <v>280</v>
      </c>
      <c r="B383">
        <v>390</v>
      </c>
      <c r="C383">
        <v>2.0499999999999998</v>
      </c>
      <c r="E383">
        <f t="shared" si="15"/>
        <v>28000000</v>
      </c>
      <c r="F383">
        <f t="shared" si="16"/>
        <v>390</v>
      </c>
      <c r="G383">
        <f t="shared" si="17"/>
        <v>487.80487804878055</v>
      </c>
    </row>
    <row r="384" spans="1:7" x14ac:dyDescent="0.35">
      <c r="A384">
        <v>280</v>
      </c>
      <c r="B384">
        <v>400</v>
      </c>
      <c r="C384">
        <v>2.14</v>
      </c>
      <c r="E384">
        <f t="shared" si="15"/>
        <v>28000000</v>
      </c>
      <c r="F384">
        <f t="shared" si="16"/>
        <v>400</v>
      </c>
      <c r="G384">
        <f t="shared" si="17"/>
        <v>467.28971962616822</v>
      </c>
    </row>
    <row r="385" spans="1:7" x14ac:dyDescent="0.35">
      <c r="A385">
        <v>280</v>
      </c>
      <c r="B385">
        <v>420</v>
      </c>
      <c r="C385">
        <v>2.38</v>
      </c>
      <c r="E385">
        <f t="shared" si="15"/>
        <v>28000000</v>
      </c>
      <c r="F385">
        <f t="shared" si="16"/>
        <v>420</v>
      </c>
      <c r="G385">
        <f t="shared" si="17"/>
        <v>420.1680672268908</v>
      </c>
    </row>
    <row r="386" spans="1:7" x14ac:dyDescent="0.35">
      <c r="A386">
        <v>280</v>
      </c>
      <c r="B386">
        <v>440</v>
      </c>
      <c r="C386">
        <v>2.73</v>
      </c>
      <c r="E386">
        <f t="shared" ref="E386:E449" si="18">A386*100000</f>
        <v>28000000</v>
      </c>
      <c r="F386">
        <f t="shared" si="16"/>
        <v>440</v>
      </c>
      <c r="G386">
        <f t="shared" si="17"/>
        <v>366.30036630036631</v>
      </c>
    </row>
    <row r="387" spans="1:7" x14ac:dyDescent="0.35">
      <c r="A387">
        <v>280</v>
      </c>
      <c r="B387">
        <v>460</v>
      </c>
      <c r="C387">
        <v>3.32</v>
      </c>
      <c r="E387">
        <f t="shared" si="18"/>
        <v>28000000</v>
      </c>
      <c r="F387">
        <f t="shared" ref="F387:F450" si="19">B387</f>
        <v>460</v>
      </c>
      <c r="G387">
        <f t="shared" ref="G387:G450" si="20">1/C387*0.001*1000000</f>
        <v>301.20481927710847</v>
      </c>
    </row>
    <row r="388" spans="1:7" x14ac:dyDescent="0.35">
      <c r="A388">
        <v>280</v>
      </c>
      <c r="B388">
        <v>480</v>
      </c>
      <c r="C388">
        <v>4.12</v>
      </c>
      <c r="E388">
        <f t="shared" si="18"/>
        <v>28000000</v>
      </c>
      <c r="F388">
        <f t="shared" si="19"/>
        <v>480</v>
      </c>
      <c r="G388">
        <f t="shared" si="20"/>
        <v>242.71844660194176</v>
      </c>
    </row>
    <row r="389" spans="1:7" x14ac:dyDescent="0.35">
      <c r="A389">
        <v>280</v>
      </c>
      <c r="B389">
        <v>500</v>
      </c>
      <c r="C389">
        <v>5</v>
      </c>
      <c r="E389">
        <f t="shared" si="18"/>
        <v>28000000</v>
      </c>
      <c r="F389">
        <f t="shared" si="19"/>
        <v>500</v>
      </c>
      <c r="G389">
        <f t="shared" si="20"/>
        <v>200</v>
      </c>
    </row>
    <row r="390" spans="1:7" x14ac:dyDescent="0.35">
      <c r="A390">
        <v>280</v>
      </c>
      <c r="B390">
        <v>520</v>
      </c>
      <c r="C390">
        <v>5.82</v>
      </c>
      <c r="E390">
        <f t="shared" si="18"/>
        <v>28000000</v>
      </c>
      <c r="F390">
        <f t="shared" si="19"/>
        <v>520</v>
      </c>
      <c r="G390">
        <f t="shared" si="20"/>
        <v>171.82130584192441</v>
      </c>
    </row>
    <row r="391" spans="1:7" x14ac:dyDescent="0.35">
      <c r="A391">
        <v>280</v>
      </c>
      <c r="B391">
        <v>540</v>
      </c>
      <c r="C391">
        <v>6.6</v>
      </c>
      <c r="E391">
        <f t="shared" si="18"/>
        <v>28000000</v>
      </c>
      <c r="F391">
        <f t="shared" si="19"/>
        <v>540</v>
      </c>
      <c r="G391">
        <f t="shared" si="20"/>
        <v>151.5151515151515</v>
      </c>
    </row>
    <row r="392" spans="1:7" x14ac:dyDescent="0.35">
      <c r="A392">
        <v>280</v>
      </c>
      <c r="B392">
        <v>560</v>
      </c>
      <c r="C392">
        <v>7.31</v>
      </c>
      <c r="E392">
        <f t="shared" si="18"/>
        <v>28000000</v>
      </c>
      <c r="F392">
        <f t="shared" si="19"/>
        <v>560</v>
      </c>
      <c r="G392">
        <f t="shared" si="20"/>
        <v>136.79890560875512</v>
      </c>
    </row>
    <row r="393" spans="1:7" x14ac:dyDescent="0.35">
      <c r="A393">
        <v>300</v>
      </c>
      <c r="B393">
        <v>310</v>
      </c>
      <c r="C393">
        <v>1.63</v>
      </c>
      <c r="E393">
        <f t="shared" si="18"/>
        <v>30000000</v>
      </c>
      <c r="F393">
        <f t="shared" si="19"/>
        <v>310</v>
      </c>
      <c r="G393">
        <f t="shared" si="20"/>
        <v>613.49693251533745</v>
      </c>
    </row>
    <row r="394" spans="1:7" x14ac:dyDescent="0.35">
      <c r="A394">
        <v>300</v>
      </c>
      <c r="B394">
        <v>320</v>
      </c>
      <c r="C394">
        <v>1.67</v>
      </c>
      <c r="E394">
        <f t="shared" si="18"/>
        <v>30000000</v>
      </c>
      <c r="F394">
        <f t="shared" si="19"/>
        <v>320</v>
      </c>
      <c r="G394">
        <f t="shared" si="20"/>
        <v>598.80239520958094</v>
      </c>
    </row>
    <row r="395" spans="1:7" x14ac:dyDescent="0.35">
      <c r="A395">
        <v>300</v>
      </c>
      <c r="B395">
        <v>330</v>
      </c>
      <c r="C395">
        <v>1.7</v>
      </c>
      <c r="E395">
        <f t="shared" si="18"/>
        <v>30000000</v>
      </c>
      <c r="F395">
        <f t="shared" si="19"/>
        <v>330</v>
      </c>
      <c r="G395">
        <f t="shared" si="20"/>
        <v>588.23529411764707</v>
      </c>
    </row>
    <row r="396" spans="1:7" x14ac:dyDescent="0.35">
      <c r="A396">
        <v>300</v>
      </c>
      <c r="B396">
        <v>340</v>
      </c>
      <c r="C396">
        <v>1.74</v>
      </c>
      <c r="E396">
        <f t="shared" si="18"/>
        <v>30000000</v>
      </c>
      <c r="F396">
        <f t="shared" si="19"/>
        <v>340</v>
      </c>
      <c r="G396">
        <f t="shared" si="20"/>
        <v>574.71264367816093</v>
      </c>
    </row>
    <row r="397" spans="1:7" x14ac:dyDescent="0.35">
      <c r="A397">
        <v>300</v>
      </c>
      <c r="B397">
        <v>350</v>
      </c>
      <c r="C397">
        <v>1.79</v>
      </c>
      <c r="E397">
        <f t="shared" si="18"/>
        <v>30000000</v>
      </c>
      <c r="F397">
        <f t="shared" si="19"/>
        <v>350</v>
      </c>
      <c r="G397">
        <f t="shared" si="20"/>
        <v>558.65921787709487</v>
      </c>
    </row>
    <row r="398" spans="1:7" x14ac:dyDescent="0.35">
      <c r="A398">
        <v>300</v>
      </c>
      <c r="B398">
        <v>360</v>
      </c>
      <c r="C398">
        <v>1.84</v>
      </c>
      <c r="E398">
        <f t="shared" si="18"/>
        <v>30000000</v>
      </c>
      <c r="F398">
        <f t="shared" si="19"/>
        <v>360</v>
      </c>
      <c r="G398">
        <f t="shared" si="20"/>
        <v>543.47826086956525</v>
      </c>
    </row>
    <row r="399" spans="1:7" x14ac:dyDescent="0.35">
      <c r="A399">
        <v>300</v>
      </c>
      <c r="B399">
        <v>370</v>
      </c>
      <c r="C399">
        <v>1.9</v>
      </c>
      <c r="E399">
        <f t="shared" si="18"/>
        <v>30000000</v>
      </c>
      <c r="F399">
        <f t="shared" si="19"/>
        <v>370</v>
      </c>
      <c r="G399">
        <f t="shared" si="20"/>
        <v>526.31578947368416</v>
      </c>
    </row>
    <row r="400" spans="1:7" x14ac:dyDescent="0.35">
      <c r="A400">
        <v>300</v>
      </c>
      <c r="B400">
        <v>380</v>
      </c>
      <c r="C400">
        <v>1.96</v>
      </c>
      <c r="E400">
        <f t="shared" si="18"/>
        <v>30000000</v>
      </c>
      <c r="F400">
        <f t="shared" si="19"/>
        <v>380</v>
      </c>
      <c r="G400">
        <f t="shared" si="20"/>
        <v>510.20408163265313</v>
      </c>
    </row>
    <row r="401" spans="1:7" x14ac:dyDescent="0.35">
      <c r="A401">
        <v>300</v>
      </c>
      <c r="B401">
        <v>390</v>
      </c>
      <c r="C401">
        <v>2.04</v>
      </c>
      <c r="E401">
        <f t="shared" si="18"/>
        <v>30000000</v>
      </c>
      <c r="F401">
        <f t="shared" si="19"/>
        <v>390</v>
      </c>
      <c r="G401">
        <f t="shared" si="20"/>
        <v>490.19607843137254</v>
      </c>
    </row>
    <row r="402" spans="1:7" x14ac:dyDescent="0.35">
      <c r="A402">
        <v>300</v>
      </c>
      <c r="B402">
        <v>400</v>
      </c>
      <c r="C402">
        <v>2.12</v>
      </c>
      <c r="E402">
        <f t="shared" si="18"/>
        <v>30000000</v>
      </c>
      <c r="F402">
        <f t="shared" si="19"/>
        <v>400</v>
      </c>
      <c r="G402">
        <f t="shared" si="20"/>
        <v>471.69811320754712</v>
      </c>
    </row>
    <row r="403" spans="1:7" x14ac:dyDescent="0.35">
      <c r="A403">
        <v>300</v>
      </c>
      <c r="B403">
        <v>420</v>
      </c>
      <c r="C403">
        <v>2.34</v>
      </c>
      <c r="E403">
        <f t="shared" si="18"/>
        <v>30000000</v>
      </c>
      <c r="F403">
        <f t="shared" si="19"/>
        <v>420</v>
      </c>
      <c r="G403">
        <f t="shared" si="20"/>
        <v>427.35042735042742</v>
      </c>
    </row>
    <row r="404" spans="1:7" x14ac:dyDescent="0.35">
      <c r="A404">
        <v>300</v>
      </c>
      <c r="B404">
        <v>440</v>
      </c>
      <c r="C404">
        <v>2.63</v>
      </c>
      <c r="E404">
        <f t="shared" si="18"/>
        <v>30000000</v>
      </c>
      <c r="F404">
        <f t="shared" si="19"/>
        <v>440</v>
      </c>
      <c r="G404">
        <f t="shared" si="20"/>
        <v>380.22813688212932</v>
      </c>
    </row>
    <row r="405" spans="1:7" x14ac:dyDescent="0.35">
      <c r="A405">
        <v>300</v>
      </c>
      <c r="B405">
        <v>460</v>
      </c>
      <c r="C405">
        <v>3.12</v>
      </c>
      <c r="E405">
        <f t="shared" si="18"/>
        <v>30000000</v>
      </c>
      <c r="F405">
        <f t="shared" si="19"/>
        <v>460</v>
      </c>
      <c r="G405">
        <f t="shared" si="20"/>
        <v>320.5128205128205</v>
      </c>
    </row>
    <row r="406" spans="1:7" x14ac:dyDescent="0.35">
      <c r="A406">
        <v>300</v>
      </c>
      <c r="B406">
        <v>480</v>
      </c>
      <c r="C406">
        <v>3.8</v>
      </c>
      <c r="E406">
        <f t="shared" si="18"/>
        <v>30000000</v>
      </c>
      <c r="F406">
        <f t="shared" si="19"/>
        <v>480</v>
      </c>
      <c r="G406">
        <f t="shared" si="20"/>
        <v>263.15789473684208</v>
      </c>
    </row>
    <row r="407" spans="1:7" x14ac:dyDescent="0.35">
      <c r="A407">
        <v>300</v>
      </c>
      <c r="B407">
        <v>500</v>
      </c>
      <c r="C407">
        <v>4.5599999999999996</v>
      </c>
      <c r="E407">
        <f t="shared" si="18"/>
        <v>30000000</v>
      </c>
      <c r="F407">
        <f t="shared" si="19"/>
        <v>500</v>
      </c>
      <c r="G407">
        <f t="shared" si="20"/>
        <v>219.29824561403512</v>
      </c>
    </row>
    <row r="408" spans="1:7" x14ac:dyDescent="0.35">
      <c r="A408">
        <v>300</v>
      </c>
      <c r="B408">
        <v>520</v>
      </c>
      <c r="C408">
        <v>5.31</v>
      </c>
      <c r="E408">
        <f t="shared" si="18"/>
        <v>30000000</v>
      </c>
      <c r="F408">
        <f t="shared" si="19"/>
        <v>520</v>
      </c>
      <c r="G408">
        <f t="shared" si="20"/>
        <v>188.32391713747649</v>
      </c>
    </row>
    <row r="409" spans="1:7" x14ac:dyDescent="0.35">
      <c r="A409">
        <v>300</v>
      </c>
      <c r="B409">
        <v>540</v>
      </c>
      <c r="C409">
        <v>6.04</v>
      </c>
      <c r="E409">
        <f t="shared" si="18"/>
        <v>30000000</v>
      </c>
      <c r="F409">
        <f t="shared" si="19"/>
        <v>540</v>
      </c>
      <c r="G409">
        <f t="shared" si="20"/>
        <v>165.56291390728481</v>
      </c>
    </row>
    <row r="410" spans="1:7" x14ac:dyDescent="0.35">
      <c r="A410">
        <v>300</v>
      </c>
      <c r="B410">
        <v>560</v>
      </c>
      <c r="C410">
        <v>6.72</v>
      </c>
      <c r="E410">
        <f t="shared" si="18"/>
        <v>30000000</v>
      </c>
      <c r="F410">
        <f t="shared" si="19"/>
        <v>560</v>
      </c>
      <c r="G410">
        <f t="shared" si="20"/>
        <v>148.80952380952382</v>
      </c>
    </row>
    <row r="411" spans="1:7" x14ac:dyDescent="0.35">
      <c r="A411">
        <v>320</v>
      </c>
      <c r="B411">
        <v>310</v>
      </c>
      <c r="C411">
        <v>1.63</v>
      </c>
      <c r="E411">
        <f t="shared" si="18"/>
        <v>32000000</v>
      </c>
      <c r="F411">
        <f t="shared" si="19"/>
        <v>310</v>
      </c>
      <c r="G411">
        <f t="shared" si="20"/>
        <v>613.49693251533745</v>
      </c>
    </row>
    <row r="412" spans="1:7" x14ac:dyDescent="0.35">
      <c r="A412">
        <v>320</v>
      </c>
      <c r="B412">
        <v>320</v>
      </c>
      <c r="C412">
        <v>1.66</v>
      </c>
      <c r="E412">
        <f t="shared" si="18"/>
        <v>32000000</v>
      </c>
      <c r="F412">
        <f t="shared" si="19"/>
        <v>320</v>
      </c>
      <c r="G412">
        <f t="shared" si="20"/>
        <v>602.40963855421694</v>
      </c>
    </row>
    <row r="413" spans="1:7" x14ac:dyDescent="0.35">
      <c r="A413">
        <v>320</v>
      </c>
      <c r="B413">
        <v>330</v>
      </c>
      <c r="C413">
        <v>1.7</v>
      </c>
      <c r="E413">
        <f t="shared" si="18"/>
        <v>32000000</v>
      </c>
      <c r="F413">
        <f t="shared" si="19"/>
        <v>330</v>
      </c>
      <c r="G413">
        <f t="shared" si="20"/>
        <v>588.23529411764707</v>
      </c>
    </row>
    <row r="414" spans="1:7" x14ac:dyDescent="0.35">
      <c r="A414">
        <v>320</v>
      </c>
      <c r="B414">
        <v>340</v>
      </c>
      <c r="C414">
        <v>1.74</v>
      </c>
      <c r="E414">
        <f t="shared" si="18"/>
        <v>32000000</v>
      </c>
      <c r="F414">
        <f t="shared" si="19"/>
        <v>340</v>
      </c>
      <c r="G414">
        <f t="shared" si="20"/>
        <v>574.71264367816093</v>
      </c>
    </row>
    <row r="415" spans="1:7" x14ac:dyDescent="0.35">
      <c r="A415">
        <v>320</v>
      </c>
      <c r="B415">
        <v>350</v>
      </c>
      <c r="C415">
        <v>1.78</v>
      </c>
      <c r="E415">
        <f t="shared" si="18"/>
        <v>32000000</v>
      </c>
      <c r="F415">
        <f t="shared" si="19"/>
        <v>350</v>
      </c>
      <c r="G415">
        <f t="shared" si="20"/>
        <v>561.79775280898878</v>
      </c>
    </row>
    <row r="416" spans="1:7" x14ac:dyDescent="0.35">
      <c r="A416">
        <v>320</v>
      </c>
      <c r="B416">
        <v>360</v>
      </c>
      <c r="C416">
        <v>1.83</v>
      </c>
      <c r="E416">
        <f t="shared" si="18"/>
        <v>32000000</v>
      </c>
      <c r="F416">
        <f t="shared" si="19"/>
        <v>360</v>
      </c>
      <c r="G416">
        <f t="shared" si="20"/>
        <v>546.44808743169403</v>
      </c>
    </row>
    <row r="417" spans="1:7" x14ac:dyDescent="0.35">
      <c r="A417">
        <v>320</v>
      </c>
      <c r="B417">
        <v>370</v>
      </c>
      <c r="C417">
        <v>1.88</v>
      </c>
      <c r="E417">
        <f t="shared" si="18"/>
        <v>32000000</v>
      </c>
      <c r="F417">
        <f t="shared" si="19"/>
        <v>370</v>
      </c>
      <c r="G417">
        <f t="shared" si="20"/>
        <v>531.91489361702133</v>
      </c>
    </row>
    <row r="418" spans="1:7" x14ac:dyDescent="0.35">
      <c r="A418">
        <v>320</v>
      </c>
      <c r="B418">
        <v>380</v>
      </c>
      <c r="C418">
        <v>1.95</v>
      </c>
      <c r="E418">
        <f t="shared" si="18"/>
        <v>32000000</v>
      </c>
      <c r="F418">
        <f t="shared" si="19"/>
        <v>380</v>
      </c>
      <c r="G418">
        <f t="shared" si="20"/>
        <v>512.82051282051293</v>
      </c>
    </row>
    <row r="419" spans="1:7" x14ac:dyDescent="0.35">
      <c r="A419">
        <v>320</v>
      </c>
      <c r="B419">
        <v>390</v>
      </c>
      <c r="C419">
        <v>2.02</v>
      </c>
      <c r="E419">
        <f t="shared" si="18"/>
        <v>32000000</v>
      </c>
      <c r="F419">
        <f t="shared" si="19"/>
        <v>390</v>
      </c>
      <c r="G419">
        <f t="shared" si="20"/>
        <v>495.04950495049508</v>
      </c>
    </row>
    <row r="420" spans="1:7" x14ac:dyDescent="0.35">
      <c r="A420">
        <v>320</v>
      </c>
      <c r="B420">
        <v>400</v>
      </c>
      <c r="C420">
        <v>2.1</v>
      </c>
      <c r="E420">
        <f t="shared" si="18"/>
        <v>32000000</v>
      </c>
      <c r="F420">
        <f t="shared" si="19"/>
        <v>400</v>
      </c>
      <c r="G420">
        <f t="shared" si="20"/>
        <v>476.1904761904762</v>
      </c>
    </row>
    <row r="421" spans="1:7" x14ac:dyDescent="0.35">
      <c r="A421">
        <v>320</v>
      </c>
      <c r="B421">
        <v>420</v>
      </c>
      <c r="C421">
        <v>2.29</v>
      </c>
      <c r="E421">
        <f t="shared" si="18"/>
        <v>32000000</v>
      </c>
      <c r="F421">
        <f t="shared" si="19"/>
        <v>420</v>
      </c>
      <c r="G421">
        <f t="shared" si="20"/>
        <v>436.68122270742361</v>
      </c>
    </row>
    <row r="422" spans="1:7" x14ac:dyDescent="0.35">
      <c r="A422">
        <v>320</v>
      </c>
      <c r="B422">
        <v>440</v>
      </c>
      <c r="C422">
        <v>2.5499999999999998</v>
      </c>
      <c r="E422">
        <f t="shared" si="18"/>
        <v>32000000</v>
      </c>
      <c r="F422">
        <f t="shared" si="19"/>
        <v>440</v>
      </c>
      <c r="G422">
        <f t="shared" si="20"/>
        <v>392.15686274509807</v>
      </c>
    </row>
    <row r="423" spans="1:7" x14ac:dyDescent="0.35">
      <c r="A423">
        <v>320</v>
      </c>
      <c r="B423">
        <v>460</v>
      </c>
      <c r="C423">
        <v>2.98</v>
      </c>
      <c r="E423">
        <f t="shared" si="18"/>
        <v>32000000</v>
      </c>
      <c r="F423">
        <f t="shared" si="19"/>
        <v>460</v>
      </c>
      <c r="G423">
        <f t="shared" si="20"/>
        <v>335.57046979865777</v>
      </c>
    </row>
    <row r="424" spans="1:7" x14ac:dyDescent="0.35">
      <c r="A424">
        <v>320</v>
      </c>
      <c r="B424">
        <v>480</v>
      </c>
      <c r="C424">
        <v>3.55</v>
      </c>
      <c r="E424">
        <f t="shared" si="18"/>
        <v>32000000</v>
      </c>
      <c r="F424">
        <f t="shared" si="19"/>
        <v>480</v>
      </c>
      <c r="G424">
        <f t="shared" si="20"/>
        <v>281.69014084507046</v>
      </c>
    </row>
    <row r="425" spans="1:7" x14ac:dyDescent="0.35">
      <c r="A425">
        <v>320</v>
      </c>
      <c r="B425">
        <v>500</v>
      </c>
      <c r="C425">
        <v>4.22</v>
      </c>
      <c r="E425">
        <f t="shared" si="18"/>
        <v>32000000</v>
      </c>
      <c r="F425">
        <f t="shared" si="19"/>
        <v>500</v>
      </c>
      <c r="G425">
        <f t="shared" si="20"/>
        <v>236.96682464454977</v>
      </c>
    </row>
    <row r="426" spans="1:7" x14ac:dyDescent="0.35">
      <c r="A426">
        <v>320</v>
      </c>
      <c r="B426">
        <v>520</v>
      </c>
      <c r="C426">
        <v>4.8899999999999997</v>
      </c>
      <c r="E426">
        <f t="shared" si="18"/>
        <v>32000000</v>
      </c>
      <c r="F426">
        <f t="shared" si="19"/>
        <v>520</v>
      </c>
      <c r="G426">
        <f t="shared" si="20"/>
        <v>204.49897750511246</v>
      </c>
    </row>
    <row r="427" spans="1:7" x14ac:dyDescent="0.35">
      <c r="A427">
        <v>320</v>
      </c>
      <c r="B427">
        <v>540</v>
      </c>
      <c r="C427">
        <v>5.57</v>
      </c>
      <c r="E427">
        <f t="shared" si="18"/>
        <v>32000000</v>
      </c>
      <c r="F427">
        <f t="shared" si="19"/>
        <v>540</v>
      </c>
      <c r="G427">
        <f t="shared" si="20"/>
        <v>179.53321364452424</v>
      </c>
    </row>
    <row r="428" spans="1:7" x14ac:dyDescent="0.35">
      <c r="A428">
        <v>320</v>
      </c>
      <c r="B428">
        <v>560</v>
      </c>
      <c r="C428">
        <v>6.22</v>
      </c>
      <c r="E428">
        <f t="shared" si="18"/>
        <v>32000000</v>
      </c>
      <c r="F428">
        <f t="shared" si="19"/>
        <v>560</v>
      </c>
      <c r="G428">
        <f t="shared" si="20"/>
        <v>160.77170418006432</v>
      </c>
    </row>
    <row r="429" spans="1:7" x14ac:dyDescent="0.35">
      <c r="A429">
        <v>340</v>
      </c>
      <c r="B429">
        <v>310</v>
      </c>
      <c r="C429">
        <v>1.63</v>
      </c>
      <c r="E429">
        <f t="shared" si="18"/>
        <v>34000000</v>
      </c>
      <c r="F429">
        <f t="shared" si="19"/>
        <v>310</v>
      </c>
      <c r="G429">
        <f t="shared" si="20"/>
        <v>613.49693251533745</v>
      </c>
    </row>
    <row r="430" spans="1:7" x14ac:dyDescent="0.35">
      <c r="A430">
        <v>340</v>
      </c>
      <c r="B430">
        <v>320</v>
      </c>
      <c r="C430">
        <v>1.66</v>
      </c>
      <c r="E430">
        <f t="shared" si="18"/>
        <v>34000000</v>
      </c>
      <c r="F430">
        <f t="shared" si="19"/>
        <v>320</v>
      </c>
      <c r="G430">
        <f t="shared" si="20"/>
        <v>602.40963855421694</v>
      </c>
    </row>
    <row r="431" spans="1:7" x14ac:dyDescent="0.35">
      <c r="A431">
        <v>340</v>
      </c>
      <c r="B431">
        <v>330</v>
      </c>
      <c r="C431">
        <v>1.69</v>
      </c>
      <c r="E431">
        <f t="shared" si="18"/>
        <v>34000000</v>
      </c>
      <c r="F431">
        <f t="shared" si="19"/>
        <v>330</v>
      </c>
      <c r="G431">
        <f t="shared" si="20"/>
        <v>591.71597633136093</v>
      </c>
    </row>
    <row r="432" spans="1:7" x14ac:dyDescent="0.35">
      <c r="A432">
        <v>340</v>
      </c>
      <c r="B432">
        <v>340</v>
      </c>
      <c r="C432">
        <v>1.73</v>
      </c>
      <c r="E432">
        <f t="shared" si="18"/>
        <v>34000000</v>
      </c>
      <c r="F432">
        <f t="shared" si="19"/>
        <v>340</v>
      </c>
      <c r="G432">
        <f t="shared" si="20"/>
        <v>578.03468208092488</v>
      </c>
    </row>
    <row r="433" spans="1:7" x14ac:dyDescent="0.35">
      <c r="A433">
        <v>340</v>
      </c>
      <c r="B433">
        <v>350</v>
      </c>
      <c r="C433">
        <v>1.77</v>
      </c>
      <c r="E433">
        <f t="shared" si="18"/>
        <v>34000000</v>
      </c>
      <c r="F433">
        <f t="shared" si="19"/>
        <v>350</v>
      </c>
      <c r="G433">
        <f t="shared" si="20"/>
        <v>564.9717514124294</v>
      </c>
    </row>
    <row r="434" spans="1:7" x14ac:dyDescent="0.35">
      <c r="A434">
        <v>340</v>
      </c>
      <c r="B434">
        <v>360</v>
      </c>
      <c r="C434">
        <v>1.82</v>
      </c>
      <c r="E434">
        <f t="shared" si="18"/>
        <v>34000000</v>
      </c>
      <c r="F434">
        <f t="shared" si="19"/>
        <v>360</v>
      </c>
      <c r="G434">
        <f t="shared" si="20"/>
        <v>549.45054945054949</v>
      </c>
    </row>
    <row r="435" spans="1:7" x14ac:dyDescent="0.35">
      <c r="A435">
        <v>340</v>
      </c>
      <c r="B435">
        <v>370</v>
      </c>
      <c r="C435">
        <v>1.87</v>
      </c>
      <c r="E435">
        <f t="shared" si="18"/>
        <v>34000000</v>
      </c>
      <c r="F435">
        <f t="shared" si="19"/>
        <v>370</v>
      </c>
      <c r="G435">
        <f t="shared" si="20"/>
        <v>534.75935828876993</v>
      </c>
    </row>
    <row r="436" spans="1:7" x14ac:dyDescent="0.35">
      <c r="A436">
        <v>340</v>
      </c>
      <c r="B436">
        <v>380</v>
      </c>
      <c r="C436">
        <v>1.94</v>
      </c>
      <c r="E436">
        <f t="shared" si="18"/>
        <v>34000000</v>
      </c>
      <c r="F436">
        <f t="shared" si="19"/>
        <v>380</v>
      </c>
      <c r="G436">
        <f t="shared" si="20"/>
        <v>515.46391752577335</v>
      </c>
    </row>
    <row r="437" spans="1:7" x14ac:dyDescent="0.35">
      <c r="A437">
        <v>340</v>
      </c>
      <c r="B437">
        <v>390</v>
      </c>
      <c r="C437">
        <v>2.0099999999999998</v>
      </c>
      <c r="E437">
        <f t="shared" si="18"/>
        <v>34000000</v>
      </c>
      <c r="F437">
        <f t="shared" si="19"/>
        <v>390</v>
      </c>
      <c r="G437">
        <f t="shared" si="20"/>
        <v>497.51243781094536</v>
      </c>
    </row>
    <row r="438" spans="1:7" x14ac:dyDescent="0.35">
      <c r="A438">
        <v>340</v>
      </c>
      <c r="B438">
        <v>400</v>
      </c>
      <c r="C438">
        <v>2.08</v>
      </c>
      <c r="E438">
        <f t="shared" si="18"/>
        <v>34000000</v>
      </c>
      <c r="F438">
        <f t="shared" si="19"/>
        <v>400</v>
      </c>
      <c r="G438">
        <f t="shared" si="20"/>
        <v>480.76923076923072</v>
      </c>
    </row>
    <row r="439" spans="1:7" x14ac:dyDescent="0.35">
      <c r="A439">
        <v>340</v>
      </c>
      <c r="B439">
        <v>420</v>
      </c>
      <c r="C439">
        <v>2.2599999999999998</v>
      </c>
      <c r="E439">
        <f t="shared" si="18"/>
        <v>34000000</v>
      </c>
      <c r="F439">
        <f t="shared" si="19"/>
        <v>420</v>
      </c>
      <c r="G439">
        <f t="shared" si="20"/>
        <v>442.47787610619474</v>
      </c>
    </row>
    <row r="440" spans="1:7" x14ac:dyDescent="0.35">
      <c r="A440">
        <v>340</v>
      </c>
      <c r="B440">
        <v>440</v>
      </c>
      <c r="C440">
        <v>2.5</v>
      </c>
      <c r="E440">
        <f t="shared" si="18"/>
        <v>34000000</v>
      </c>
      <c r="F440">
        <f t="shared" si="19"/>
        <v>440</v>
      </c>
      <c r="G440">
        <f t="shared" si="20"/>
        <v>400</v>
      </c>
    </row>
    <row r="441" spans="1:7" x14ac:dyDescent="0.35">
      <c r="A441">
        <v>340</v>
      </c>
      <c r="B441">
        <v>460</v>
      </c>
      <c r="C441">
        <v>2.86</v>
      </c>
      <c r="E441">
        <f t="shared" si="18"/>
        <v>34000000</v>
      </c>
      <c r="F441">
        <f t="shared" si="19"/>
        <v>460</v>
      </c>
      <c r="G441">
        <f t="shared" si="20"/>
        <v>349.65034965034971</v>
      </c>
    </row>
    <row r="442" spans="1:7" x14ac:dyDescent="0.35">
      <c r="A442">
        <v>340</v>
      </c>
      <c r="B442">
        <v>480</v>
      </c>
      <c r="C442">
        <v>3.35</v>
      </c>
      <c r="E442">
        <f t="shared" si="18"/>
        <v>34000000</v>
      </c>
      <c r="F442">
        <f t="shared" si="19"/>
        <v>480</v>
      </c>
      <c r="G442">
        <f t="shared" si="20"/>
        <v>298.50746268656718</v>
      </c>
    </row>
    <row r="443" spans="1:7" x14ac:dyDescent="0.35">
      <c r="A443">
        <v>340</v>
      </c>
      <c r="B443">
        <v>500</v>
      </c>
      <c r="C443">
        <v>3.95</v>
      </c>
      <c r="E443">
        <f t="shared" si="18"/>
        <v>34000000</v>
      </c>
      <c r="F443">
        <f t="shared" si="19"/>
        <v>500</v>
      </c>
      <c r="G443">
        <f t="shared" si="20"/>
        <v>253.16455696202527</v>
      </c>
    </row>
    <row r="444" spans="1:7" x14ac:dyDescent="0.35">
      <c r="A444">
        <v>340</v>
      </c>
      <c r="B444">
        <v>520</v>
      </c>
      <c r="C444">
        <v>4.55</v>
      </c>
      <c r="E444">
        <f t="shared" si="18"/>
        <v>34000000</v>
      </c>
      <c r="F444">
        <f t="shared" si="19"/>
        <v>520</v>
      </c>
      <c r="G444">
        <f t="shared" si="20"/>
        <v>219.78021978021977</v>
      </c>
    </row>
    <row r="445" spans="1:7" x14ac:dyDescent="0.35">
      <c r="A445">
        <v>340</v>
      </c>
      <c r="B445">
        <v>540</v>
      </c>
      <c r="C445">
        <v>5.18</v>
      </c>
      <c r="E445">
        <f t="shared" si="18"/>
        <v>34000000</v>
      </c>
      <c r="F445">
        <f t="shared" si="19"/>
        <v>540</v>
      </c>
      <c r="G445">
        <f t="shared" si="20"/>
        <v>193.05019305019306</v>
      </c>
    </row>
    <row r="446" spans="1:7" x14ac:dyDescent="0.35">
      <c r="A446">
        <v>340</v>
      </c>
      <c r="B446">
        <v>560</v>
      </c>
      <c r="C446">
        <v>5.78</v>
      </c>
      <c r="E446">
        <f t="shared" si="18"/>
        <v>34000000</v>
      </c>
      <c r="F446">
        <f t="shared" si="19"/>
        <v>560</v>
      </c>
      <c r="G446">
        <f t="shared" si="20"/>
        <v>173.01038062283737</v>
      </c>
    </row>
    <row r="447" spans="1:7" x14ac:dyDescent="0.35">
      <c r="A447">
        <v>360</v>
      </c>
      <c r="B447">
        <v>310</v>
      </c>
      <c r="C447">
        <v>1.62</v>
      </c>
      <c r="E447">
        <f t="shared" si="18"/>
        <v>36000000</v>
      </c>
      <c r="F447">
        <f t="shared" si="19"/>
        <v>310</v>
      </c>
      <c r="G447">
        <f t="shared" si="20"/>
        <v>617.28395061728395</v>
      </c>
    </row>
    <row r="448" spans="1:7" x14ac:dyDescent="0.35">
      <c r="A448">
        <v>360</v>
      </c>
      <c r="B448">
        <v>320</v>
      </c>
      <c r="C448">
        <v>1.65</v>
      </c>
      <c r="E448">
        <f t="shared" si="18"/>
        <v>36000000</v>
      </c>
      <c r="F448">
        <f t="shared" si="19"/>
        <v>320</v>
      </c>
      <c r="G448">
        <f t="shared" si="20"/>
        <v>606.06060606060601</v>
      </c>
    </row>
    <row r="449" spans="1:7" x14ac:dyDescent="0.35">
      <c r="A449">
        <v>360</v>
      </c>
      <c r="B449">
        <v>330</v>
      </c>
      <c r="C449">
        <v>1.68</v>
      </c>
      <c r="E449">
        <f t="shared" si="18"/>
        <v>36000000</v>
      </c>
      <c r="F449">
        <f t="shared" si="19"/>
        <v>330</v>
      </c>
      <c r="G449">
        <f t="shared" si="20"/>
        <v>595.2380952380953</v>
      </c>
    </row>
    <row r="450" spans="1:7" x14ac:dyDescent="0.35">
      <c r="A450">
        <v>360</v>
      </c>
      <c r="B450">
        <v>340</v>
      </c>
      <c r="C450">
        <v>1.73</v>
      </c>
      <c r="E450">
        <f t="shared" ref="E450:E513" si="21">A450*100000</f>
        <v>36000000</v>
      </c>
      <c r="F450">
        <f t="shared" si="19"/>
        <v>340</v>
      </c>
      <c r="G450">
        <f t="shared" si="20"/>
        <v>578.03468208092488</v>
      </c>
    </row>
    <row r="451" spans="1:7" x14ac:dyDescent="0.35">
      <c r="A451">
        <v>360</v>
      </c>
      <c r="B451">
        <v>350</v>
      </c>
      <c r="C451">
        <v>1.77</v>
      </c>
      <c r="E451">
        <f t="shared" si="21"/>
        <v>36000000</v>
      </c>
      <c r="F451">
        <f t="shared" ref="F451:F514" si="22">B451</f>
        <v>350</v>
      </c>
      <c r="G451">
        <f t="shared" ref="G451:G514" si="23">1/C451*0.001*1000000</f>
        <v>564.9717514124294</v>
      </c>
    </row>
    <row r="452" spans="1:7" x14ac:dyDescent="0.35">
      <c r="A452">
        <v>360</v>
      </c>
      <c r="B452">
        <v>360</v>
      </c>
      <c r="C452">
        <v>1.81</v>
      </c>
      <c r="E452">
        <f t="shared" si="21"/>
        <v>36000000</v>
      </c>
      <c r="F452">
        <f t="shared" si="22"/>
        <v>360</v>
      </c>
      <c r="G452">
        <f t="shared" si="23"/>
        <v>552.4861878453039</v>
      </c>
    </row>
    <row r="453" spans="1:7" x14ac:dyDescent="0.35">
      <c r="A453">
        <v>360</v>
      </c>
      <c r="B453">
        <v>370</v>
      </c>
      <c r="C453">
        <v>1.87</v>
      </c>
      <c r="E453">
        <f t="shared" si="21"/>
        <v>36000000</v>
      </c>
      <c r="F453">
        <f t="shared" si="22"/>
        <v>370</v>
      </c>
      <c r="G453">
        <f t="shared" si="23"/>
        <v>534.75935828876993</v>
      </c>
    </row>
    <row r="454" spans="1:7" x14ac:dyDescent="0.35">
      <c r="A454">
        <v>360</v>
      </c>
      <c r="B454">
        <v>380</v>
      </c>
      <c r="C454">
        <v>1.92</v>
      </c>
      <c r="E454">
        <f t="shared" si="21"/>
        <v>36000000</v>
      </c>
      <c r="F454">
        <f t="shared" si="22"/>
        <v>380</v>
      </c>
      <c r="G454">
        <f t="shared" si="23"/>
        <v>520.83333333333348</v>
      </c>
    </row>
    <row r="455" spans="1:7" x14ac:dyDescent="0.35">
      <c r="A455">
        <v>360</v>
      </c>
      <c r="B455">
        <v>390</v>
      </c>
      <c r="C455">
        <v>1.99</v>
      </c>
      <c r="E455">
        <f t="shared" si="21"/>
        <v>36000000</v>
      </c>
      <c r="F455">
        <f t="shared" si="22"/>
        <v>390</v>
      </c>
      <c r="G455">
        <f t="shared" si="23"/>
        <v>502.51256281407029</v>
      </c>
    </row>
    <row r="456" spans="1:7" x14ac:dyDescent="0.35">
      <c r="A456">
        <v>360</v>
      </c>
      <c r="B456">
        <v>400</v>
      </c>
      <c r="C456">
        <v>2.0699999999999998</v>
      </c>
      <c r="E456">
        <f t="shared" si="21"/>
        <v>36000000</v>
      </c>
      <c r="F456">
        <f t="shared" si="22"/>
        <v>400</v>
      </c>
      <c r="G456">
        <f t="shared" si="23"/>
        <v>483.09178743961354</v>
      </c>
    </row>
    <row r="457" spans="1:7" x14ac:dyDescent="0.35">
      <c r="A457">
        <v>360</v>
      </c>
      <c r="B457">
        <v>420</v>
      </c>
      <c r="C457">
        <v>2.2400000000000002</v>
      </c>
      <c r="E457">
        <f t="shared" si="21"/>
        <v>36000000</v>
      </c>
      <c r="F457">
        <f t="shared" si="22"/>
        <v>420</v>
      </c>
      <c r="G457">
        <f t="shared" si="23"/>
        <v>446.42857142857139</v>
      </c>
    </row>
    <row r="458" spans="1:7" x14ac:dyDescent="0.35">
      <c r="A458">
        <v>360</v>
      </c>
      <c r="B458">
        <v>440</v>
      </c>
      <c r="C458">
        <v>2.4500000000000002</v>
      </c>
      <c r="E458">
        <f t="shared" si="21"/>
        <v>36000000</v>
      </c>
      <c r="F458">
        <f t="shared" si="22"/>
        <v>440</v>
      </c>
      <c r="G458">
        <f t="shared" si="23"/>
        <v>408.16326530612241</v>
      </c>
    </row>
    <row r="459" spans="1:7" x14ac:dyDescent="0.35">
      <c r="A459">
        <v>360</v>
      </c>
      <c r="B459">
        <v>460</v>
      </c>
      <c r="C459">
        <v>2.76</v>
      </c>
      <c r="E459">
        <f t="shared" si="21"/>
        <v>36000000</v>
      </c>
      <c r="F459">
        <f t="shared" si="22"/>
        <v>460</v>
      </c>
      <c r="G459">
        <f t="shared" si="23"/>
        <v>362.31884057971018</v>
      </c>
    </row>
    <row r="460" spans="1:7" x14ac:dyDescent="0.35">
      <c r="A460">
        <v>360</v>
      </c>
      <c r="B460">
        <v>480</v>
      </c>
      <c r="C460">
        <v>3.19</v>
      </c>
      <c r="E460">
        <f t="shared" si="21"/>
        <v>36000000</v>
      </c>
      <c r="F460">
        <f t="shared" si="22"/>
        <v>480</v>
      </c>
      <c r="G460">
        <f t="shared" si="23"/>
        <v>313.47962382445144</v>
      </c>
    </row>
    <row r="461" spans="1:7" x14ac:dyDescent="0.35">
      <c r="A461">
        <v>360</v>
      </c>
      <c r="B461">
        <v>500</v>
      </c>
      <c r="C461">
        <v>3.72</v>
      </c>
      <c r="E461">
        <f t="shared" si="21"/>
        <v>36000000</v>
      </c>
      <c r="F461">
        <f t="shared" si="22"/>
        <v>500</v>
      </c>
      <c r="G461">
        <f t="shared" si="23"/>
        <v>268.81720430107526</v>
      </c>
    </row>
    <row r="462" spans="1:7" x14ac:dyDescent="0.35">
      <c r="A462">
        <v>360</v>
      </c>
      <c r="B462">
        <v>520</v>
      </c>
      <c r="C462">
        <v>4.2699999999999996</v>
      </c>
      <c r="E462">
        <f t="shared" si="21"/>
        <v>36000000</v>
      </c>
      <c r="F462">
        <f t="shared" si="22"/>
        <v>520</v>
      </c>
      <c r="G462">
        <f t="shared" si="23"/>
        <v>234.19203747072604</v>
      </c>
    </row>
    <row r="463" spans="1:7" x14ac:dyDescent="0.35">
      <c r="A463">
        <v>360</v>
      </c>
      <c r="B463">
        <v>540</v>
      </c>
      <c r="C463">
        <v>4.82</v>
      </c>
      <c r="E463">
        <f t="shared" si="21"/>
        <v>36000000</v>
      </c>
      <c r="F463">
        <f t="shared" si="22"/>
        <v>540</v>
      </c>
      <c r="G463">
        <f t="shared" si="23"/>
        <v>207.46887966804979</v>
      </c>
    </row>
    <row r="464" spans="1:7" x14ac:dyDescent="0.35">
      <c r="A464">
        <v>360</v>
      </c>
      <c r="B464">
        <v>560</v>
      </c>
      <c r="C464">
        <v>5.41</v>
      </c>
      <c r="E464">
        <f t="shared" si="21"/>
        <v>36000000</v>
      </c>
      <c r="F464">
        <f t="shared" si="22"/>
        <v>560</v>
      </c>
      <c r="G464">
        <f t="shared" si="23"/>
        <v>184.84288354898339</v>
      </c>
    </row>
    <row r="465" spans="1:7" x14ac:dyDescent="0.35">
      <c r="A465">
        <v>380</v>
      </c>
      <c r="B465">
        <v>310</v>
      </c>
      <c r="C465">
        <v>1.61</v>
      </c>
      <c r="E465">
        <f t="shared" si="21"/>
        <v>38000000</v>
      </c>
      <c r="F465">
        <f t="shared" si="22"/>
        <v>310</v>
      </c>
      <c r="G465">
        <f t="shared" si="23"/>
        <v>621.11801242236015</v>
      </c>
    </row>
    <row r="466" spans="1:7" x14ac:dyDescent="0.35">
      <c r="A466">
        <v>380</v>
      </c>
      <c r="B466">
        <v>320</v>
      </c>
      <c r="C466">
        <v>1.64</v>
      </c>
      <c r="E466">
        <f t="shared" si="21"/>
        <v>38000000</v>
      </c>
      <c r="F466">
        <f t="shared" si="22"/>
        <v>320</v>
      </c>
      <c r="G466">
        <f t="shared" si="23"/>
        <v>609.7560975609756</v>
      </c>
    </row>
    <row r="467" spans="1:7" x14ac:dyDescent="0.35">
      <c r="A467">
        <v>380</v>
      </c>
      <c r="B467">
        <v>330</v>
      </c>
      <c r="C467">
        <v>1.68</v>
      </c>
      <c r="E467">
        <f t="shared" si="21"/>
        <v>38000000</v>
      </c>
      <c r="F467">
        <f t="shared" si="22"/>
        <v>330</v>
      </c>
      <c r="G467">
        <f t="shared" si="23"/>
        <v>595.2380952380953</v>
      </c>
    </row>
    <row r="468" spans="1:7" x14ac:dyDescent="0.35">
      <c r="A468">
        <v>380</v>
      </c>
      <c r="B468">
        <v>340</v>
      </c>
      <c r="C468">
        <v>1.71</v>
      </c>
      <c r="E468">
        <f t="shared" si="21"/>
        <v>38000000</v>
      </c>
      <c r="F468">
        <f t="shared" si="22"/>
        <v>340</v>
      </c>
      <c r="G468">
        <f t="shared" si="23"/>
        <v>584.79532163742692</v>
      </c>
    </row>
    <row r="469" spans="1:7" x14ac:dyDescent="0.35">
      <c r="A469">
        <v>380</v>
      </c>
      <c r="B469">
        <v>350</v>
      </c>
      <c r="C469">
        <v>1.76</v>
      </c>
      <c r="E469">
        <f t="shared" si="21"/>
        <v>38000000</v>
      </c>
      <c r="F469">
        <f t="shared" si="22"/>
        <v>350</v>
      </c>
      <c r="G469">
        <f t="shared" si="23"/>
        <v>568.18181818181824</v>
      </c>
    </row>
    <row r="470" spans="1:7" x14ac:dyDescent="0.35">
      <c r="A470">
        <v>380</v>
      </c>
      <c r="B470">
        <v>360</v>
      </c>
      <c r="C470">
        <v>1.8</v>
      </c>
      <c r="E470">
        <f t="shared" si="21"/>
        <v>38000000</v>
      </c>
      <c r="F470">
        <f t="shared" si="22"/>
        <v>360</v>
      </c>
      <c r="G470">
        <f t="shared" si="23"/>
        <v>555.55555555555554</v>
      </c>
    </row>
    <row r="471" spans="1:7" x14ac:dyDescent="0.35">
      <c r="A471">
        <v>380</v>
      </c>
      <c r="B471">
        <v>370</v>
      </c>
      <c r="C471">
        <v>1.8660000000000001</v>
      </c>
      <c r="E471">
        <f t="shared" si="21"/>
        <v>38000000</v>
      </c>
      <c r="F471">
        <f t="shared" si="22"/>
        <v>370</v>
      </c>
      <c r="G471">
        <f t="shared" si="23"/>
        <v>535.9056806002144</v>
      </c>
    </row>
    <row r="472" spans="1:7" x14ac:dyDescent="0.35">
      <c r="A472">
        <v>380</v>
      </c>
      <c r="B472">
        <v>380</v>
      </c>
      <c r="C472">
        <v>1.91</v>
      </c>
      <c r="E472">
        <f t="shared" si="21"/>
        <v>38000000</v>
      </c>
      <c r="F472">
        <f t="shared" si="22"/>
        <v>380</v>
      </c>
      <c r="G472">
        <f t="shared" si="23"/>
        <v>523.56020942408384</v>
      </c>
    </row>
    <row r="473" spans="1:7" x14ac:dyDescent="0.35">
      <c r="A473">
        <v>380</v>
      </c>
      <c r="B473">
        <v>390</v>
      </c>
      <c r="C473">
        <v>1.98</v>
      </c>
      <c r="E473">
        <f t="shared" si="21"/>
        <v>38000000</v>
      </c>
      <c r="F473">
        <f t="shared" si="22"/>
        <v>390</v>
      </c>
      <c r="G473">
        <f t="shared" si="23"/>
        <v>505.05050505050502</v>
      </c>
    </row>
    <row r="474" spans="1:7" x14ac:dyDescent="0.35">
      <c r="A474">
        <v>380</v>
      </c>
      <c r="B474">
        <v>400</v>
      </c>
      <c r="C474">
        <v>2.04</v>
      </c>
      <c r="E474">
        <f t="shared" si="21"/>
        <v>38000000</v>
      </c>
      <c r="F474">
        <f t="shared" si="22"/>
        <v>400</v>
      </c>
      <c r="G474">
        <f t="shared" si="23"/>
        <v>490.19607843137254</v>
      </c>
    </row>
    <row r="475" spans="1:7" x14ac:dyDescent="0.35">
      <c r="A475">
        <v>380</v>
      </c>
      <c r="B475">
        <v>420</v>
      </c>
      <c r="C475">
        <v>2.21</v>
      </c>
      <c r="E475">
        <f t="shared" si="21"/>
        <v>38000000</v>
      </c>
      <c r="F475">
        <f t="shared" si="22"/>
        <v>420</v>
      </c>
      <c r="G475">
        <f t="shared" si="23"/>
        <v>452.48868778280547</v>
      </c>
    </row>
    <row r="476" spans="1:7" x14ac:dyDescent="0.35">
      <c r="A476">
        <v>380</v>
      </c>
      <c r="B476">
        <v>440</v>
      </c>
      <c r="C476">
        <v>2.41</v>
      </c>
      <c r="E476">
        <f t="shared" si="21"/>
        <v>38000000</v>
      </c>
      <c r="F476">
        <f t="shared" si="22"/>
        <v>440</v>
      </c>
      <c r="G476">
        <f t="shared" si="23"/>
        <v>414.93775933609959</v>
      </c>
    </row>
    <row r="477" spans="1:7" x14ac:dyDescent="0.35">
      <c r="A477">
        <v>380</v>
      </c>
      <c r="B477">
        <v>460</v>
      </c>
      <c r="C477">
        <v>2.69</v>
      </c>
      <c r="E477">
        <f t="shared" si="21"/>
        <v>38000000</v>
      </c>
      <c r="F477">
        <f t="shared" si="22"/>
        <v>460</v>
      </c>
      <c r="G477">
        <f t="shared" si="23"/>
        <v>371.74721189591082</v>
      </c>
    </row>
    <row r="478" spans="1:7" x14ac:dyDescent="0.35">
      <c r="A478">
        <v>380</v>
      </c>
      <c r="B478">
        <v>480</v>
      </c>
      <c r="C478">
        <v>3.06</v>
      </c>
      <c r="E478">
        <f t="shared" si="21"/>
        <v>38000000</v>
      </c>
      <c r="F478">
        <f t="shared" si="22"/>
        <v>480</v>
      </c>
      <c r="G478">
        <f t="shared" si="23"/>
        <v>326.79738562091507</v>
      </c>
    </row>
    <row r="479" spans="1:7" x14ac:dyDescent="0.35">
      <c r="A479">
        <v>380</v>
      </c>
      <c r="B479">
        <v>500</v>
      </c>
      <c r="C479">
        <v>3.53</v>
      </c>
      <c r="E479">
        <f t="shared" si="21"/>
        <v>38000000</v>
      </c>
      <c r="F479">
        <f t="shared" si="22"/>
        <v>500</v>
      </c>
      <c r="G479">
        <f t="shared" si="23"/>
        <v>283.28611898016999</v>
      </c>
    </row>
    <row r="480" spans="1:7" x14ac:dyDescent="0.35">
      <c r="A480">
        <v>380</v>
      </c>
      <c r="B480">
        <v>520</v>
      </c>
      <c r="C480">
        <v>4.04</v>
      </c>
      <c r="E480">
        <f t="shared" si="21"/>
        <v>38000000</v>
      </c>
      <c r="F480">
        <f t="shared" si="22"/>
        <v>520</v>
      </c>
      <c r="G480">
        <f t="shared" si="23"/>
        <v>247.52475247524754</v>
      </c>
    </row>
    <row r="481" spans="1:7" x14ac:dyDescent="0.35">
      <c r="A481">
        <v>380</v>
      </c>
      <c r="B481">
        <v>540</v>
      </c>
      <c r="C481">
        <v>4.5599999999999996</v>
      </c>
      <c r="E481">
        <f t="shared" si="21"/>
        <v>38000000</v>
      </c>
      <c r="F481">
        <f t="shared" si="22"/>
        <v>540</v>
      </c>
      <c r="G481">
        <f t="shared" si="23"/>
        <v>219.29824561403512</v>
      </c>
    </row>
    <row r="482" spans="1:7" x14ac:dyDescent="0.35">
      <c r="A482">
        <v>380</v>
      </c>
      <c r="B482">
        <v>560</v>
      </c>
      <c r="C482">
        <v>5.08</v>
      </c>
      <c r="E482">
        <f t="shared" si="21"/>
        <v>38000000</v>
      </c>
      <c r="F482">
        <f t="shared" si="22"/>
        <v>560</v>
      </c>
      <c r="G482">
        <f t="shared" si="23"/>
        <v>196.85039370078741</v>
      </c>
    </row>
    <row r="483" spans="1:7" x14ac:dyDescent="0.35">
      <c r="A483">
        <v>400</v>
      </c>
      <c r="B483">
        <v>310</v>
      </c>
      <c r="C483">
        <v>1.61</v>
      </c>
      <c r="E483">
        <f t="shared" si="21"/>
        <v>40000000</v>
      </c>
      <c r="F483">
        <f t="shared" si="22"/>
        <v>310</v>
      </c>
      <c r="G483">
        <f t="shared" si="23"/>
        <v>621.11801242236015</v>
      </c>
    </row>
    <row r="484" spans="1:7" x14ac:dyDescent="0.35">
      <c r="A484">
        <v>400</v>
      </c>
      <c r="B484">
        <v>320</v>
      </c>
      <c r="C484">
        <v>1.64</v>
      </c>
      <c r="E484">
        <f t="shared" si="21"/>
        <v>40000000</v>
      </c>
      <c r="F484">
        <f t="shared" si="22"/>
        <v>320</v>
      </c>
      <c r="G484">
        <f t="shared" si="23"/>
        <v>609.7560975609756</v>
      </c>
    </row>
    <row r="485" spans="1:7" x14ac:dyDescent="0.35">
      <c r="A485">
        <v>400</v>
      </c>
      <c r="B485">
        <v>330</v>
      </c>
      <c r="C485">
        <v>1.67</v>
      </c>
      <c r="E485">
        <f t="shared" si="21"/>
        <v>40000000</v>
      </c>
      <c r="F485">
        <f t="shared" si="22"/>
        <v>330</v>
      </c>
      <c r="G485">
        <f t="shared" si="23"/>
        <v>598.80239520958094</v>
      </c>
    </row>
    <row r="486" spans="1:7" x14ac:dyDescent="0.35">
      <c r="A486">
        <v>400</v>
      </c>
      <c r="B486">
        <v>340</v>
      </c>
      <c r="C486">
        <v>1.71</v>
      </c>
      <c r="E486">
        <f t="shared" si="21"/>
        <v>40000000</v>
      </c>
      <c r="F486">
        <f t="shared" si="22"/>
        <v>340</v>
      </c>
      <c r="G486">
        <f t="shared" si="23"/>
        <v>584.79532163742692</v>
      </c>
    </row>
    <row r="487" spans="1:7" x14ac:dyDescent="0.35">
      <c r="A487">
        <v>400</v>
      </c>
      <c r="B487">
        <v>350</v>
      </c>
      <c r="C487">
        <v>1.75</v>
      </c>
      <c r="E487">
        <f t="shared" si="21"/>
        <v>40000000</v>
      </c>
      <c r="F487">
        <f t="shared" si="22"/>
        <v>350</v>
      </c>
      <c r="G487">
        <f t="shared" si="23"/>
        <v>571.42857142857133</v>
      </c>
    </row>
    <row r="488" spans="1:7" x14ac:dyDescent="0.35">
      <c r="A488">
        <v>400</v>
      </c>
      <c r="B488">
        <v>360</v>
      </c>
      <c r="C488">
        <v>1.8</v>
      </c>
      <c r="E488">
        <f t="shared" si="21"/>
        <v>40000000</v>
      </c>
      <c r="F488">
        <f t="shared" si="22"/>
        <v>360</v>
      </c>
      <c r="G488">
        <f t="shared" si="23"/>
        <v>555.55555555555554</v>
      </c>
    </row>
    <row r="489" spans="1:7" x14ac:dyDescent="0.35">
      <c r="A489">
        <v>400</v>
      </c>
      <c r="B489">
        <v>370</v>
      </c>
      <c r="C489">
        <v>1.84</v>
      </c>
      <c r="E489">
        <f t="shared" si="21"/>
        <v>40000000</v>
      </c>
      <c r="F489">
        <f t="shared" si="22"/>
        <v>370</v>
      </c>
      <c r="G489">
        <f t="shared" si="23"/>
        <v>543.47826086956525</v>
      </c>
    </row>
    <row r="490" spans="1:7" x14ac:dyDescent="0.35">
      <c r="A490">
        <v>400</v>
      </c>
      <c r="B490">
        <v>380</v>
      </c>
      <c r="C490">
        <v>1.9</v>
      </c>
      <c r="E490">
        <f t="shared" si="21"/>
        <v>40000000</v>
      </c>
      <c r="F490">
        <f t="shared" si="22"/>
        <v>380</v>
      </c>
      <c r="G490">
        <f t="shared" si="23"/>
        <v>526.31578947368416</v>
      </c>
    </row>
    <row r="491" spans="1:7" x14ac:dyDescent="0.35">
      <c r="A491">
        <v>400</v>
      </c>
      <c r="B491">
        <v>390</v>
      </c>
      <c r="C491">
        <v>1.96</v>
      </c>
      <c r="E491">
        <f t="shared" si="21"/>
        <v>40000000</v>
      </c>
      <c r="F491">
        <f t="shared" si="22"/>
        <v>390</v>
      </c>
      <c r="G491">
        <f t="shared" si="23"/>
        <v>510.20408163265313</v>
      </c>
    </row>
    <row r="492" spans="1:7" x14ac:dyDescent="0.35">
      <c r="A492">
        <v>400</v>
      </c>
      <c r="B492">
        <v>400</v>
      </c>
      <c r="C492">
        <v>2.02</v>
      </c>
      <c r="E492">
        <f t="shared" si="21"/>
        <v>40000000</v>
      </c>
      <c r="F492">
        <f t="shared" si="22"/>
        <v>400</v>
      </c>
      <c r="G492">
        <f t="shared" si="23"/>
        <v>495.04950495049508</v>
      </c>
    </row>
    <row r="493" spans="1:7" x14ac:dyDescent="0.35">
      <c r="A493">
        <v>400</v>
      </c>
      <c r="B493">
        <v>420</v>
      </c>
      <c r="C493">
        <v>2.1800000000000002</v>
      </c>
      <c r="E493">
        <f t="shared" si="21"/>
        <v>40000000</v>
      </c>
      <c r="F493">
        <f t="shared" si="22"/>
        <v>420</v>
      </c>
      <c r="G493">
        <f t="shared" si="23"/>
        <v>458.71559633027522</v>
      </c>
    </row>
    <row r="494" spans="1:7" x14ac:dyDescent="0.35">
      <c r="A494">
        <v>400</v>
      </c>
      <c r="B494">
        <v>440</v>
      </c>
      <c r="C494">
        <v>2.38</v>
      </c>
      <c r="E494">
        <f t="shared" si="21"/>
        <v>40000000</v>
      </c>
      <c r="F494">
        <f t="shared" si="22"/>
        <v>440</v>
      </c>
      <c r="G494">
        <f t="shared" si="23"/>
        <v>420.1680672268908</v>
      </c>
    </row>
    <row r="495" spans="1:7" x14ac:dyDescent="0.35">
      <c r="A495">
        <v>400</v>
      </c>
      <c r="B495">
        <v>460</v>
      </c>
      <c r="C495">
        <v>2.62</v>
      </c>
      <c r="E495">
        <f t="shared" si="21"/>
        <v>40000000</v>
      </c>
      <c r="F495">
        <f t="shared" si="22"/>
        <v>460</v>
      </c>
      <c r="G495">
        <f t="shared" si="23"/>
        <v>381.67938931297709</v>
      </c>
    </row>
    <row r="496" spans="1:7" x14ac:dyDescent="0.35">
      <c r="A496">
        <v>400</v>
      </c>
      <c r="B496">
        <v>480</v>
      </c>
      <c r="C496">
        <v>2.94</v>
      </c>
      <c r="E496">
        <f t="shared" si="21"/>
        <v>40000000</v>
      </c>
      <c r="F496">
        <f t="shared" si="22"/>
        <v>480</v>
      </c>
      <c r="G496">
        <f t="shared" si="23"/>
        <v>340.13605442176868</v>
      </c>
    </row>
    <row r="497" spans="1:7" x14ac:dyDescent="0.35">
      <c r="A497">
        <v>400</v>
      </c>
      <c r="B497">
        <v>500</v>
      </c>
      <c r="C497">
        <v>3.34</v>
      </c>
      <c r="E497">
        <f t="shared" si="21"/>
        <v>40000000</v>
      </c>
      <c r="F497">
        <f t="shared" si="22"/>
        <v>500</v>
      </c>
      <c r="G497">
        <f t="shared" si="23"/>
        <v>299.40119760479047</v>
      </c>
    </row>
    <row r="498" spans="1:7" x14ac:dyDescent="0.35">
      <c r="A498">
        <v>400</v>
      </c>
      <c r="B498">
        <v>520</v>
      </c>
      <c r="C498">
        <v>3.8</v>
      </c>
      <c r="E498">
        <f t="shared" si="21"/>
        <v>40000000</v>
      </c>
      <c r="F498">
        <f t="shared" si="22"/>
        <v>520</v>
      </c>
      <c r="G498">
        <f t="shared" si="23"/>
        <v>263.15789473684208</v>
      </c>
    </row>
    <row r="499" spans="1:7" x14ac:dyDescent="0.35">
      <c r="A499">
        <v>400</v>
      </c>
      <c r="B499">
        <v>540</v>
      </c>
      <c r="C499">
        <v>4.2699999999999996</v>
      </c>
      <c r="E499">
        <f t="shared" si="21"/>
        <v>40000000</v>
      </c>
      <c r="F499">
        <f t="shared" si="22"/>
        <v>540</v>
      </c>
      <c r="G499">
        <f t="shared" si="23"/>
        <v>234.19203747072604</v>
      </c>
    </row>
    <row r="500" spans="1:7" x14ac:dyDescent="0.35">
      <c r="A500">
        <v>400</v>
      </c>
      <c r="B500">
        <v>560</v>
      </c>
      <c r="C500">
        <v>4.76</v>
      </c>
      <c r="E500">
        <f t="shared" si="21"/>
        <v>40000000</v>
      </c>
      <c r="F500">
        <f t="shared" si="22"/>
        <v>560</v>
      </c>
      <c r="G500">
        <f t="shared" si="23"/>
        <v>210.0840336134454</v>
      </c>
    </row>
    <row r="501" spans="1:7" x14ac:dyDescent="0.35">
      <c r="A501">
        <v>450</v>
      </c>
      <c r="B501">
        <v>310</v>
      </c>
      <c r="C501">
        <v>1.6</v>
      </c>
      <c r="E501">
        <f t="shared" si="21"/>
        <v>45000000</v>
      </c>
      <c r="F501">
        <f t="shared" si="22"/>
        <v>310</v>
      </c>
      <c r="G501">
        <f t="shared" si="23"/>
        <v>625</v>
      </c>
    </row>
    <row r="502" spans="1:7" x14ac:dyDescent="0.35">
      <c r="A502">
        <v>450</v>
      </c>
      <c r="B502">
        <v>320</v>
      </c>
      <c r="C502">
        <v>1.63</v>
      </c>
      <c r="E502">
        <f t="shared" si="21"/>
        <v>45000000</v>
      </c>
      <c r="F502">
        <f t="shared" si="22"/>
        <v>320</v>
      </c>
      <c r="G502">
        <f t="shared" si="23"/>
        <v>613.49693251533745</v>
      </c>
    </row>
    <row r="503" spans="1:7" x14ac:dyDescent="0.35">
      <c r="A503">
        <v>450</v>
      </c>
      <c r="B503">
        <v>330</v>
      </c>
      <c r="C503">
        <v>1.66</v>
      </c>
      <c r="E503">
        <f t="shared" si="21"/>
        <v>45000000</v>
      </c>
      <c r="F503">
        <f t="shared" si="22"/>
        <v>330</v>
      </c>
      <c r="G503">
        <f t="shared" si="23"/>
        <v>602.40963855421694</v>
      </c>
    </row>
    <row r="504" spans="1:7" x14ac:dyDescent="0.35">
      <c r="A504">
        <v>450</v>
      </c>
      <c r="B504">
        <v>340</v>
      </c>
      <c r="C504">
        <v>1.7</v>
      </c>
      <c r="E504">
        <f t="shared" si="21"/>
        <v>45000000</v>
      </c>
      <c r="F504">
        <f t="shared" si="22"/>
        <v>340</v>
      </c>
      <c r="G504">
        <f t="shared" si="23"/>
        <v>588.23529411764707</v>
      </c>
    </row>
    <row r="505" spans="1:7" x14ac:dyDescent="0.35">
      <c r="A505">
        <v>450</v>
      </c>
      <c r="B505">
        <v>350</v>
      </c>
      <c r="C505">
        <v>1.74</v>
      </c>
      <c r="E505">
        <f t="shared" si="21"/>
        <v>45000000</v>
      </c>
      <c r="F505">
        <f t="shared" si="22"/>
        <v>350</v>
      </c>
      <c r="G505">
        <f t="shared" si="23"/>
        <v>574.71264367816093</v>
      </c>
    </row>
    <row r="506" spans="1:7" x14ac:dyDescent="0.35">
      <c r="A506">
        <v>450</v>
      </c>
      <c r="B506">
        <v>360</v>
      </c>
      <c r="C506">
        <v>1.78</v>
      </c>
      <c r="E506">
        <f t="shared" si="21"/>
        <v>45000000</v>
      </c>
      <c r="F506">
        <f t="shared" si="22"/>
        <v>360</v>
      </c>
      <c r="G506">
        <f t="shared" si="23"/>
        <v>561.79775280898878</v>
      </c>
    </row>
    <row r="507" spans="1:7" x14ac:dyDescent="0.35">
      <c r="A507">
        <v>450</v>
      </c>
      <c r="B507">
        <v>370</v>
      </c>
      <c r="C507">
        <v>1.83</v>
      </c>
      <c r="E507">
        <f t="shared" si="21"/>
        <v>45000000</v>
      </c>
      <c r="F507">
        <f t="shared" si="22"/>
        <v>370</v>
      </c>
      <c r="G507">
        <f t="shared" si="23"/>
        <v>546.44808743169403</v>
      </c>
    </row>
    <row r="508" spans="1:7" x14ac:dyDescent="0.35">
      <c r="A508">
        <v>450</v>
      </c>
      <c r="B508">
        <v>380</v>
      </c>
      <c r="C508">
        <v>1.87</v>
      </c>
      <c r="E508">
        <f t="shared" si="21"/>
        <v>45000000</v>
      </c>
      <c r="F508">
        <f t="shared" si="22"/>
        <v>380</v>
      </c>
      <c r="G508">
        <f t="shared" si="23"/>
        <v>534.75935828876993</v>
      </c>
    </row>
    <row r="509" spans="1:7" x14ac:dyDescent="0.35">
      <c r="A509">
        <v>450</v>
      </c>
      <c r="B509">
        <v>390</v>
      </c>
      <c r="C509">
        <v>1.93</v>
      </c>
      <c r="E509">
        <f t="shared" si="21"/>
        <v>45000000</v>
      </c>
      <c r="F509">
        <f t="shared" si="22"/>
        <v>390</v>
      </c>
      <c r="G509">
        <f t="shared" si="23"/>
        <v>518.13471502590687</v>
      </c>
    </row>
    <row r="510" spans="1:7" x14ac:dyDescent="0.35">
      <c r="A510">
        <v>450</v>
      </c>
      <c r="B510">
        <v>400</v>
      </c>
      <c r="C510">
        <v>1.99</v>
      </c>
      <c r="E510">
        <f t="shared" si="21"/>
        <v>45000000</v>
      </c>
      <c r="F510">
        <f t="shared" si="22"/>
        <v>400</v>
      </c>
      <c r="G510">
        <f t="shared" si="23"/>
        <v>502.51256281407029</v>
      </c>
    </row>
    <row r="511" spans="1:7" x14ac:dyDescent="0.35">
      <c r="A511">
        <v>450</v>
      </c>
      <c r="B511">
        <v>420</v>
      </c>
      <c r="C511">
        <v>2.12</v>
      </c>
      <c r="E511">
        <f t="shared" si="21"/>
        <v>45000000</v>
      </c>
      <c r="F511">
        <f t="shared" si="22"/>
        <v>420</v>
      </c>
      <c r="G511">
        <f t="shared" si="23"/>
        <v>471.69811320754712</v>
      </c>
    </row>
    <row r="512" spans="1:7" x14ac:dyDescent="0.35">
      <c r="A512">
        <v>450</v>
      </c>
      <c r="B512">
        <v>440</v>
      </c>
      <c r="C512">
        <v>2.2999999999999998</v>
      </c>
      <c r="E512">
        <f t="shared" si="21"/>
        <v>45000000</v>
      </c>
      <c r="F512">
        <f t="shared" si="22"/>
        <v>440</v>
      </c>
      <c r="G512">
        <f t="shared" si="23"/>
        <v>434.78260869565224</v>
      </c>
    </row>
    <row r="513" spans="1:7" x14ac:dyDescent="0.35">
      <c r="A513">
        <v>450</v>
      </c>
      <c r="B513">
        <v>460</v>
      </c>
      <c r="C513">
        <v>2.5</v>
      </c>
      <c r="E513">
        <f t="shared" si="21"/>
        <v>45000000</v>
      </c>
      <c r="F513">
        <f t="shared" si="22"/>
        <v>460</v>
      </c>
      <c r="G513">
        <f t="shared" si="23"/>
        <v>400</v>
      </c>
    </row>
    <row r="514" spans="1:7" x14ac:dyDescent="0.35">
      <c r="A514">
        <v>450</v>
      </c>
      <c r="B514">
        <v>480</v>
      </c>
      <c r="C514">
        <v>2.75</v>
      </c>
      <c r="E514">
        <f t="shared" ref="E514:E577" si="24">A514*100000</f>
        <v>45000000</v>
      </c>
      <c r="F514">
        <f t="shared" si="22"/>
        <v>480</v>
      </c>
      <c r="G514">
        <f t="shared" si="23"/>
        <v>363.63636363636368</v>
      </c>
    </row>
    <row r="515" spans="1:7" x14ac:dyDescent="0.35">
      <c r="A515">
        <v>450</v>
      </c>
      <c r="B515">
        <v>500</v>
      </c>
      <c r="C515">
        <v>3.07</v>
      </c>
      <c r="E515">
        <f t="shared" si="24"/>
        <v>45000000</v>
      </c>
      <c r="F515">
        <f t="shared" ref="F515:F578" si="25">B515</f>
        <v>500</v>
      </c>
      <c r="G515">
        <f t="shared" ref="G515:G578" si="26">1/C515*0.001*1000000</f>
        <v>325.73289902280129</v>
      </c>
    </row>
    <row r="516" spans="1:7" x14ac:dyDescent="0.35">
      <c r="A516">
        <v>450</v>
      </c>
      <c r="B516">
        <v>520</v>
      </c>
      <c r="C516">
        <v>3.44</v>
      </c>
      <c r="E516">
        <f t="shared" si="24"/>
        <v>45000000</v>
      </c>
      <c r="F516">
        <f t="shared" si="25"/>
        <v>520</v>
      </c>
      <c r="G516">
        <f t="shared" si="26"/>
        <v>290.69767441860466</v>
      </c>
    </row>
    <row r="517" spans="1:7" x14ac:dyDescent="0.35">
      <c r="A517">
        <v>450</v>
      </c>
      <c r="B517">
        <v>540</v>
      </c>
      <c r="C517">
        <v>3.83</v>
      </c>
      <c r="E517">
        <f t="shared" si="24"/>
        <v>45000000</v>
      </c>
      <c r="F517">
        <f t="shared" si="25"/>
        <v>540</v>
      </c>
      <c r="G517">
        <f t="shared" si="26"/>
        <v>261.09660574412533</v>
      </c>
    </row>
    <row r="518" spans="1:7" x14ac:dyDescent="0.35">
      <c r="A518">
        <v>450</v>
      </c>
      <c r="B518">
        <v>560</v>
      </c>
      <c r="C518">
        <v>4.24</v>
      </c>
      <c r="E518">
        <f t="shared" si="24"/>
        <v>45000000</v>
      </c>
      <c r="F518">
        <f t="shared" si="25"/>
        <v>560</v>
      </c>
      <c r="G518">
        <f t="shared" si="26"/>
        <v>235.84905660377356</v>
      </c>
    </row>
    <row r="519" spans="1:7" x14ac:dyDescent="0.35">
      <c r="A519">
        <v>500</v>
      </c>
      <c r="B519">
        <v>310</v>
      </c>
      <c r="C519">
        <v>1.59</v>
      </c>
      <c r="E519">
        <f t="shared" si="24"/>
        <v>50000000</v>
      </c>
      <c r="F519">
        <f t="shared" si="25"/>
        <v>310</v>
      </c>
      <c r="G519">
        <f t="shared" si="26"/>
        <v>628.93081761006283</v>
      </c>
    </row>
    <row r="520" spans="1:7" x14ac:dyDescent="0.35">
      <c r="A520">
        <v>500</v>
      </c>
      <c r="B520">
        <v>320</v>
      </c>
      <c r="C520">
        <v>1.62</v>
      </c>
      <c r="E520">
        <f t="shared" si="24"/>
        <v>50000000</v>
      </c>
      <c r="F520">
        <f t="shared" si="25"/>
        <v>320</v>
      </c>
      <c r="G520">
        <f t="shared" si="26"/>
        <v>617.28395061728395</v>
      </c>
    </row>
    <row r="521" spans="1:7" x14ac:dyDescent="0.35">
      <c r="A521">
        <v>500</v>
      </c>
      <c r="B521">
        <v>330</v>
      </c>
      <c r="C521">
        <v>1.65</v>
      </c>
      <c r="E521">
        <f t="shared" si="24"/>
        <v>50000000</v>
      </c>
      <c r="F521">
        <f t="shared" si="25"/>
        <v>330</v>
      </c>
      <c r="G521">
        <f t="shared" si="26"/>
        <v>606.06060606060601</v>
      </c>
    </row>
    <row r="522" spans="1:7" x14ac:dyDescent="0.35">
      <c r="A522">
        <v>500</v>
      </c>
      <c r="B522">
        <v>340</v>
      </c>
      <c r="C522">
        <v>1.68</v>
      </c>
      <c r="E522">
        <f t="shared" si="24"/>
        <v>50000000</v>
      </c>
      <c r="F522">
        <f t="shared" si="25"/>
        <v>340</v>
      </c>
      <c r="G522">
        <f t="shared" si="26"/>
        <v>595.2380952380953</v>
      </c>
    </row>
    <row r="523" spans="1:7" x14ac:dyDescent="0.35">
      <c r="A523">
        <v>500</v>
      </c>
      <c r="B523">
        <v>350</v>
      </c>
      <c r="C523">
        <v>1.72</v>
      </c>
      <c r="E523">
        <f t="shared" si="24"/>
        <v>50000000</v>
      </c>
      <c r="F523">
        <f t="shared" si="25"/>
        <v>350</v>
      </c>
      <c r="G523">
        <f t="shared" si="26"/>
        <v>581.39534883720933</v>
      </c>
    </row>
    <row r="524" spans="1:7" x14ac:dyDescent="0.35">
      <c r="A524">
        <v>500</v>
      </c>
      <c r="B524">
        <v>360</v>
      </c>
      <c r="C524">
        <v>1.76</v>
      </c>
      <c r="E524">
        <f t="shared" si="24"/>
        <v>50000000</v>
      </c>
      <c r="F524">
        <f t="shared" si="25"/>
        <v>360</v>
      </c>
      <c r="G524">
        <f t="shared" si="26"/>
        <v>568.18181818181824</v>
      </c>
    </row>
    <row r="525" spans="1:7" x14ac:dyDescent="0.35">
      <c r="A525">
        <v>500</v>
      </c>
      <c r="B525">
        <v>370</v>
      </c>
      <c r="C525">
        <v>1.81</v>
      </c>
      <c r="E525">
        <f t="shared" si="24"/>
        <v>50000000</v>
      </c>
      <c r="F525">
        <f t="shared" si="25"/>
        <v>370</v>
      </c>
      <c r="G525">
        <f t="shared" si="26"/>
        <v>552.4861878453039</v>
      </c>
    </row>
    <row r="526" spans="1:7" x14ac:dyDescent="0.35">
      <c r="A526">
        <v>500</v>
      </c>
      <c r="B526">
        <v>380</v>
      </c>
      <c r="C526">
        <v>1.86</v>
      </c>
      <c r="E526">
        <f t="shared" si="24"/>
        <v>50000000</v>
      </c>
      <c r="F526">
        <f t="shared" si="25"/>
        <v>380</v>
      </c>
      <c r="G526">
        <f t="shared" si="26"/>
        <v>537.63440860215053</v>
      </c>
    </row>
    <row r="527" spans="1:7" x14ac:dyDescent="0.35">
      <c r="A527">
        <v>500</v>
      </c>
      <c r="B527">
        <v>390</v>
      </c>
      <c r="C527">
        <v>1.91</v>
      </c>
      <c r="E527">
        <f t="shared" si="24"/>
        <v>50000000</v>
      </c>
      <c r="F527">
        <f t="shared" si="25"/>
        <v>390</v>
      </c>
      <c r="G527">
        <f t="shared" si="26"/>
        <v>523.56020942408384</v>
      </c>
    </row>
    <row r="528" spans="1:7" x14ac:dyDescent="0.35">
      <c r="A528">
        <v>500</v>
      </c>
      <c r="B528">
        <v>400</v>
      </c>
      <c r="C528">
        <v>1.96</v>
      </c>
      <c r="E528">
        <f t="shared" si="24"/>
        <v>50000000</v>
      </c>
      <c r="F528">
        <f t="shared" si="25"/>
        <v>400</v>
      </c>
      <c r="G528">
        <f t="shared" si="26"/>
        <v>510.20408163265313</v>
      </c>
    </row>
    <row r="529" spans="1:7" x14ac:dyDescent="0.35">
      <c r="A529">
        <v>500</v>
      </c>
      <c r="B529">
        <v>420</v>
      </c>
      <c r="C529">
        <v>2.08</v>
      </c>
      <c r="E529">
        <f t="shared" si="24"/>
        <v>50000000</v>
      </c>
      <c r="F529">
        <f t="shared" si="25"/>
        <v>420</v>
      </c>
      <c r="G529">
        <f t="shared" si="26"/>
        <v>480.76923076923072</v>
      </c>
    </row>
    <row r="530" spans="1:7" x14ac:dyDescent="0.35">
      <c r="A530">
        <v>500</v>
      </c>
      <c r="B530">
        <v>440</v>
      </c>
      <c r="C530">
        <v>2.23</v>
      </c>
      <c r="E530">
        <f t="shared" si="24"/>
        <v>50000000</v>
      </c>
      <c r="F530">
        <f t="shared" si="25"/>
        <v>440</v>
      </c>
      <c r="G530">
        <f t="shared" si="26"/>
        <v>448.4304932735426</v>
      </c>
    </row>
    <row r="531" spans="1:7" x14ac:dyDescent="0.35">
      <c r="A531">
        <v>500</v>
      </c>
      <c r="B531">
        <v>460</v>
      </c>
      <c r="C531">
        <v>2.4</v>
      </c>
      <c r="E531">
        <f t="shared" si="24"/>
        <v>50000000</v>
      </c>
      <c r="F531">
        <f t="shared" si="25"/>
        <v>460</v>
      </c>
      <c r="G531">
        <f t="shared" si="26"/>
        <v>416.66666666666669</v>
      </c>
    </row>
    <row r="532" spans="1:7" x14ac:dyDescent="0.35">
      <c r="A532">
        <v>500</v>
      </c>
      <c r="B532">
        <v>480</v>
      </c>
      <c r="C532">
        <v>2.63</v>
      </c>
      <c r="E532">
        <f t="shared" si="24"/>
        <v>50000000</v>
      </c>
      <c r="F532">
        <f t="shared" si="25"/>
        <v>480</v>
      </c>
      <c r="G532">
        <f t="shared" si="26"/>
        <v>380.22813688212932</v>
      </c>
    </row>
    <row r="533" spans="1:7" x14ac:dyDescent="0.35">
      <c r="A533">
        <v>500</v>
      </c>
      <c r="B533">
        <v>500</v>
      </c>
      <c r="C533">
        <v>2.87</v>
      </c>
      <c r="E533">
        <f t="shared" si="24"/>
        <v>50000000</v>
      </c>
      <c r="F533">
        <f t="shared" si="25"/>
        <v>500</v>
      </c>
      <c r="G533">
        <f t="shared" si="26"/>
        <v>348.43205574912889</v>
      </c>
    </row>
    <row r="534" spans="1:7" x14ac:dyDescent="0.35">
      <c r="A534">
        <v>500</v>
      </c>
      <c r="B534">
        <v>520</v>
      </c>
      <c r="C534">
        <v>3.16</v>
      </c>
      <c r="E534">
        <f t="shared" si="24"/>
        <v>50000000</v>
      </c>
      <c r="F534">
        <f t="shared" si="25"/>
        <v>520</v>
      </c>
      <c r="G534">
        <f t="shared" si="26"/>
        <v>316.45569620253161</v>
      </c>
    </row>
    <row r="535" spans="1:7" x14ac:dyDescent="0.35">
      <c r="A535">
        <v>500</v>
      </c>
      <c r="B535">
        <v>540</v>
      </c>
      <c r="C535">
        <v>3.49</v>
      </c>
      <c r="E535">
        <f t="shared" si="24"/>
        <v>50000000</v>
      </c>
      <c r="F535">
        <f t="shared" si="25"/>
        <v>540</v>
      </c>
      <c r="G535">
        <f t="shared" si="26"/>
        <v>286.53295128939828</v>
      </c>
    </row>
    <row r="536" spans="1:7" x14ac:dyDescent="0.35">
      <c r="A536">
        <v>500</v>
      </c>
      <c r="B536">
        <v>560</v>
      </c>
      <c r="C536">
        <v>3.83</v>
      </c>
      <c r="E536">
        <f t="shared" si="24"/>
        <v>50000000</v>
      </c>
      <c r="F536">
        <f t="shared" si="25"/>
        <v>560</v>
      </c>
      <c r="G536">
        <f t="shared" si="26"/>
        <v>261.09660574412533</v>
      </c>
    </row>
    <row r="537" spans="1:7" x14ac:dyDescent="0.35">
      <c r="A537">
        <v>550</v>
      </c>
      <c r="B537">
        <v>310</v>
      </c>
      <c r="C537">
        <v>1.58</v>
      </c>
      <c r="E537">
        <f t="shared" si="24"/>
        <v>55000000</v>
      </c>
      <c r="F537">
        <f t="shared" si="25"/>
        <v>310</v>
      </c>
      <c r="G537">
        <f t="shared" si="26"/>
        <v>632.91139240506322</v>
      </c>
    </row>
    <row r="538" spans="1:7" x14ac:dyDescent="0.35">
      <c r="A538">
        <v>550</v>
      </c>
      <c r="B538">
        <v>320</v>
      </c>
      <c r="C538">
        <v>1.61</v>
      </c>
      <c r="E538">
        <f t="shared" si="24"/>
        <v>55000000</v>
      </c>
      <c r="F538">
        <f t="shared" si="25"/>
        <v>320</v>
      </c>
      <c r="G538">
        <f t="shared" si="26"/>
        <v>621.11801242236015</v>
      </c>
    </row>
    <row r="539" spans="1:7" x14ac:dyDescent="0.35">
      <c r="A539">
        <v>550</v>
      </c>
      <c r="B539">
        <v>330</v>
      </c>
      <c r="C539">
        <v>1.64</v>
      </c>
      <c r="E539">
        <f t="shared" si="24"/>
        <v>55000000</v>
      </c>
      <c r="F539">
        <f t="shared" si="25"/>
        <v>330</v>
      </c>
      <c r="G539">
        <f t="shared" si="26"/>
        <v>609.7560975609756</v>
      </c>
    </row>
    <row r="540" spans="1:7" x14ac:dyDescent="0.35">
      <c r="A540">
        <v>550</v>
      </c>
      <c r="B540">
        <v>340</v>
      </c>
      <c r="C540">
        <v>1.67</v>
      </c>
      <c r="E540">
        <f t="shared" si="24"/>
        <v>55000000</v>
      </c>
      <c r="F540">
        <f t="shared" si="25"/>
        <v>340</v>
      </c>
      <c r="G540">
        <f t="shared" si="26"/>
        <v>598.80239520958094</v>
      </c>
    </row>
    <row r="541" spans="1:7" x14ac:dyDescent="0.35">
      <c r="A541">
        <v>550</v>
      </c>
      <c r="B541">
        <v>350</v>
      </c>
      <c r="C541">
        <v>1.71</v>
      </c>
      <c r="E541">
        <f t="shared" si="24"/>
        <v>55000000</v>
      </c>
      <c r="F541">
        <f t="shared" si="25"/>
        <v>350</v>
      </c>
      <c r="G541">
        <f t="shared" si="26"/>
        <v>584.79532163742692</v>
      </c>
    </row>
    <row r="542" spans="1:7" x14ac:dyDescent="0.35">
      <c r="A542">
        <v>550</v>
      </c>
      <c r="B542">
        <v>360</v>
      </c>
      <c r="C542">
        <v>1.74</v>
      </c>
      <c r="E542">
        <f t="shared" si="24"/>
        <v>55000000</v>
      </c>
      <c r="F542">
        <f t="shared" si="25"/>
        <v>360</v>
      </c>
      <c r="G542">
        <f t="shared" si="26"/>
        <v>574.71264367816093</v>
      </c>
    </row>
    <row r="543" spans="1:7" x14ac:dyDescent="0.35">
      <c r="A543">
        <v>550</v>
      </c>
      <c r="B543">
        <v>370</v>
      </c>
      <c r="C543">
        <v>1.78</v>
      </c>
      <c r="E543">
        <f t="shared" si="24"/>
        <v>55000000</v>
      </c>
      <c r="F543">
        <f t="shared" si="25"/>
        <v>370</v>
      </c>
      <c r="G543">
        <f t="shared" si="26"/>
        <v>561.79775280898878</v>
      </c>
    </row>
    <row r="544" spans="1:7" x14ac:dyDescent="0.35">
      <c r="A544">
        <v>550</v>
      </c>
      <c r="B544">
        <v>380</v>
      </c>
      <c r="C544">
        <v>1.83</v>
      </c>
      <c r="E544">
        <f t="shared" si="24"/>
        <v>55000000</v>
      </c>
      <c r="F544">
        <f t="shared" si="25"/>
        <v>380</v>
      </c>
      <c r="G544">
        <f t="shared" si="26"/>
        <v>546.44808743169403</v>
      </c>
    </row>
    <row r="545" spans="1:7" x14ac:dyDescent="0.35">
      <c r="A545">
        <v>550</v>
      </c>
      <c r="B545">
        <v>390</v>
      </c>
      <c r="C545">
        <v>1.88</v>
      </c>
      <c r="E545">
        <f t="shared" si="24"/>
        <v>55000000</v>
      </c>
      <c r="F545">
        <f t="shared" si="25"/>
        <v>390</v>
      </c>
      <c r="G545">
        <f t="shared" si="26"/>
        <v>531.91489361702133</v>
      </c>
    </row>
    <row r="546" spans="1:7" x14ac:dyDescent="0.35">
      <c r="A546">
        <v>550</v>
      </c>
      <c r="B546">
        <v>400</v>
      </c>
      <c r="C546">
        <v>1.94</v>
      </c>
      <c r="E546">
        <f t="shared" si="24"/>
        <v>55000000</v>
      </c>
      <c r="F546">
        <f t="shared" si="25"/>
        <v>400</v>
      </c>
      <c r="G546">
        <f t="shared" si="26"/>
        <v>515.46391752577335</v>
      </c>
    </row>
    <row r="547" spans="1:7" x14ac:dyDescent="0.35">
      <c r="A547">
        <v>550</v>
      </c>
      <c r="B547">
        <v>420</v>
      </c>
      <c r="C547">
        <v>2.04</v>
      </c>
      <c r="E547">
        <f t="shared" si="24"/>
        <v>55000000</v>
      </c>
      <c r="F547">
        <f t="shared" si="25"/>
        <v>420</v>
      </c>
      <c r="G547">
        <f t="shared" si="26"/>
        <v>490.19607843137254</v>
      </c>
    </row>
    <row r="548" spans="1:7" x14ac:dyDescent="0.35">
      <c r="A548">
        <v>550</v>
      </c>
      <c r="B548">
        <v>440</v>
      </c>
      <c r="C548">
        <v>2.17</v>
      </c>
      <c r="E548">
        <f t="shared" si="24"/>
        <v>55000000</v>
      </c>
      <c r="F548">
        <f t="shared" si="25"/>
        <v>440</v>
      </c>
      <c r="G548">
        <f t="shared" si="26"/>
        <v>460.82949308755758</v>
      </c>
    </row>
    <row r="549" spans="1:7" x14ac:dyDescent="0.35">
      <c r="A549">
        <v>550</v>
      </c>
      <c r="B549">
        <v>460</v>
      </c>
      <c r="C549">
        <v>2.3199999999999998</v>
      </c>
      <c r="E549">
        <f t="shared" si="24"/>
        <v>55000000</v>
      </c>
      <c r="F549">
        <f t="shared" si="25"/>
        <v>460</v>
      </c>
      <c r="G549">
        <f t="shared" si="26"/>
        <v>431.03448275862075</v>
      </c>
    </row>
    <row r="550" spans="1:7" x14ac:dyDescent="0.35">
      <c r="A550">
        <v>550</v>
      </c>
      <c r="B550">
        <v>480</v>
      </c>
      <c r="C550">
        <v>2.52</v>
      </c>
      <c r="E550">
        <f t="shared" si="24"/>
        <v>55000000</v>
      </c>
      <c r="F550">
        <f t="shared" si="25"/>
        <v>480</v>
      </c>
      <c r="G550">
        <f t="shared" si="26"/>
        <v>396.82539682539681</v>
      </c>
    </row>
    <row r="551" spans="1:7" x14ac:dyDescent="0.35">
      <c r="A551">
        <v>550</v>
      </c>
      <c r="B551">
        <v>500</v>
      </c>
      <c r="C551">
        <v>2.78</v>
      </c>
      <c r="E551">
        <f t="shared" si="24"/>
        <v>55000000</v>
      </c>
      <c r="F551">
        <f t="shared" si="25"/>
        <v>500</v>
      </c>
      <c r="G551">
        <f t="shared" si="26"/>
        <v>359.71223021582739</v>
      </c>
    </row>
    <row r="552" spans="1:7" x14ac:dyDescent="0.35">
      <c r="A552">
        <v>550</v>
      </c>
      <c r="B552">
        <v>520</v>
      </c>
      <c r="C552">
        <v>2.97</v>
      </c>
      <c r="E552">
        <f t="shared" si="24"/>
        <v>55000000</v>
      </c>
      <c r="F552">
        <f t="shared" si="25"/>
        <v>520</v>
      </c>
      <c r="G552">
        <f t="shared" si="26"/>
        <v>336.70033670033666</v>
      </c>
    </row>
    <row r="553" spans="1:7" x14ac:dyDescent="0.35">
      <c r="A553">
        <v>550</v>
      </c>
      <c r="B553">
        <v>540</v>
      </c>
      <c r="C553">
        <v>3.24</v>
      </c>
      <c r="E553">
        <f t="shared" si="24"/>
        <v>55000000</v>
      </c>
      <c r="F553">
        <f t="shared" si="25"/>
        <v>540</v>
      </c>
      <c r="G553">
        <f t="shared" si="26"/>
        <v>308.64197530864197</v>
      </c>
    </row>
    <row r="554" spans="1:7" x14ac:dyDescent="0.35">
      <c r="A554">
        <v>550</v>
      </c>
      <c r="B554">
        <v>560</v>
      </c>
      <c r="C554">
        <v>3.53</v>
      </c>
      <c r="E554">
        <f t="shared" si="24"/>
        <v>55000000</v>
      </c>
      <c r="F554">
        <f t="shared" si="25"/>
        <v>560</v>
      </c>
      <c r="G554">
        <f t="shared" si="26"/>
        <v>283.28611898016999</v>
      </c>
    </row>
    <row r="555" spans="1:7" x14ac:dyDescent="0.35">
      <c r="A555">
        <v>600</v>
      </c>
      <c r="B555">
        <v>310</v>
      </c>
      <c r="C555">
        <v>1.57</v>
      </c>
      <c r="E555">
        <f t="shared" si="24"/>
        <v>60000000</v>
      </c>
      <c r="F555">
        <f t="shared" si="25"/>
        <v>310</v>
      </c>
      <c r="G555">
        <f t="shared" si="26"/>
        <v>636.94267515923559</v>
      </c>
    </row>
    <row r="556" spans="1:7" x14ac:dyDescent="0.35">
      <c r="A556">
        <v>600</v>
      </c>
      <c r="B556">
        <v>320</v>
      </c>
      <c r="C556">
        <v>1.6</v>
      </c>
      <c r="E556">
        <f t="shared" si="24"/>
        <v>60000000</v>
      </c>
      <c r="F556">
        <f t="shared" si="25"/>
        <v>320</v>
      </c>
      <c r="G556">
        <f t="shared" si="26"/>
        <v>625</v>
      </c>
    </row>
    <row r="557" spans="1:7" x14ac:dyDescent="0.35">
      <c r="A557">
        <v>600</v>
      </c>
      <c r="B557">
        <v>330</v>
      </c>
      <c r="C557">
        <v>1.63</v>
      </c>
      <c r="E557">
        <f t="shared" si="24"/>
        <v>60000000</v>
      </c>
      <c r="F557">
        <f t="shared" si="25"/>
        <v>330</v>
      </c>
      <c r="G557">
        <f t="shared" si="26"/>
        <v>613.49693251533745</v>
      </c>
    </row>
    <row r="558" spans="1:7" x14ac:dyDescent="0.35">
      <c r="A558">
        <v>600</v>
      </c>
      <c r="B558">
        <v>340</v>
      </c>
      <c r="C558">
        <v>1.66</v>
      </c>
      <c r="E558">
        <f t="shared" si="24"/>
        <v>60000000</v>
      </c>
      <c r="F558">
        <f t="shared" si="25"/>
        <v>340</v>
      </c>
      <c r="G558">
        <f t="shared" si="26"/>
        <v>602.40963855421694</v>
      </c>
    </row>
    <row r="559" spans="1:7" x14ac:dyDescent="0.35">
      <c r="A559">
        <v>600</v>
      </c>
      <c r="B559">
        <v>350</v>
      </c>
      <c r="C559">
        <v>1.7</v>
      </c>
      <c r="E559">
        <f t="shared" si="24"/>
        <v>60000000</v>
      </c>
      <c r="F559">
        <f t="shared" si="25"/>
        <v>350</v>
      </c>
      <c r="G559">
        <f t="shared" si="26"/>
        <v>588.23529411764707</v>
      </c>
    </row>
    <row r="560" spans="1:7" x14ac:dyDescent="0.35">
      <c r="A560">
        <v>600</v>
      </c>
      <c r="B560">
        <v>360</v>
      </c>
      <c r="C560">
        <v>1.73</v>
      </c>
      <c r="E560">
        <f t="shared" si="24"/>
        <v>60000000</v>
      </c>
      <c r="F560">
        <f t="shared" si="25"/>
        <v>360</v>
      </c>
      <c r="G560">
        <f t="shared" si="26"/>
        <v>578.03468208092488</v>
      </c>
    </row>
    <row r="561" spans="1:7" x14ac:dyDescent="0.35">
      <c r="A561">
        <v>600</v>
      </c>
      <c r="B561">
        <v>370</v>
      </c>
      <c r="C561">
        <v>1.77</v>
      </c>
      <c r="E561">
        <f t="shared" si="24"/>
        <v>60000000</v>
      </c>
      <c r="F561">
        <f t="shared" si="25"/>
        <v>370</v>
      </c>
      <c r="G561">
        <f t="shared" si="26"/>
        <v>564.9717514124294</v>
      </c>
    </row>
    <row r="562" spans="1:7" x14ac:dyDescent="0.35">
      <c r="A562">
        <v>600</v>
      </c>
      <c r="B562">
        <v>380</v>
      </c>
      <c r="C562">
        <v>1.81</v>
      </c>
      <c r="E562">
        <f t="shared" si="24"/>
        <v>60000000</v>
      </c>
      <c r="F562">
        <f t="shared" si="25"/>
        <v>380</v>
      </c>
      <c r="G562">
        <f t="shared" si="26"/>
        <v>552.4861878453039</v>
      </c>
    </row>
    <row r="563" spans="1:7" x14ac:dyDescent="0.35">
      <c r="A563">
        <v>600</v>
      </c>
      <c r="B563">
        <v>390</v>
      </c>
      <c r="C563">
        <v>1.86</v>
      </c>
      <c r="E563">
        <f t="shared" si="24"/>
        <v>60000000</v>
      </c>
      <c r="F563">
        <f t="shared" si="25"/>
        <v>390</v>
      </c>
      <c r="G563">
        <f t="shared" si="26"/>
        <v>537.63440860215053</v>
      </c>
    </row>
    <row r="564" spans="1:7" x14ac:dyDescent="0.35">
      <c r="A564">
        <v>600</v>
      </c>
      <c r="B564">
        <v>400</v>
      </c>
      <c r="C564">
        <v>1.91</v>
      </c>
      <c r="E564">
        <f t="shared" si="24"/>
        <v>60000000</v>
      </c>
      <c r="F564">
        <f t="shared" si="25"/>
        <v>400</v>
      </c>
      <c r="G564">
        <f t="shared" si="26"/>
        <v>523.56020942408384</v>
      </c>
    </row>
    <row r="565" spans="1:7" x14ac:dyDescent="0.35">
      <c r="A565">
        <v>600</v>
      </c>
      <c r="B565">
        <v>420</v>
      </c>
      <c r="C565">
        <v>2.0099999999999998</v>
      </c>
      <c r="E565">
        <f t="shared" si="24"/>
        <v>60000000</v>
      </c>
      <c r="F565">
        <f t="shared" si="25"/>
        <v>420</v>
      </c>
      <c r="G565">
        <f t="shared" si="26"/>
        <v>497.51243781094536</v>
      </c>
    </row>
    <row r="566" spans="1:7" x14ac:dyDescent="0.35">
      <c r="A566">
        <v>600</v>
      </c>
      <c r="B566">
        <v>440</v>
      </c>
      <c r="C566">
        <v>2.12</v>
      </c>
      <c r="E566">
        <f t="shared" si="24"/>
        <v>60000000</v>
      </c>
      <c r="F566">
        <f t="shared" si="25"/>
        <v>440</v>
      </c>
      <c r="G566">
        <f t="shared" si="26"/>
        <v>471.69811320754712</v>
      </c>
    </row>
    <row r="567" spans="1:7" x14ac:dyDescent="0.35">
      <c r="A567">
        <v>600</v>
      </c>
      <c r="B567">
        <v>460</v>
      </c>
      <c r="C567">
        <v>2.27</v>
      </c>
      <c r="E567">
        <f t="shared" si="24"/>
        <v>60000000</v>
      </c>
      <c r="F567">
        <f t="shared" si="25"/>
        <v>460</v>
      </c>
      <c r="G567">
        <f t="shared" si="26"/>
        <v>440.52863436123346</v>
      </c>
    </row>
    <row r="568" spans="1:7" x14ac:dyDescent="0.35">
      <c r="A568">
        <v>600</v>
      </c>
      <c r="B568">
        <v>480</v>
      </c>
      <c r="C568">
        <v>2.4300000000000002</v>
      </c>
      <c r="E568">
        <f t="shared" si="24"/>
        <v>60000000</v>
      </c>
      <c r="F568">
        <f t="shared" si="25"/>
        <v>480</v>
      </c>
      <c r="G568">
        <f t="shared" si="26"/>
        <v>411.52263374485597</v>
      </c>
    </row>
    <row r="569" spans="1:7" x14ac:dyDescent="0.35">
      <c r="A569">
        <v>600</v>
      </c>
      <c r="B569">
        <v>500</v>
      </c>
      <c r="C569">
        <v>2.61</v>
      </c>
      <c r="E569">
        <f t="shared" si="24"/>
        <v>60000000</v>
      </c>
      <c r="F569">
        <f t="shared" si="25"/>
        <v>500</v>
      </c>
      <c r="G569">
        <f t="shared" si="26"/>
        <v>383.14176245210729</v>
      </c>
    </row>
    <row r="570" spans="1:7" x14ac:dyDescent="0.35">
      <c r="A570">
        <v>600</v>
      </c>
      <c r="B570">
        <v>520</v>
      </c>
      <c r="C570">
        <v>2.82</v>
      </c>
      <c r="E570">
        <f t="shared" si="24"/>
        <v>60000000</v>
      </c>
      <c r="F570">
        <f t="shared" si="25"/>
        <v>520</v>
      </c>
      <c r="G570">
        <f t="shared" si="26"/>
        <v>354.6099290780142</v>
      </c>
    </row>
    <row r="571" spans="1:7" x14ac:dyDescent="0.35">
      <c r="A571">
        <v>600</v>
      </c>
      <c r="B571">
        <v>540</v>
      </c>
      <c r="C571">
        <v>3.05</v>
      </c>
      <c r="E571">
        <f t="shared" si="24"/>
        <v>60000000</v>
      </c>
      <c r="F571">
        <f t="shared" si="25"/>
        <v>540</v>
      </c>
      <c r="G571">
        <f t="shared" si="26"/>
        <v>327.86885245901647</v>
      </c>
    </row>
    <row r="572" spans="1:7" x14ac:dyDescent="0.35">
      <c r="A572">
        <v>600</v>
      </c>
      <c r="B572">
        <v>560</v>
      </c>
      <c r="C572">
        <v>3.31</v>
      </c>
      <c r="E572">
        <f t="shared" si="24"/>
        <v>60000000</v>
      </c>
      <c r="F572">
        <f t="shared" si="25"/>
        <v>560</v>
      </c>
      <c r="G572">
        <f t="shared" si="26"/>
        <v>302.11480362537765</v>
      </c>
    </row>
    <row r="573" spans="1:7" x14ac:dyDescent="0.35">
      <c r="A573">
        <v>700</v>
      </c>
      <c r="B573">
        <v>310</v>
      </c>
      <c r="C573">
        <v>1.56</v>
      </c>
      <c r="E573">
        <f t="shared" si="24"/>
        <v>70000000</v>
      </c>
      <c r="F573">
        <f t="shared" si="25"/>
        <v>310</v>
      </c>
      <c r="G573">
        <f t="shared" si="26"/>
        <v>641.02564102564099</v>
      </c>
    </row>
    <row r="574" spans="1:7" x14ac:dyDescent="0.35">
      <c r="A574">
        <v>700</v>
      </c>
      <c r="B574">
        <v>320</v>
      </c>
      <c r="C574">
        <v>1.58</v>
      </c>
      <c r="E574">
        <f t="shared" si="24"/>
        <v>70000000</v>
      </c>
      <c r="F574">
        <f t="shared" si="25"/>
        <v>320</v>
      </c>
      <c r="G574">
        <f t="shared" si="26"/>
        <v>632.91139240506322</v>
      </c>
    </row>
    <row r="575" spans="1:7" x14ac:dyDescent="0.35">
      <c r="A575">
        <v>700</v>
      </c>
      <c r="B575">
        <v>330</v>
      </c>
      <c r="C575">
        <v>1.61</v>
      </c>
      <c r="E575">
        <f t="shared" si="24"/>
        <v>70000000</v>
      </c>
      <c r="F575">
        <f t="shared" si="25"/>
        <v>330</v>
      </c>
      <c r="G575">
        <f t="shared" si="26"/>
        <v>621.11801242236015</v>
      </c>
    </row>
    <row r="576" spans="1:7" x14ac:dyDescent="0.35">
      <c r="A576">
        <v>700</v>
      </c>
      <c r="B576">
        <v>340</v>
      </c>
      <c r="C576">
        <v>1.64</v>
      </c>
      <c r="E576">
        <f t="shared" si="24"/>
        <v>70000000</v>
      </c>
      <c r="F576">
        <f t="shared" si="25"/>
        <v>340</v>
      </c>
      <c r="G576">
        <f t="shared" si="26"/>
        <v>609.7560975609756</v>
      </c>
    </row>
    <row r="577" spans="1:7" x14ac:dyDescent="0.35">
      <c r="A577">
        <v>700</v>
      </c>
      <c r="B577">
        <v>350</v>
      </c>
      <c r="C577">
        <v>1.67</v>
      </c>
      <c r="E577">
        <f t="shared" si="24"/>
        <v>70000000</v>
      </c>
      <c r="F577">
        <f t="shared" si="25"/>
        <v>350</v>
      </c>
      <c r="G577">
        <f t="shared" si="26"/>
        <v>598.80239520958094</v>
      </c>
    </row>
    <row r="578" spans="1:7" x14ac:dyDescent="0.35">
      <c r="A578">
        <v>700</v>
      </c>
      <c r="B578">
        <v>360</v>
      </c>
      <c r="C578">
        <v>1.71</v>
      </c>
      <c r="E578">
        <f t="shared" ref="E578:E641" si="27">A578*100000</f>
        <v>70000000</v>
      </c>
      <c r="F578">
        <f t="shared" si="25"/>
        <v>360</v>
      </c>
      <c r="G578">
        <f t="shared" si="26"/>
        <v>584.79532163742692</v>
      </c>
    </row>
    <row r="579" spans="1:7" x14ac:dyDescent="0.35">
      <c r="A579">
        <v>700</v>
      </c>
      <c r="B579">
        <v>370</v>
      </c>
      <c r="C579">
        <v>1.74</v>
      </c>
      <c r="E579">
        <f t="shared" si="27"/>
        <v>70000000</v>
      </c>
      <c r="F579">
        <f t="shared" ref="F579:F642" si="28">B579</f>
        <v>370</v>
      </c>
      <c r="G579">
        <f t="shared" ref="G579:G642" si="29">1/C579*0.001*1000000</f>
        <v>574.71264367816093</v>
      </c>
    </row>
    <row r="580" spans="1:7" x14ac:dyDescent="0.35">
      <c r="A580">
        <v>700</v>
      </c>
      <c r="B580">
        <v>380</v>
      </c>
      <c r="C580">
        <v>1.78</v>
      </c>
      <c r="E580">
        <f t="shared" si="27"/>
        <v>70000000</v>
      </c>
      <c r="F580">
        <f t="shared" si="28"/>
        <v>380</v>
      </c>
      <c r="G580">
        <f t="shared" si="29"/>
        <v>561.79775280898878</v>
      </c>
    </row>
    <row r="581" spans="1:7" x14ac:dyDescent="0.35">
      <c r="A581">
        <v>700</v>
      </c>
      <c r="B581">
        <v>390</v>
      </c>
      <c r="C581">
        <v>1.83</v>
      </c>
      <c r="E581">
        <f t="shared" si="27"/>
        <v>70000000</v>
      </c>
      <c r="F581">
        <f t="shared" si="28"/>
        <v>390</v>
      </c>
      <c r="G581">
        <f t="shared" si="29"/>
        <v>546.44808743169403</v>
      </c>
    </row>
    <row r="582" spans="1:7" x14ac:dyDescent="0.35">
      <c r="A582">
        <v>700</v>
      </c>
      <c r="B582">
        <v>400</v>
      </c>
      <c r="C582">
        <v>1.87</v>
      </c>
      <c r="E582">
        <f t="shared" si="27"/>
        <v>70000000</v>
      </c>
      <c r="F582">
        <f t="shared" si="28"/>
        <v>400</v>
      </c>
      <c r="G582">
        <f t="shared" si="29"/>
        <v>534.75935828876993</v>
      </c>
    </row>
    <row r="583" spans="1:7" x14ac:dyDescent="0.35">
      <c r="A583">
        <v>700</v>
      </c>
      <c r="B583">
        <v>420</v>
      </c>
      <c r="C583">
        <v>1.96</v>
      </c>
      <c r="E583">
        <f t="shared" si="27"/>
        <v>70000000</v>
      </c>
      <c r="F583">
        <f t="shared" si="28"/>
        <v>420</v>
      </c>
      <c r="G583">
        <f t="shared" si="29"/>
        <v>510.20408163265313</v>
      </c>
    </row>
    <row r="584" spans="1:7" x14ac:dyDescent="0.35">
      <c r="A584">
        <v>700</v>
      </c>
      <c r="B584">
        <v>440</v>
      </c>
      <c r="C584">
        <v>2.0499999999999998</v>
      </c>
      <c r="E584">
        <f t="shared" si="27"/>
        <v>70000000</v>
      </c>
      <c r="F584">
        <f t="shared" si="28"/>
        <v>440</v>
      </c>
      <c r="G584">
        <f t="shared" si="29"/>
        <v>487.80487804878055</v>
      </c>
    </row>
    <row r="585" spans="1:7" x14ac:dyDescent="0.35">
      <c r="A585">
        <v>700</v>
      </c>
      <c r="B585">
        <v>460</v>
      </c>
      <c r="C585">
        <v>2.16</v>
      </c>
      <c r="E585">
        <f t="shared" si="27"/>
        <v>70000000</v>
      </c>
      <c r="F585">
        <f t="shared" si="28"/>
        <v>460</v>
      </c>
      <c r="G585">
        <f t="shared" si="29"/>
        <v>462.96296296296293</v>
      </c>
    </row>
    <row r="586" spans="1:7" x14ac:dyDescent="0.35">
      <c r="A586">
        <v>700</v>
      </c>
      <c r="B586">
        <v>480</v>
      </c>
      <c r="C586">
        <v>2.2999999999999998</v>
      </c>
      <c r="E586">
        <f t="shared" si="27"/>
        <v>70000000</v>
      </c>
      <c r="F586">
        <f t="shared" si="28"/>
        <v>480</v>
      </c>
      <c r="G586">
        <f t="shared" si="29"/>
        <v>434.78260869565224</v>
      </c>
    </row>
    <row r="587" spans="1:7" x14ac:dyDescent="0.35">
      <c r="A587">
        <v>700</v>
      </c>
      <c r="B587">
        <v>500</v>
      </c>
      <c r="C587">
        <v>2.44</v>
      </c>
      <c r="E587">
        <f t="shared" si="27"/>
        <v>70000000</v>
      </c>
      <c r="F587">
        <f t="shared" si="28"/>
        <v>500</v>
      </c>
      <c r="G587">
        <f t="shared" si="29"/>
        <v>409.8360655737705</v>
      </c>
    </row>
    <row r="588" spans="1:7" x14ac:dyDescent="0.35">
      <c r="A588">
        <v>700</v>
      </c>
      <c r="B588">
        <v>520</v>
      </c>
      <c r="C588">
        <v>2.61</v>
      </c>
      <c r="E588">
        <f t="shared" si="27"/>
        <v>70000000</v>
      </c>
      <c r="F588">
        <f t="shared" si="28"/>
        <v>520</v>
      </c>
      <c r="G588">
        <f t="shared" si="29"/>
        <v>383.14176245210729</v>
      </c>
    </row>
    <row r="589" spans="1:7" x14ac:dyDescent="0.35">
      <c r="A589">
        <v>700</v>
      </c>
      <c r="B589">
        <v>540</v>
      </c>
      <c r="C589">
        <v>2.79</v>
      </c>
      <c r="E589">
        <f t="shared" si="27"/>
        <v>70000000</v>
      </c>
      <c r="F589">
        <f t="shared" si="28"/>
        <v>540</v>
      </c>
      <c r="G589">
        <f t="shared" si="29"/>
        <v>358.42293906810033</v>
      </c>
    </row>
    <row r="590" spans="1:7" x14ac:dyDescent="0.35">
      <c r="A590">
        <v>700</v>
      </c>
      <c r="B590">
        <v>560</v>
      </c>
      <c r="C590">
        <v>2.98</v>
      </c>
      <c r="E590">
        <f t="shared" si="27"/>
        <v>70000000</v>
      </c>
      <c r="F590">
        <f t="shared" si="28"/>
        <v>560</v>
      </c>
      <c r="G590">
        <f t="shared" si="29"/>
        <v>335.57046979865777</v>
      </c>
    </row>
    <row r="591" spans="1:7" x14ac:dyDescent="0.35">
      <c r="A591">
        <v>800</v>
      </c>
      <c r="B591">
        <v>310</v>
      </c>
      <c r="C591">
        <v>1.54</v>
      </c>
      <c r="E591">
        <f t="shared" si="27"/>
        <v>80000000</v>
      </c>
      <c r="F591">
        <f t="shared" si="28"/>
        <v>310</v>
      </c>
      <c r="G591">
        <f t="shared" si="29"/>
        <v>649.35064935064941</v>
      </c>
    </row>
    <row r="592" spans="1:7" x14ac:dyDescent="0.35">
      <c r="A592">
        <v>800</v>
      </c>
      <c r="B592">
        <v>320</v>
      </c>
      <c r="C592">
        <v>1.57</v>
      </c>
      <c r="E592">
        <f t="shared" si="27"/>
        <v>80000000</v>
      </c>
      <c r="F592">
        <f t="shared" si="28"/>
        <v>320</v>
      </c>
      <c r="G592">
        <f t="shared" si="29"/>
        <v>636.94267515923559</v>
      </c>
    </row>
    <row r="593" spans="1:7" x14ac:dyDescent="0.35">
      <c r="A593">
        <v>800</v>
      </c>
      <c r="B593">
        <v>330</v>
      </c>
      <c r="C593">
        <v>1.59</v>
      </c>
      <c r="E593">
        <f t="shared" si="27"/>
        <v>80000000</v>
      </c>
      <c r="F593">
        <f t="shared" si="28"/>
        <v>330</v>
      </c>
      <c r="G593">
        <f t="shared" si="29"/>
        <v>628.93081761006283</v>
      </c>
    </row>
    <row r="594" spans="1:7" x14ac:dyDescent="0.35">
      <c r="A594">
        <v>800</v>
      </c>
      <c r="B594">
        <v>340</v>
      </c>
      <c r="C594">
        <v>1.62</v>
      </c>
      <c r="E594">
        <f t="shared" si="27"/>
        <v>80000000</v>
      </c>
      <c r="F594">
        <f t="shared" si="28"/>
        <v>340</v>
      </c>
      <c r="G594">
        <f t="shared" si="29"/>
        <v>617.28395061728395</v>
      </c>
    </row>
    <row r="595" spans="1:7" x14ac:dyDescent="0.35">
      <c r="A595">
        <v>800</v>
      </c>
      <c r="B595">
        <v>350</v>
      </c>
      <c r="C595">
        <v>1.65</v>
      </c>
      <c r="E595">
        <f t="shared" si="27"/>
        <v>80000000</v>
      </c>
      <c r="F595">
        <f t="shared" si="28"/>
        <v>350</v>
      </c>
      <c r="G595">
        <f t="shared" si="29"/>
        <v>606.06060606060601</v>
      </c>
    </row>
    <row r="596" spans="1:7" x14ac:dyDescent="0.35">
      <c r="A596">
        <v>800</v>
      </c>
      <c r="B596">
        <v>360</v>
      </c>
      <c r="C596">
        <v>1.68</v>
      </c>
      <c r="E596">
        <f t="shared" si="27"/>
        <v>80000000</v>
      </c>
      <c r="F596">
        <f t="shared" si="28"/>
        <v>360</v>
      </c>
      <c r="G596">
        <f t="shared" si="29"/>
        <v>595.2380952380953</v>
      </c>
    </row>
    <row r="597" spans="1:7" x14ac:dyDescent="0.35">
      <c r="A597">
        <v>800</v>
      </c>
      <c r="B597">
        <v>370</v>
      </c>
      <c r="C597">
        <v>1.71</v>
      </c>
      <c r="E597">
        <f t="shared" si="27"/>
        <v>80000000</v>
      </c>
      <c r="F597">
        <f t="shared" si="28"/>
        <v>370</v>
      </c>
      <c r="G597">
        <f t="shared" si="29"/>
        <v>584.79532163742692</v>
      </c>
    </row>
    <row r="598" spans="1:7" x14ac:dyDescent="0.35">
      <c r="A598">
        <v>800</v>
      </c>
      <c r="B598">
        <v>380</v>
      </c>
      <c r="C598">
        <v>1.75</v>
      </c>
      <c r="E598">
        <f t="shared" si="27"/>
        <v>80000000</v>
      </c>
      <c r="F598">
        <f t="shared" si="28"/>
        <v>380</v>
      </c>
      <c r="G598">
        <f t="shared" si="29"/>
        <v>571.42857142857133</v>
      </c>
    </row>
    <row r="599" spans="1:7" x14ac:dyDescent="0.35">
      <c r="A599">
        <v>800</v>
      </c>
      <c r="B599">
        <v>390</v>
      </c>
      <c r="C599">
        <v>1.79</v>
      </c>
      <c r="E599">
        <f t="shared" si="27"/>
        <v>80000000</v>
      </c>
      <c r="F599">
        <f t="shared" si="28"/>
        <v>390</v>
      </c>
      <c r="G599">
        <f t="shared" si="29"/>
        <v>558.65921787709487</v>
      </c>
    </row>
    <row r="600" spans="1:7" x14ac:dyDescent="0.35">
      <c r="A600">
        <v>800</v>
      </c>
      <c r="B600">
        <v>400</v>
      </c>
      <c r="C600">
        <v>1.83</v>
      </c>
      <c r="E600">
        <f t="shared" si="27"/>
        <v>80000000</v>
      </c>
      <c r="F600">
        <f t="shared" si="28"/>
        <v>400</v>
      </c>
      <c r="G600">
        <f t="shared" si="29"/>
        <v>546.44808743169403</v>
      </c>
    </row>
    <row r="601" spans="1:7" x14ac:dyDescent="0.35">
      <c r="A601">
        <v>800</v>
      </c>
      <c r="B601">
        <v>420</v>
      </c>
      <c r="C601">
        <v>1.91</v>
      </c>
      <c r="E601">
        <f t="shared" si="27"/>
        <v>80000000</v>
      </c>
      <c r="F601">
        <f t="shared" si="28"/>
        <v>420</v>
      </c>
      <c r="G601">
        <f t="shared" si="29"/>
        <v>523.56020942408384</v>
      </c>
    </row>
    <row r="602" spans="1:7" x14ac:dyDescent="0.35">
      <c r="A602">
        <v>800</v>
      </c>
      <c r="B602">
        <v>440</v>
      </c>
      <c r="C602">
        <v>2</v>
      </c>
      <c r="E602">
        <f t="shared" si="27"/>
        <v>80000000</v>
      </c>
      <c r="F602">
        <f t="shared" si="28"/>
        <v>440</v>
      </c>
      <c r="G602">
        <f t="shared" si="29"/>
        <v>500</v>
      </c>
    </row>
    <row r="603" spans="1:7" x14ac:dyDescent="0.35">
      <c r="A603">
        <v>800</v>
      </c>
      <c r="B603">
        <v>460</v>
      </c>
      <c r="C603">
        <v>2.09</v>
      </c>
      <c r="E603">
        <f t="shared" si="27"/>
        <v>80000000</v>
      </c>
      <c r="F603">
        <f t="shared" si="28"/>
        <v>460</v>
      </c>
      <c r="G603">
        <f t="shared" si="29"/>
        <v>478.46889952153117</v>
      </c>
    </row>
    <row r="604" spans="1:7" x14ac:dyDescent="0.35">
      <c r="A604">
        <v>800</v>
      </c>
      <c r="B604">
        <v>480</v>
      </c>
      <c r="C604">
        <v>2.2000000000000002</v>
      </c>
      <c r="E604">
        <f t="shared" si="27"/>
        <v>80000000</v>
      </c>
      <c r="F604">
        <f t="shared" si="28"/>
        <v>480</v>
      </c>
      <c r="G604">
        <f t="shared" si="29"/>
        <v>454.54545454545456</v>
      </c>
    </row>
    <row r="605" spans="1:7" x14ac:dyDescent="0.35">
      <c r="A605">
        <v>800</v>
      </c>
      <c r="B605">
        <v>500</v>
      </c>
      <c r="C605">
        <v>2.3199999999999998</v>
      </c>
      <c r="E605">
        <f t="shared" si="27"/>
        <v>80000000</v>
      </c>
      <c r="F605">
        <f t="shared" si="28"/>
        <v>500</v>
      </c>
      <c r="G605">
        <f t="shared" si="29"/>
        <v>431.03448275862075</v>
      </c>
    </row>
    <row r="606" spans="1:7" x14ac:dyDescent="0.35">
      <c r="A606">
        <v>800</v>
      </c>
      <c r="B606">
        <v>520</v>
      </c>
      <c r="C606">
        <v>2.46</v>
      </c>
      <c r="E606">
        <f t="shared" si="27"/>
        <v>80000000</v>
      </c>
      <c r="F606">
        <f t="shared" si="28"/>
        <v>520</v>
      </c>
      <c r="G606">
        <f t="shared" si="29"/>
        <v>406.5040650406504</v>
      </c>
    </row>
    <row r="607" spans="1:7" x14ac:dyDescent="0.35">
      <c r="A607">
        <v>800</v>
      </c>
      <c r="B607">
        <v>540</v>
      </c>
      <c r="C607">
        <v>2.6</v>
      </c>
      <c r="E607">
        <f t="shared" si="27"/>
        <v>80000000</v>
      </c>
      <c r="F607">
        <f t="shared" si="28"/>
        <v>540</v>
      </c>
      <c r="G607">
        <f t="shared" si="29"/>
        <v>384.61538461538464</v>
      </c>
    </row>
    <row r="608" spans="1:7" x14ac:dyDescent="0.35">
      <c r="A608">
        <v>800</v>
      </c>
      <c r="B608">
        <v>560</v>
      </c>
      <c r="C608">
        <v>2.76</v>
      </c>
      <c r="E608">
        <f t="shared" si="27"/>
        <v>80000000</v>
      </c>
      <c r="F608">
        <f t="shared" si="28"/>
        <v>560</v>
      </c>
      <c r="G608">
        <f t="shared" si="29"/>
        <v>362.31884057971018</v>
      </c>
    </row>
    <row r="609" spans="1:7" x14ac:dyDescent="0.35">
      <c r="A609">
        <v>900</v>
      </c>
      <c r="B609">
        <v>310</v>
      </c>
      <c r="C609">
        <v>1.53</v>
      </c>
      <c r="E609">
        <f t="shared" si="27"/>
        <v>90000000</v>
      </c>
      <c r="F609">
        <f t="shared" si="28"/>
        <v>310</v>
      </c>
      <c r="G609">
        <f t="shared" si="29"/>
        <v>653.59477124183013</v>
      </c>
    </row>
    <row r="610" spans="1:7" x14ac:dyDescent="0.35">
      <c r="A610">
        <v>900</v>
      </c>
      <c r="B610">
        <v>320</v>
      </c>
      <c r="C610">
        <v>1.55</v>
      </c>
      <c r="E610">
        <f t="shared" si="27"/>
        <v>90000000</v>
      </c>
      <c r="F610">
        <f t="shared" si="28"/>
        <v>320</v>
      </c>
      <c r="G610">
        <f t="shared" si="29"/>
        <v>645.16129032258061</v>
      </c>
    </row>
    <row r="611" spans="1:7" x14ac:dyDescent="0.35">
      <c r="A611">
        <v>900</v>
      </c>
      <c r="B611">
        <v>330</v>
      </c>
      <c r="C611">
        <v>1.57</v>
      </c>
      <c r="E611">
        <f t="shared" si="27"/>
        <v>90000000</v>
      </c>
      <c r="F611">
        <f t="shared" si="28"/>
        <v>330</v>
      </c>
      <c r="G611">
        <f t="shared" si="29"/>
        <v>636.94267515923559</v>
      </c>
    </row>
    <row r="612" spans="1:7" x14ac:dyDescent="0.35">
      <c r="A612">
        <v>900</v>
      </c>
      <c r="B612">
        <v>340</v>
      </c>
      <c r="C612">
        <v>1.6</v>
      </c>
      <c r="E612">
        <f t="shared" si="27"/>
        <v>90000000</v>
      </c>
      <c r="F612">
        <f t="shared" si="28"/>
        <v>340</v>
      </c>
      <c r="G612">
        <f t="shared" si="29"/>
        <v>625</v>
      </c>
    </row>
    <row r="613" spans="1:7" x14ac:dyDescent="0.35">
      <c r="A613">
        <v>900</v>
      </c>
      <c r="B613">
        <v>350</v>
      </c>
      <c r="C613">
        <v>1.63</v>
      </c>
      <c r="E613">
        <f t="shared" si="27"/>
        <v>90000000</v>
      </c>
      <c r="F613">
        <f t="shared" si="28"/>
        <v>350</v>
      </c>
      <c r="G613">
        <f t="shared" si="29"/>
        <v>613.49693251533745</v>
      </c>
    </row>
    <row r="614" spans="1:7" x14ac:dyDescent="0.35">
      <c r="A614">
        <v>900</v>
      </c>
      <c r="B614">
        <v>360</v>
      </c>
      <c r="C614">
        <v>1.66</v>
      </c>
      <c r="E614">
        <f t="shared" si="27"/>
        <v>90000000</v>
      </c>
      <c r="F614">
        <f t="shared" si="28"/>
        <v>360</v>
      </c>
      <c r="G614">
        <f t="shared" si="29"/>
        <v>602.40963855421694</v>
      </c>
    </row>
    <row r="615" spans="1:7" x14ac:dyDescent="0.35">
      <c r="A615">
        <v>900</v>
      </c>
      <c r="B615">
        <v>370</v>
      </c>
      <c r="C615">
        <v>1.69</v>
      </c>
      <c r="E615">
        <f t="shared" si="27"/>
        <v>90000000</v>
      </c>
      <c r="F615">
        <f t="shared" si="28"/>
        <v>370</v>
      </c>
      <c r="G615">
        <f t="shared" si="29"/>
        <v>591.71597633136093</v>
      </c>
    </row>
    <row r="616" spans="1:7" x14ac:dyDescent="0.35">
      <c r="A616">
        <v>900</v>
      </c>
      <c r="B616">
        <v>380</v>
      </c>
      <c r="C616">
        <v>1.73</v>
      </c>
      <c r="E616">
        <f t="shared" si="27"/>
        <v>90000000</v>
      </c>
      <c r="F616">
        <f t="shared" si="28"/>
        <v>380</v>
      </c>
      <c r="G616">
        <f t="shared" si="29"/>
        <v>578.03468208092488</v>
      </c>
    </row>
    <row r="617" spans="1:7" x14ac:dyDescent="0.35">
      <c r="A617">
        <v>900</v>
      </c>
      <c r="B617">
        <v>390</v>
      </c>
      <c r="C617">
        <v>1.76</v>
      </c>
      <c r="E617">
        <f t="shared" si="27"/>
        <v>90000000</v>
      </c>
      <c r="F617">
        <f t="shared" si="28"/>
        <v>390</v>
      </c>
      <c r="G617">
        <f t="shared" si="29"/>
        <v>568.18181818181824</v>
      </c>
    </row>
    <row r="618" spans="1:7" x14ac:dyDescent="0.35">
      <c r="A618">
        <v>900</v>
      </c>
      <c r="B618">
        <v>400</v>
      </c>
      <c r="C618">
        <v>1.8</v>
      </c>
      <c r="E618">
        <f t="shared" si="27"/>
        <v>90000000</v>
      </c>
      <c r="F618">
        <f t="shared" si="28"/>
        <v>400</v>
      </c>
      <c r="G618">
        <f t="shared" si="29"/>
        <v>555.55555555555554</v>
      </c>
    </row>
    <row r="619" spans="1:7" x14ac:dyDescent="0.35">
      <c r="A619">
        <v>900</v>
      </c>
      <c r="B619">
        <v>420</v>
      </c>
      <c r="C619">
        <v>1.87</v>
      </c>
      <c r="E619">
        <f t="shared" si="27"/>
        <v>90000000</v>
      </c>
      <c r="F619">
        <f t="shared" si="28"/>
        <v>420</v>
      </c>
      <c r="G619">
        <f t="shared" si="29"/>
        <v>534.75935828876993</v>
      </c>
    </row>
    <row r="620" spans="1:7" x14ac:dyDescent="0.35">
      <c r="A620">
        <v>900</v>
      </c>
      <c r="B620">
        <v>440</v>
      </c>
      <c r="C620">
        <v>1.95</v>
      </c>
      <c r="E620">
        <f t="shared" si="27"/>
        <v>90000000</v>
      </c>
      <c r="F620">
        <f t="shared" si="28"/>
        <v>440</v>
      </c>
      <c r="G620">
        <f t="shared" si="29"/>
        <v>512.82051282051293</v>
      </c>
    </row>
    <row r="621" spans="1:7" x14ac:dyDescent="0.35">
      <c r="A621">
        <v>900</v>
      </c>
      <c r="B621">
        <v>460</v>
      </c>
      <c r="C621">
        <v>2.0299999999999998</v>
      </c>
      <c r="E621">
        <f t="shared" si="27"/>
        <v>90000000</v>
      </c>
      <c r="F621">
        <f t="shared" si="28"/>
        <v>460</v>
      </c>
      <c r="G621">
        <f t="shared" si="29"/>
        <v>492.61083743842374</v>
      </c>
    </row>
    <row r="622" spans="1:7" x14ac:dyDescent="0.35">
      <c r="A622">
        <v>900</v>
      </c>
      <c r="B622">
        <v>480</v>
      </c>
      <c r="C622">
        <v>2.12</v>
      </c>
      <c r="E622">
        <f t="shared" si="27"/>
        <v>90000000</v>
      </c>
      <c r="F622">
        <f t="shared" si="28"/>
        <v>480</v>
      </c>
      <c r="G622">
        <f t="shared" si="29"/>
        <v>471.69811320754712</v>
      </c>
    </row>
    <row r="623" spans="1:7" x14ac:dyDescent="0.35">
      <c r="A623">
        <v>900</v>
      </c>
      <c r="B623">
        <v>500</v>
      </c>
      <c r="C623">
        <v>2.2400000000000002</v>
      </c>
      <c r="E623">
        <f t="shared" si="27"/>
        <v>90000000</v>
      </c>
      <c r="F623">
        <f t="shared" si="28"/>
        <v>500</v>
      </c>
      <c r="G623">
        <f t="shared" si="29"/>
        <v>446.42857142857139</v>
      </c>
    </row>
    <row r="624" spans="1:7" x14ac:dyDescent="0.35">
      <c r="A624">
        <v>900</v>
      </c>
      <c r="B624">
        <v>520</v>
      </c>
      <c r="C624">
        <v>2.35</v>
      </c>
      <c r="E624">
        <f t="shared" si="27"/>
        <v>90000000</v>
      </c>
      <c r="F624">
        <f t="shared" si="28"/>
        <v>520</v>
      </c>
      <c r="G624">
        <f t="shared" si="29"/>
        <v>425.531914893617</v>
      </c>
    </row>
    <row r="625" spans="1:7" x14ac:dyDescent="0.35">
      <c r="A625">
        <v>900</v>
      </c>
      <c r="B625">
        <v>540</v>
      </c>
      <c r="C625">
        <v>2.4700000000000002</v>
      </c>
      <c r="E625">
        <f t="shared" si="27"/>
        <v>90000000</v>
      </c>
      <c r="F625">
        <f t="shared" si="28"/>
        <v>540</v>
      </c>
      <c r="G625">
        <f t="shared" si="29"/>
        <v>404.85829959514166</v>
      </c>
    </row>
    <row r="626" spans="1:7" x14ac:dyDescent="0.35">
      <c r="A626">
        <v>900</v>
      </c>
      <c r="B626">
        <v>560</v>
      </c>
      <c r="C626">
        <v>2.61</v>
      </c>
      <c r="E626">
        <f t="shared" si="27"/>
        <v>90000000</v>
      </c>
      <c r="F626">
        <f t="shared" si="28"/>
        <v>560</v>
      </c>
      <c r="G626">
        <f t="shared" si="29"/>
        <v>383.14176245210729</v>
      </c>
    </row>
    <row r="627" spans="1:7" x14ac:dyDescent="0.35">
      <c r="A627">
        <v>1000</v>
      </c>
      <c r="B627">
        <v>310</v>
      </c>
      <c r="C627">
        <v>1.52</v>
      </c>
      <c r="E627">
        <f t="shared" si="27"/>
        <v>100000000</v>
      </c>
      <c r="F627">
        <f t="shared" si="28"/>
        <v>310</v>
      </c>
      <c r="G627">
        <f t="shared" si="29"/>
        <v>657.89473684210532</v>
      </c>
    </row>
    <row r="628" spans="1:7" x14ac:dyDescent="0.35">
      <c r="A628">
        <v>1000</v>
      </c>
      <c r="B628">
        <v>320</v>
      </c>
      <c r="C628">
        <v>1.54</v>
      </c>
      <c r="E628">
        <f t="shared" si="27"/>
        <v>100000000</v>
      </c>
      <c r="F628">
        <f t="shared" si="28"/>
        <v>320</v>
      </c>
      <c r="G628">
        <f t="shared" si="29"/>
        <v>649.35064935064941</v>
      </c>
    </row>
    <row r="629" spans="1:7" x14ac:dyDescent="0.35">
      <c r="A629">
        <v>1000</v>
      </c>
      <c r="B629">
        <v>330</v>
      </c>
      <c r="C629">
        <v>1.56</v>
      </c>
      <c r="E629">
        <f t="shared" si="27"/>
        <v>100000000</v>
      </c>
      <c r="F629">
        <f t="shared" si="28"/>
        <v>330</v>
      </c>
      <c r="G629">
        <f t="shared" si="29"/>
        <v>641.02564102564099</v>
      </c>
    </row>
    <row r="630" spans="1:7" x14ac:dyDescent="0.35">
      <c r="A630">
        <v>1000</v>
      </c>
      <c r="B630">
        <v>340</v>
      </c>
      <c r="C630">
        <v>1.58</v>
      </c>
      <c r="E630">
        <f t="shared" si="27"/>
        <v>100000000</v>
      </c>
      <c r="F630">
        <f t="shared" si="28"/>
        <v>340</v>
      </c>
      <c r="G630">
        <f t="shared" si="29"/>
        <v>632.91139240506322</v>
      </c>
    </row>
    <row r="631" spans="1:7" x14ac:dyDescent="0.35">
      <c r="A631">
        <v>1000</v>
      </c>
      <c r="B631">
        <v>350</v>
      </c>
      <c r="C631">
        <v>1.61</v>
      </c>
      <c r="E631">
        <f t="shared" si="27"/>
        <v>100000000</v>
      </c>
      <c r="F631">
        <f t="shared" si="28"/>
        <v>350</v>
      </c>
      <c r="G631">
        <f t="shared" si="29"/>
        <v>621.11801242236015</v>
      </c>
    </row>
    <row r="632" spans="1:7" x14ac:dyDescent="0.35">
      <c r="A632">
        <v>1000</v>
      </c>
      <c r="B632">
        <v>360</v>
      </c>
      <c r="C632">
        <v>1.64</v>
      </c>
      <c r="E632">
        <f t="shared" si="27"/>
        <v>100000000</v>
      </c>
      <c r="F632">
        <f t="shared" si="28"/>
        <v>360</v>
      </c>
      <c r="G632">
        <f t="shared" si="29"/>
        <v>609.7560975609756</v>
      </c>
    </row>
    <row r="633" spans="1:7" x14ac:dyDescent="0.35">
      <c r="A633">
        <v>1000</v>
      </c>
      <c r="B633">
        <v>370</v>
      </c>
      <c r="C633">
        <v>1.67</v>
      </c>
      <c r="E633">
        <f t="shared" si="27"/>
        <v>100000000</v>
      </c>
      <c r="F633">
        <f t="shared" si="28"/>
        <v>370</v>
      </c>
      <c r="G633">
        <f t="shared" si="29"/>
        <v>598.80239520958094</v>
      </c>
    </row>
    <row r="634" spans="1:7" x14ac:dyDescent="0.35">
      <c r="A634">
        <v>1000</v>
      </c>
      <c r="B634">
        <v>380</v>
      </c>
      <c r="C634">
        <v>1.7</v>
      </c>
      <c r="E634">
        <f t="shared" si="27"/>
        <v>100000000</v>
      </c>
      <c r="F634">
        <f t="shared" si="28"/>
        <v>380</v>
      </c>
      <c r="G634">
        <f t="shared" si="29"/>
        <v>588.23529411764707</v>
      </c>
    </row>
    <row r="635" spans="1:7" x14ac:dyDescent="0.35">
      <c r="A635">
        <v>1000</v>
      </c>
      <c r="B635">
        <v>390</v>
      </c>
      <c r="C635">
        <v>1.74</v>
      </c>
      <c r="E635">
        <f t="shared" si="27"/>
        <v>100000000</v>
      </c>
      <c r="F635">
        <f t="shared" si="28"/>
        <v>390</v>
      </c>
      <c r="G635">
        <f t="shared" si="29"/>
        <v>574.71264367816093</v>
      </c>
    </row>
    <row r="636" spans="1:7" x14ac:dyDescent="0.35">
      <c r="A636">
        <v>1000</v>
      </c>
      <c r="B636">
        <v>400</v>
      </c>
      <c r="C636">
        <v>1.77</v>
      </c>
      <c r="E636">
        <f t="shared" si="27"/>
        <v>100000000</v>
      </c>
      <c r="F636">
        <f t="shared" si="28"/>
        <v>400</v>
      </c>
      <c r="G636">
        <f t="shared" si="29"/>
        <v>564.9717514124294</v>
      </c>
    </row>
    <row r="637" spans="1:7" x14ac:dyDescent="0.35">
      <c r="A637">
        <v>1000</v>
      </c>
      <c r="B637">
        <v>420</v>
      </c>
      <c r="C637">
        <v>1.84</v>
      </c>
      <c r="E637">
        <f t="shared" si="27"/>
        <v>100000000</v>
      </c>
      <c r="F637">
        <f t="shared" si="28"/>
        <v>420</v>
      </c>
      <c r="G637">
        <f t="shared" si="29"/>
        <v>543.47826086956525</v>
      </c>
    </row>
    <row r="638" spans="1:7" x14ac:dyDescent="0.35">
      <c r="A638">
        <v>1000</v>
      </c>
      <c r="B638">
        <v>440</v>
      </c>
      <c r="C638">
        <v>1.91</v>
      </c>
      <c r="E638">
        <f t="shared" si="27"/>
        <v>100000000</v>
      </c>
      <c r="F638">
        <f t="shared" si="28"/>
        <v>440</v>
      </c>
      <c r="G638">
        <f t="shared" si="29"/>
        <v>523.56020942408384</v>
      </c>
    </row>
    <row r="639" spans="1:7" x14ac:dyDescent="0.35">
      <c r="A639">
        <v>1000</v>
      </c>
      <c r="B639">
        <v>460</v>
      </c>
      <c r="C639">
        <v>1.98</v>
      </c>
      <c r="E639">
        <f t="shared" si="27"/>
        <v>100000000</v>
      </c>
      <c r="F639">
        <f t="shared" si="28"/>
        <v>460</v>
      </c>
      <c r="G639">
        <f t="shared" si="29"/>
        <v>505.05050505050502</v>
      </c>
    </row>
    <row r="640" spans="1:7" x14ac:dyDescent="0.35">
      <c r="A640">
        <v>1000</v>
      </c>
      <c r="B640">
        <v>480</v>
      </c>
      <c r="C640">
        <v>2.0699999999999998</v>
      </c>
      <c r="E640">
        <f t="shared" si="27"/>
        <v>100000000</v>
      </c>
      <c r="F640">
        <f t="shared" si="28"/>
        <v>480</v>
      </c>
      <c r="G640">
        <f t="shared" si="29"/>
        <v>483.09178743961354</v>
      </c>
    </row>
    <row r="641" spans="1:7" x14ac:dyDescent="0.35">
      <c r="A641">
        <v>1000</v>
      </c>
      <c r="B641">
        <v>500</v>
      </c>
      <c r="C641">
        <v>2.16</v>
      </c>
      <c r="E641">
        <f t="shared" si="27"/>
        <v>100000000</v>
      </c>
      <c r="F641">
        <f t="shared" si="28"/>
        <v>500</v>
      </c>
      <c r="G641">
        <f t="shared" si="29"/>
        <v>462.96296296296293</v>
      </c>
    </row>
    <row r="642" spans="1:7" x14ac:dyDescent="0.35">
      <c r="A642">
        <v>1000</v>
      </c>
      <c r="B642">
        <v>520</v>
      </c>
      <c r="C642">
        <v>2.2599999999999998</v>
      </c>
      <c r="E642">
        <f t="shared" ref="E642:E662" si="30">A642*100000</f>
        <v>100000000</v>
      </c>
      <c r="F642">
        <f t="shared" si="28"/>
        <v>520</v>
      </c>
      <c r="G642">
        <f t="shared" si="29"/>
        <v>442.47787610619474</v>
      </c>
    </row>
    <row r="643" spans="1:7" x14ac:dyDescent="0.35">
      <c r="A643">
        <v>1000</v>
      </c>
      <c r="B643">
        <v>540</v>
      </c>
      <c r="C643">
        <v>2.37</v>
      </c>
      <c r="E643">
        <f t="shared" si="30"/>
        <v>100000000</v>
      </c>
      <c r="F643">
        <f t="shared" ref="F643:F662" si="31">B643</f>
        <v>540</v>
      </c>
      <c r="G643">
        <f t="shared" ref="G643:G662" si="32">1/C643*0.001*1000000</f>
        <v>421.94092827004215</v>
      </c>
    </row>
    <row r="644" spans="1:7" x14ac:dyDescent="0.35">
      <c r="A644">
        <v>1000</v>
      </c>
      <c r="B644">
        <v>560</v>
      </c>
      <c r="C644">
        <v>2.48</v>
      </c>
      <c r="E644">
        <f t="shared" si="30"/>
        <v>100000000</v>
      </c>
      <c r="F644">
        <f t="shared" si="31"/>
        <v>560</v>
      </c>
      <c r="G644">
        <f t="shared" si="32"/>
        <v>403.22580645161298</v>
      </c>
    </row>
    <row r="645" spans="1:7" x14ac:dyDescent="0.35">
      <c r="A645">
        <v>1100</v>
      </c>
      <c r="B645">
        <v>310</v>
      </c>
      <c r="C645">
        <v>1.51</v>
      </c>
      <c r="E645">
        <f t="shared" si="30"/>
        <v>110000000</v>
      </c>
      <c r="F645">
        <f t="shared" si="31"/>
        <v>310</v>
      </c>
      <c r="G645">
        <f t="shared" si="32"/>
        <v>662.25165562913924</v>
      </c>
    </row>
    <row r="646" spans="1:7" x14ac:dyDescent="0.35">
      <c r="A646">
        <v>1100</v>
      </c>
      <c r="B646">
        <v>320</v>
      </c>
      <c r="C646">
        <v>1.53</v>
      </c>
      <c r="E646">
        <f t="shared" si="30"/>
        <v>110000000</v>
      </c>
      <c r="F646">
        <f t="shared" si="31"/>
        <v>320</v>
      </c>
      <c r="G646">
        <f t="shared" si="32"/>
        <v>653.59477124183013</v>
      </c>
    </row>
    <row r="647" spans="1:7" x14ac:dyDescent="0.35">
      <c r="A647">
        <v>1100</v>
      </c>
      <c r="B647">
        <v>330</v>
      </c>
      <c r="C647">
        <v>1.54</v>
      </c>
      <c r="E647">
        <f t="shared" si="30"/>
        <v>110000000</v>
      </c>
      <c r="F647">
        <f t="shared" si="31"/>
        <v>330</v>
      </c>
      <c r="G647">
        <f t="shared" si="32"/>
        <v>649.35064935064941</v>
      </c>
    </row>
    <row r="648" spans="1:7" x14ac:dyDescent="0.35">
      <c r="A648">
        <v>1100</v>
      </c>
      <c r="B648">
        <v>340</v>
      </c>
      <c r="C648">
        <v>1.57</v>
      </c>
      <c r="E648">
        <f t="shared" si="30"/>
        <v>110000000</v>
      </c>
      <c r="F648">
        <f t="shared" si="31"/>
        <v>340</v>
      </c>
      <c r="G648">
        <f t="shared" si="32"/>
        <v>636.94267515923559</v>
      </c>
    </row>
    <row r="649" spans="1:7" x14ac:dyDescent="0.35">
      <c r="A649">
        <v>1100</v>
      </c>
      <c r="B649">
        <v>350</v>
      </c>
      <c r="C649">
        <v>1.59</v>
      </c>
      <c r="E649">
        <f t="shared" si="30"/>
        <v>110000000</v>
      </c>
      <c r="F649">
        <f t="shared" si="31"/>
        <v>350</v>
      </c>
      <c r="G649">
        <f t="shared" si="32"/>
        <v>628.93081761006283</v>
      </c>
    </row>
    <row r="650" spans="1:7" x14ac:dyDescent="0.35">
      <c r="A650">
        <v>1100</v>
      </c>
      <c r="B650">
        <v>360</v>
      </c>
      <c r="C650">
        <v>1.62</v>
      </c>
      <c r="E650">
        <f t="shared" si="30"/>
        <v>110000000</v>
      </c>
      <c r="F650">
        <f t="shared" si="31"/>
        <v>360</v>
      </c>
      <c r="G650">
        <f t="shared" si="32"/>
        <v>617.28395061728395</v>
      </c>
    </row>
    <row r="651" spans="1:7" x14ac:dyDescent="0.35">
      <c r="A651">
        <v>1100</v>
      </c>
      <c r="B651">
        <v>370</v>
      </c>
      <c r="C651">
        <v>1.65</v>
      </c>
      <c r="E651">
        <f t="shared" si="30"/>
        <v>110000000</v>
      </c>
      <c r="F651">
        <f t="shared" si="31"/>
        <v>370</v>
      </c>
      <c r="G651">
        <f t="shared" si="32"/>
        <v>606.06060606060601</v>
      </c>
    </row>
    <row r="652" spans="1:7" x14ac:dyDescent="0.35">
      <c r="A652">
        <v>1100</v>
      </c>
      <c r="B652">
        <v>380</v>
      </c>
      <c r="C652">
        <v>1.68</v>
      </c>
      <c r="E652">
        <f t="shared" si="30"/>
        <v>110000000</v>
      </c>
      <c r="F652">
        <f t="shared" si="31"/>
        <v>380</v>
      </c>
      <c r="G652">
        <f t="shared" si="32"/>
        <v>595.2380952380953</v>
      </c>
    </row>
    <row r="653" spans="1:7" x14ac:dyDescent="0.35">
      <c r="A653">
        <v>1100</v>
      </c>
      <c r="B653">
        <v>390</v>
      </c>
      <c r="C653">
        <v>1.71</v>
      </c>
      <c r="E653">
        <f t="shared" si="30"/>
        <v>110000000</v>
      </c>
      <c r="F653">
        <f t="shared" si="31"/>
        <v>390</v>
      </c>
      <c r="G653">
        <f t="shared" si="32"/>
        <v>584.79532163742692</v>
      </c>
    </row>
    <row r="654" spans="1:7" x14ac:dyDescent="0.35">
      <c r="A654">
        <v>1100</v>
      </c>
      <c r="B654">
        <v>400</v>
      </c>
      <c r="C654">
        <v>1.74</v>
      </c>
      <c r="E654">
        <f t="shared" si="30"/>
        <v>110000000</v>
      </c>
      <c r="F654">
        <f t="shared" si="31"/>
        <v>400</v>
      </c>
      <c r="G654">
        <f t="shared" si="32"/>
        <v>574.71264367816093</v>
      </c>
    </row>
    <row r="655" spans="1:7" x14ac:dyDescent="0.35">
      <c r="A655">
        <v>1100</v>
      </c>
      <c r="B655">
        <v>420</v>
      </c>
      <c r="C655">
        <v>1.8</v>
      </c>
      <c r="E655">
        <f t="shared" si="30"/>
        <v>110000000</v>
      </c>
      <c r="F655">
        <f t="shared" si="31"/>
        <v>420</v>
      </c>
      <c r="G655">
        <f t="shared" si="32"/>
        <v>555.55555555555554</v>
      </c>
    </row>
    <row r="656" spans="1:7" x14ac:dyDescent="0.35">
      <c r="A656">
        <v>1100</v>
      </c>
      <c r="B656">
        <v>440</v>
      </c>
      <c r="C656">
        <v>1.87</v>
      </c>
      <c r="E656">
        <f t="shared" si="30"/>
        <v>110000000</v>
      </c>
      <c r="F656">
        <f t="shared" si="31"/>
        <v>440</v>
      </c>
      <c r="G656">
        <f t="shared" si="32"/>
        <v>534.75935828876993</v>
      </c>
    </row>
    <row r="657" spans="1:7" x14ac:dyDescent="0.35">
      <c r="A657">
        <v>1100</v>
      </c>
      <c r="B657">
        <v>460</v>
      </c>
      <c r="C657">
        <v>1.94</v>
      </c>
      <c r="E657">
        <f t="shared" si="30"/>
        <v>110000000</v>
      </c>
      <c r="F657">
        <f t="shared" si="31"/>
        <v>460</v>
      </c>
      <c r="G657">
        <f t="shared" si="32"/>
        <v>515.46391752577335</v>
      </c>
    </row>
    <row r="658" spans="1:7" x14ac:dyDescent="0.35">
      <c r="A658">
        <v>1100</v>
      </c>
      <c r="B658">
        <v>480</v>
      </c>
      <c r="C658">
        <v>2.0099999999999998</v>
      </c>
      <c r="E658">
        <f t="shared" si="30"/>
        <v>110000000</v>
      </c>
      <c r="F658">
        <f t="shared" si="31"/>
        <v>480</v>
      </c>
      <c r="G658">
        <f t="shared" si="32"/>
        <v>497.51243781094536</v>
      </c>
    </row>
    <row r="659" spans="1:7" x14ac:dyDescent="0.35">
      <c r="A659">
        <v>1100</v>
      </c>
      <c r="B659">
        <v>500</v>
      </c>
      <c r="C659">
        <v>2.1</v>
      </c>
      <c r="E659">
        <f t="shared" si="30"/>
        <v>110000000</v>
      </c>
      <c r="F659">
        <f t="shared" si="31"/>
        <v>500</v>
      </c>
      <c r="G659">
        <f t="shared" si="32"/>
        <v>476.1904761904762</v>
      </c>
    </row>
    <row r="660" spans="1:7" x14ac:dyDescent="0.35">
      <c r="A660">
        <v>1100</v>
      </c>
      <c r="B660">
        <v>520</v>
      </c>
      <c r="C660">
        <v>2.19</v>
      </c>
      <c r="E660">
        <f t="shared" si="30"/>
        <v>110000000</v>
      </c>
      <c r="F660">
        <f t="shared" si="31"/>
        <v>520</v>
      </c>
      <c r="G660">
        <f t="shared" si="32"/>
        <v>456.6210045662101</v>
      </c>
    </row>
    <row r="661" spans="1:7" x14ac:dyDescent="0.35">
      <c r="A661">
        <v>1100</v>
      </c>
      <c r="B661">
        <v>540</v>
      </c>
      <c r="C661">
        <v>2.2799999999999998</v>
      </c>
      <c r="E661">
        <f t="shared" si="30"/>
        <v>110000000</v>
      </c>
      <c r="F661">
        <f t="shared" si="31"/>
        <v>540</v>
      </c>
      <c r="G661">
        <f t="shared" si="32"/>
        <v>438.59649122807025</v>
      </c>
    </row>
    <row r="662" spans="1:7" x14ac:dyDescent="0.35">
      <c r="A662">
        <v>1100</v>
      </c>
      <c r="B662">
        <v>560</v>
      </c>
      <c r="C662">
        <v>2.38</v>
      </c>
      <c r="E662">
        <f t="shared" si="30"/>
        <v>110000000</v>
      </c>
      <c r="F662">
        <f t="shared" si="31"/>
        <v>560</v>
      </c>
      <c r="G662">
        <f t="shared" si="32"/>
        <v>420.1680672268908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06394-306E-450B-B21E-25B287A42B98}">
  <dimension ref="A1:G1983"/>
  <sheetViews>
    <sheetView topLeftCell="A1954" zoomScale="85" zoomScaleNormal="85" workbookViewId="0">
      <selection activeCell="E2" sqref="E2:G1983"/>
    </sheetView>
  </sheetViews>
  <sheetFormatPr defaultRowHeight="14.5" x14ac:dyDescent="0.35"/>
  <cols>
    <col min="6" max="7" width="12" bestFit="1" customWidth="1"/>
  </cols>
  <sheetData>
    <row r="1" spans="1:7" x14ac:dyDescent="0.35">
      <c r="A1" t="s">
        <v>32</v>
      </c>
      <c r="B1" t="s">
        <v>33</v>
      </c>
      <c r="C1" t="s">
        <v>34</v>
      </c>
      <c r="E1" t="s">
        <v>7</v>
      </c>
      <c r="F1" t="s">
        <v>10</v>
      </c>
      <c r="G1" t="s">
        <v>11</v>
      </c>
    </row>
    <row r="2" spans="1:7" x14ac:dyDescent="0.35">
      <c r="A2">
        <v>5</v>
      </c>
      <c r="B2">
        <v>-50</v>
      </c>
      <c r="C2">
        <v>51.05</v>
      </c>
      <c r="E2">
        <f t="shared" ref="E2:E65" si="0">A2*6894.76</f>
        <v>34473.800000000003</v>
      </c>
      <c r="F2">
        <f>(B2-32)*5/9+273.15</f>
        <v>227.59444444444443</v>
      </c>
      <c r="G2">
        <f>1/(C2*0.062428)</f>
        <v>0.3137796916386561</v>
      </c>
    </row>
    <row r="3" spans="1:7" x14ac:dyDescent="0.35">
      <c r="A3">
        <v>5</v>
      </c>
      <c r="B3">
        <v>-40</v>
      </c>
      <c r="C3">
        <v>52.36</v>
      </c>
      <c r="E3">
        <f t="shared" si="0"/>
        <v>34473.800000000003</v>
      </c>
      <c r="F3">
        <f t="shared" ref="F3:F66" si="1">(B3-32)*5/9+273.15</f>
        <v>233.14999999999998</v>
      </c>
      <c r="G3">
        <f t="shared" ref="G3:G66" si="2">1/(C3*0.062428)</f>
        <v>0.3059292066110274</v>
      </c>
    </row>
    <row r="4" spans="1:7" x14ac:dyDescent="0.35">
      <c r="A4">
        <v>5</v>
      </c>
      <c r="B4">
        <v>-30</v>
      </c>
      <c r="C4">
        <v>53.67</v>
      </c>
      <c r="E4">
        <f t="shared" si="0"/>
        <v>34473.800000000003</v>
      </c>
      <c r="F4">
        <f t="shared" si="1"/>
        <v>238.70555555555552</v>
      </c>
      <c r="G4">
        <f t="shared" si="2"/>
        <v>0.29846195748375987</v>
      </c>
    </row>
    <row r="5" spans="1:7" x14ac:dyDescent="0.35">
      <c r="A5">
        <v>5</v>
      </c>
      <c r="B5">
        <v>-20</v>
      </c>
      <c r="C5">
        <v>54.97</v>
      </c>
      <c r="E5">
        <f t="shared" si="0"/>
        <v>34473.800000000003</v>
      </c>
      <c r="F5">
        <f t="shared" si="1"/>
        <v>244.26111111111109</v>
      </c>
      <c r="G5">
        <f t="shared" si="2"/>
        <v>0.29140355208574481</v>
      </c>
    </row>
    <row r="6" spans="1:7" x14ac:dyDescent="0.35">
      <c r="A6">
        <v>5</v>
      </c>
      <c r="B6">
        <v>-10</v>
      </c>
      <c r="C6">
        <v>56.26</v>
      </c>
      <c r="E6">
        <f t="shared" si="0"/>
        <v>34473.800000000003</v>
      </c>
      <c r="F6">
        <f t="shared" si="1"/>
        <v>249.81666666666663</v>
      </c>
      <c r="G6">
        <f t="shared" si="2"/>
        <v>0.284721885143146</v>
      </c>
    </row>
    <row r="7" spans="1:7" x14ac:dyDescent="0.35">
      <c r="A7">
        <v>5</v>
      </c>
      <c r="B7">
        <v>0</v>
      </c>
      <c r="C7">
        <v>57.55</v>
      </c>
      <c r="E7">
        <f t="shared" si="0"/>
        <v>34473.800000000003</v>
      </c>
      <c r="F7">
        <f t="shared" si="1"/>
        <v>255.37222222222221</v>
      </c>
      <c r="G7">
        <f t="shared" si="2"/>
        <v>0.27833976121899906</v>
      </c>
    </row>
    <row r="8" spans="1:7" x14ac:dyDescent="0.35">
      <c r="A8">
        <v>5</v>
      </c>
      <c r="B8">
        <v>10</v>
      </c>
      <c r="C8">
        <v>58.84</v>
      </c>
      <c r="E8">
        <f t="shared" si="0"/>
        <v>34473.800000000003</v>
      </c>
      <c r="F8">
        <f t="shared" si="1"/>
        <v>260.92777777777775</v>
      </c>
      <c r="G8">
        <f t="shared" si="2"/>
        <v>0.27223747889451722</v>
      </c>
    </row>
    <row r="9" spans="1:7" x14ac:dyDescent="0.35">
      <c r="A9">
        <v>5</v>
      </c>
      <c r="B9">
        <v>20</v>
      </c>
      <c r="C9">
        <v>60.12</v>
      </c>
      <c r="E9">
        <f t="shared" si="0"/>
        <v>34473.800000000003</v>
      </c>
      <c r="F9">
        <f t="shared" si="1"/>
        <v>266.48333333333329</v>
      </c>
      <c r="G9">
        <f t="shared" si="2"/>
        <v>0.26644133829263794</v>
      </c>
    </row>
    <row r="10" spans="1:7" x14ac:dyDescent="0.35">
      <c r="A10">
        <v>5</v>
      </c>
      <c r="B10">
        <v>30</v>
      </c>
      <c r="C10">
        <v>61.41</v>
      </c>
      <c r="E10">
        <f t="shared" si="0"/>
        <v>34473.800000000003</v>
      </c>
      <c r="F10">
        <f t="shared" si="1"/>
        <v>272.03888888888889</v>
      </c>
      <c r="G10">
        <f t="shared" si="2"/>
        <v>0.26084437808424349</v>
      </c>
    </row>
    <row r="11" spans="1:7" x14ac:dyDescent="0.35">
      <c r="A11">
        <v>5</v>
      </c>
      <c r="B11">
        <v>40</v>
      </c>
      <c r="C11">
        <v>62.69</v>
      </c>
      <c r="E11">
        <f t="shared" si="0"/>
        <v>34473.800000000003</v>
      </c>
      <c r="F11">
        <f t="shared" si="1"/>
        <v>277.59444444444443</v>
      </c>
      <c r="G11">
        <f t="shared" si="2"/>
        <v>0.25551847596352517</v>
      </c>
    </row>
    <row r="12" spans="1:7" x14ac:dyDescent="0.35">
      <c r="A12">
        <v>5</v>
      </c>
      <c r="B12">
        <v>50</v>
      </c>
      <c r="C12">
        <v>63.96</v>
      </c>
      <c r="E12">
        <f t="shared" si="0"/>
        <v>34473.800000000003</v>
      </c>
      <c r="F12">
        <f t="shared" si="1"/>
        <v>283.14999999999998</v>
      </c>
      <c r="G12">
        <f t="shared" si="2"/>
        <v>0.25044486019626944</v>
      </c>
    </row>
    <row r="13" spans="1:7" x14ac:dyDescent="0.35">
      <c r="A13">
        <v>5</v>
      </c>
      <c r="B13">
        <v>60</v>
      </c>
      <c r="C13">
        <v>65.239999999999995</v>
      </c>
      <c r="E13">
        <f t="shared" si="0"/>
        <v>34473.800000000003</v>
      </c>
      <c r="F13">
        <f t="shared" si="1"/>
        <v>288.70555555555552</v>
      </c>
      <c r="G13">
        <f t="shared" si="2"/>
        <v>0.24553116582086748</v>
      </c>
    </row>
    <row r="14" spans="1:7" x14ac:dyDescent="0.35">
      <c r="A14">
        <v>5</v>
      </c>
      <c r="B14">
        <v>70</v>
      </c>
      <c r="C14">
        <v>66.510000000000005</v>
      </c>
      <c r="E14">
        <f t="shared" si="0"/>
        <v>34473.800000000003</v>
      </c>
      <c r="F14">
        <f t="shared" si="1"/>
        <v>294.26111111111106</v>
      </c>
      <c r="G14">
        <f t="shared" si="2"/>
        <v>0.24084277940390006</v>
      </c>
    </row>
    <row r="15" spans="1:7" x14ac:dyDescent="0.35">
      <c r="A15">
        <v>5</v>
      </c>
      <c r="B15">
        <v>80</v>
      </c>
      <c r="C15">
        <v>67.790000000000006</v>
      </c>
      <c r="E15">
        <f t="shared" si="0"/>
        <v>34473.800000000003</v>
      </c>
      <c r="F15">
        <f t="shared" si="1"/>
        <v>299.81666666666666</v>
      </c>
      <c r="G15">
        <f t="shared" si="2"/>
        <v>0.23629522434213587</v>
      </c>
    </row>
    <row r="16" spans="1:7" x14ac:dyDescent="0.35">
      <c r="A16">
        <v>5</v>
      </c>
      <c r="B16">
        <v>90</v>
      </c>
      <c r="C16">
        <v>69.06</v>
      </c>
      <c r="E16">
        <f t="shared" si="0"/>
        <v>34473.800000000003</v>
      </c>
      <c r="F16">
        <f t="shared" si="1"/>
        <v>305.37222222222221</v>
      </c>
      <c r="G16">
        <f t="shared" si="2"/>
        <v>0.23194980101583251</v>
      </c>
    </row>
    <row r="17" spans="1:7" x14ac:dyDescent="0.35">
      <c r="A17">
        <v>5</v>
      </c>
      <c r="B17">
        <v>100</v>
      </c>
      <c r="C17">
        <v>70.33</v>
      </c>
      <c r="E17">
        <f t="shared" si="0"/>
        <v>34473.800000000003</v>
      </c>
      <c r="F17">
        <f t="shared" si="1"/>
        <v>310.92777777777775</v>
      </c>
      <c r="G17">
        <f t="shared" si="2"/>
        <v>0.22776131463320623</v>
      </c>
    </row>
    <row r="18" spans="1:7" x14ac:dyDescent="0.35">
      <c r="A18">
        <v>5</v>
      </c>
      <c r="B18">
        <v>110</v>
      </c>
      <c r="C18">
        <v>71.599999999999994</v>
      </c>
      <c r="E18">
        <f t="shared" si="0"/>
        <v>34473.800000000003</v>
      </c>
      <c r="F18">
        <f t="shared" si="1"/>
        <v>316.48333333333329</v>
      </c>
      <c r="G18">
        <f t="shared" si="2"/>
        <v>0.22372141422001945</v>
      </c>
    </row>
    <row r="19" spans="1:7" x14ac:dyDescent="0.35">
      <c r="A19">
        <v>5</v>
      </c>
      <c r="B19">
        <v>120</v>
      </c>
      <c r="C19">
        <v>72.87</v>
      </c>
      <c r="E19">
        <f t="shared" si="0"/>
        <v>34473.800000000003</v>
      </c>
      <c r="F19">
        <f t="shared" si="1"/>
        <v>322.03888888888889</v>
      </c>
      <c r="G19">
        <f t="shared" si="2"/>
        <v>0.21982233097507056</v>
      </c>
    </row>
    <row r="20" spans="1:7" x14ac:dyDescent="0.35">
      <c r="A20">
        <v>5</v>
      </c>
      <c r="B20">
        <v>130</v>
      </c>
      <c r="C20">
        <v>74.14</v>
      </c>
      <c r="E20">
        <f t="shared" si="0"/>
        <v>34473.800000000003</v>
      </c>
      <c r="F20">
        <f t="shared" si="1"/>
        <v>327.59444444444443</v>
      </c>
      <c r="G20">
        <f t="shared" si="2"/>
        <v>0.21605682840778789</v>
      </c>
    </row>
    <row r="21" spans="1:7" x14ac:dyDescent="0.35">
      <c r="A21">
        <v>5</v>
      </c>
      <c r="B21">
        <v>140</v>
      </c>
      <c r="C21">
        <v>75.41</v>
      </c>
      <c r="E21">
        <f t="shared" si="0"/>
        <v>34473.800000000003</v>
      </c>
      <c r="F21">
        <f t="shared" si="1"/>
        <v>333.15</v>
      </c>
      <c r="G21">
        <f t="shared" si="2"/>
        <v>0.2124181575143004</v>
      </c>
    </row>
    <row r="22" spans="1:7" x14ac:dyDescent="0.35">
      <c r="A22">
        <v>5</v>
      </c>
      <c r="B22">
        <v>150</v>
      </c>
      <c r="C22">
        <v>76.680000000000007</v>
      </c>
      <c r="E22">
        <f t="shared" si="0"/>
        <v>34473.800000000003</v>
      </c>
      <c r="F22">
        <f t="shared" si="1"/>
        <v>338.70555555555552</v>
      </c>
      <c r="G22">
        <f t="shared" si="2"/>
        <v>0.20890001640784286</v>
      </c>
    </row>
    <row r="23" spans="1:7" x14ac:dyDescent="0.35">
      <c r="A23">
        <v>5</v>
      </c>
      <c r="B23">
        <v>160</v>
      </c>
      <c r="C23">
        <v>77.95</v>
      </c>
      <c r="E23">
        <f t="shared" si="0"/>
        <v>34473.800000000003</v>
      </c>
      <c r="F23">
        <f t="shared" si="1"/>
        <v>344.26111111111106</v>
      </c>
      <c r="G23">
        <f t="shared" si="2"/>
        <v>0.20549651389548934</v>
      </c>
    </row>
    <row r="24" spans="1:7" x14ac:dyDescent="0.35">
      <c r="A24">
        <v>5</v>
      </c>
      <c r="B24">
        <v>170</v>
      </c>
      <c r="C24">
        <v>79.209999999999994</v>
      </c>
      <c r="E24">
        <f t="shared" si="0"/>
        <v>34473.800000000003</v>
      </c>
      <c r="F24">
        <f t="shared" si="1"/>
        <v>349.81666666666666</v>
      </c>
      <c r="G24">
        <f t="shared" si="2"/>
        <v>0.20222766390800903</v>
      </c>
    </row>
    <row r="25" spans="1:7" x14ac:dyDescent="0.35">
      <c r="A25">
        <v>5</v>
      </c>
      <c r="B25">
        <v>180</v>
      </c>
      <c r="C25">
        <v>80.48</v>
      </c>
      <c r="E25">
        <f t="shared" si="0"/>
        <v>34473.800000000003</v>
      </c>
      <c r="F25">
        <f t="shared" si="1"/>
        <v>355.37222222222221</v>
      </c>
      <c r="G25">
        <f t="shared" si="2"/>
        <v>0.19903644704464951</v>
      </c>
    </row>
    <row r="26" spans="1:7" x14ac:dyDescent="0.35">
      <c r="A26">
        <v>6</v>
      </c>
      <c r="B26">
        <v>-50</v>
      </c>
      <c r="C26">
        <v>42.44</v>
      </c>
      <c r="E26">
        <f t="shared" si="0"/>
        <v>41368.559999999998</v>
      </c>
      <c r="F26">
        <f t="shared" si="1"/>
        <v>227.59444444444443</v>
      </c>
      <c r="G26">
        <f t="shared" si="2"/>
        <v>0.37743763567750693</v>
      </c>
    </row>
    <row r="27" spans="1:7" x14ac:dyDescent="0.35">
      <c r="A27">
        <v>6</v>
      </c>
      <c r="B27">
        <v>-40</v>
      </c>
      <c r="C27">
        <v>43.55</v>
      </c>
      <c r="E27">
        <f t="shared" si="0"/>
        <v>41368.559999999998</v>
      </c>
      <c r="F27">
        <f t="shared" si="1"/>
        <v>233.14999999999998</v>
      </c>
      <c r="G27">
        <f t="shared" si="2"/>
        <v>0.36781752601959578</v>
      </c>
    </row>
    <row r="28" spans="1:7" x14ac:dyDescent="0.35">
      <c r="A28">
        <v>6</v>
      </c>
      <c r="B28">
        <v>-30</v>
      </c>
      <c r="C28">
        <v>44.64</v>
      </c>
      <c r="E28">
        <f t="shared" si="0"/>
        <v>41368.559999999998</v>
      </c>
      <c r="F28">
        <f t="shared" si="1"/>
        <v>238.70555555555552</v>
      </c>
      <c r="G28">
        <f t="shared" si="2"/>
        <v>0.35883631850702047</v>
      </c>
    </row>
    <row r="29" spans="1:7" x14ac:dyDescent="0.35">
      <c r="A29">
        <v>6</v>
      </c>
      <c r="B29">
        <v>-20</v>
      </c>
      <c r="C29">
        <v>45.73</v>
      </c>
      <c r="E29">
        <f t="shared" si="0"/>
        <v>41368.559999999998</v>
      </c>
      <c r="F29">
        <f t="shared" si="1"/>
        <v>244.26111111111109</v>
      </c>
      <c r="G29">
        <f t="shared" si="2"/>
        <v>0.35028325515314662</v>
      </c>
    </row>
    <row r="30" spans="1:7" x14ac:dyDescent="0.35">
      <c r="A30">
        <v>6</v>
      </c>
      <c r="B30">
        <v>-10</v>
      </c>
      <c r="C30">
        <v>46.82</v>
      </c>
      <c r="E30">
        <f t="shared" si="0"/>
        <v>41368.559999999998</v>
      </c>
      <c r="F30">
        <f t="shared" si="1"/>
        <v>249.81666666666663</v>
      </c>
      <c r="G30">
        <f t="shared" si="2"/>
        <v>0.34212843353595457</v>
      </c>
    </row>
    <row r="31" spans="1:7" x14ac:dyDescent="0.35">
      <c r="A31">
        <v>6</v>
      </c>
      <c r="B31">
        <v>0</v>
      </c>
      <c r="C31">
        <v>47.9</v>
      </c>
      <c r="E31">
        <f t="shared" si="0"/>
        <v>41368.559999999998</v>
      </c>
      <c r="F31">
        <f t="shared" si="1"/>
        <v>255.37222222222221</v>
      </c>
      <c r="G31">
        <f t="shared" si="2"/>
        <v>0.33441447303034227</v>
      </c>
    </row>
    <row r="32" spans="1:7" x14ac:dyDescent="0.35">
      <c r="A32">
        <v>6</v>
      </c>
      <c r="B32">
        <v>10</v>
      </c>
      <c r="C32">
        <v>48.98</v>
      </c>
      <c r="E32">
        <f t="shared" si="0"/>
        <v>41368.559999999998</v>
      </c>
      <c r="F32">
        <f t="shared" si="1"/>
        <v>260.92777777777775</v>
      </c>
      <c r="G32">
        <f t="shared" si="2"/>
        <v>0.32704069534817054</v>
      </c>
    </row>
    <row r="33" spans="1:7" x14ac:dyDescent="0.35">
      <c r="A33">
        <v>6</v>
      </c>
      <c r="B33">
        <v>20</v>
      </c>
      <c r="C33">
        <v>50.05</v>
      </c>
      <c r="E33">
        <f t="shared" si="0"/>
        <v>41368.559999999998</v>
      </c>
      <c r="F33">
        <f t="shared" si="1"/>
        <v>266.48333333333329</v>
      </c>
      <c r="G33">
        <f t="shared" si="2"/>
        <v>0.32004901614692094</v>
      </c>
    </row>
    <row r="34" spans="1:7" x14ac:dyDescent="0.35">
      <c r="A34">
        <v>6</v>
      </c>
      <c r="B34">
        <v>30</v>
      </c>
      <c r="C34">
        <v>51.12</v>
      </c>
      <c r="E34">
        <f t="shared" si="0"/>
        <v>41368.559999999998</v>
      </c>
      <c r="F34">
        <f t="shared" si="1"/>
        <v>272.03888888888889</v>
      </c>
      <c r="G34">
        <f t="shared" si="2"/>
        <v>0.31335002461176437</v>
      </c>
    </row>
    <row r="35" spans="1:7" x14ac:dyDescent="0.35">
      <c r="A35">
        <v>6</v>
      </c>
      <c r="B35">
        <v>40</v>
      </c>
      <c r="C35">
        <v>52.19</v>
      </c>
      <c r="E35">
        <f t="shared" si="0"/>
        <v>41368.559999999998</v>
      </c>
      <c r="F35">
        <f t="shared" si="1"/>
        <v>277.59444444444443</v>
      </c>
      <c r="G35">
        <f t="shared" si="2"/>
        <v>0.30692571868467894</v>
      </c>
    </row>
    <row r="36" spans="1:7" x14ac:dyDescent="0.35">
      <c r="A36">
        <v>6</v>
      </c>
      <c r="B36">
        <v>50</v>
      </c>
      <c r="C36">
        <v>53.26</v>
      </c>
      <c r="E36">
        <f t="shared" si="0"/>
        <v>41368.559999999998</v>
      </c>
      <c r="F36">
        <f t="shared" si="1"/>
        <v>283.14999999999998</v>
      </c>
      <c r="G36">
        <f t="shared" si="2"/>
        <v>0.30075954296194879</v>
      </c>
    </row>
    <row r="37" spans="1:7" x14ac:dyDescent="0.35">
      <c r="A37">
        <v>6</v>
      </c>
      <c r="B37">
        <v>60</v>
      </c>
      <c r="C37">
        <v>54.32</v>
      </c>
      <c r="E37">
        <f t="shared" si="0"/>
        <v>41368.559999999998</v>
      </c>
      <c r="F37">
        <f t="shared" si="1"/>
        <v>288.70555555555552</v>
      </c>
      <c r="G37">
        <f t="shared" si="2"/>
        <v>0.29489052389825837</v>
      </c>
    </row>
    <row r="38" spans="1:7" x14ac:dyDescent="0.35">
      <c r="A38">
        <v>6</v>
      </c>
      <c r="B38">
        <v>70</v>
      </c>
      <c r="C38">
        <v>55.39</v>
      </c>
      <c r="E38">
        <f t="shared" si="0"/>
        <v>41368.559999999998</v>
      </c>
      <c r="F38">
        <f t="shared" si="1"/>
        <v>294.26111111111106</v>
      </c>
      <c r="G38">
        <f t="shared" si="2"/>
        <v>0.28919395663754094</v>
      </c>
    </row>
    <row r="39" spans="1:7" x14ac:dyDescent="0.35">
      <c r="A39">
        <v>6</v>
      </c>
      <c r="B39">
        <v>80</v>
      </c>
      <c r="C39">
        <v>56.45</v>
      </c>
      <c r="E39">
        <f t="shared" si="0"/>
        <v>41368.559999999998</v>
      </c>
      <c r="F39">
        <f t="shared" si="1"/>
        <v>299.81666666666666</v>
      </c>
      <c r="G39">
        <f t="shared" si="2"/>
        <v>0.2837635652462957</v>
      </c>
    </row>
    <row r="40" spans="1:7" x14ac:dyDescent="0.35">
      <c r="A40">
        <v>6</v>
      </c>
      <c r="B40">
        <v>90</v>
      </c>
      <c r="C40">
        <v>57.51</v>
      </c>
      <c r="E40">
        <f t="shared" si="0"/>
        <v>41368.559999999998</v>
      </c>
      <c r="F40">
        <f t="shared" si="1"/>
        <v>305.37222222222221</v>
      </c>
      <c r="G40">
        <f t="shared" si="2"/>
        <v>0.27853335521045719</v>
      </c>
    </row>
    <row r="41" spans="1:7" x14ac:dyDescent="0.35">
      <c r="A41">
        <v>6</v>
      </c>
      <c r="B41">
        <v>100</v>
      </c>
      <c r="C41">
        <v>58.58</v>
      </c>
      <c r="E41">
        <f t="shared" si="0"/>
        <v>41368.559999999998</v>
      </c>
      <c r="F41">
        <f t="shared" si="1"/>
        <v>310.92777777777775</v>
      </c>
      <c r="G41">
        <f t="shared" si="2"/>
        <v>0.27344577088005112</v>
      </c>
    </row>
    <row r="42" spans="1:7" x14ac:dyDescent="0.35">
      <c r="A42">
        <v>6</v>
      </c>
      <c r="B42">
        <v>110</v>
      </c>
      <c r="C42">
        <v>59.64</v>
      </c>
      <c r="E42">
        <f t="shared" si="0"/>
        <v>41368.559999999998</v>
      </c>
      <c r="F42">
        <f t="shared" si="1"/>
        <v>316.48333333333329</v>
      </c>
      <c r="G42">
        <f t="shared" si="2"/>
        <v>0.26858573538151231</v>
      </c>
    </row>
    <row r="43" spans="1:7" x14ac:dyDescent="0.35">
      <c r="A43">
        <v>6</v>
      </c>
      <c r="B43">
        <v>120</v>
      </c>
      <c r="C43">
        <v>60.7</v>
      </c>
      <c r="E43">
        <f t="shared" si="0"/>
        <v>41368.559999999998</v>
      </c>
      <c r="F43">
        <f t="shared" si="1"/>
        <v>322.03888888888889</v>
      </c>
      <c r="G43">
        <f t="shared" si="2"/>
        <v>0.26389544082625027</v>
      </c>
    </row>
    <row r="44" spans="1:7" x14ac:dyDescent="0.35">
      <c r="A44">
        <v>6</v>
      </c>
      <c r="B44">
        <v>130</v>
      </c>
      <c r="C44">
        <v>61.76</v>
      </c>
      <c r="E44">
        <f t="shared" si="0"/>
        <v>41368.559999999998</v>
      </c>
      <c r="F44">
        <f t="shared" si="1"/>
        <v>327.59444444444443</v>
      </c>
      <c r="G44">
        <f t="shared" si="2"/>
        <v>0.2593661473146599</v>
      </c>
    </row>
    <row r="45" spans="1:7" x14ac:dyDescent="0.35">
      <c r="A45">
        <v>6</v>
      </c>
      <c r="B45">
        <v>140</v>
      </c>
      <c r="C45">
        <v>62.82</v>
      </c>
      <c r="E45">
        <f t="shared" si="0"/>
        <v>41368.559999999998</v>
      </c>
      <c r="F45">
        <f t="shared" si="1"/>
        <v>333.15</v>
      </c>
      <c r="G45">
        <f t="shared" si="2"/>
        <v>0.25498970484166494</v>
      </c>
    </row>
    <row r="46" spans="1:7" x14ac:dyDescent="0.35">
      <c r="A46">
        <v>6</v>
      </c>
      <c r="B46">
        <v>150</v>
      </c>
      <c r="C46">
        <v>63.87</v>
      </c>
      <c r="E46">
        <f t="shared" si="0"/>
        <v>41368.559999999998</v>
      </c>
      <c r="F46">
        <f t="shared" si="1"/>
        <v>338.70555555555552</v>
      </c>
      <c r="G46">
        <f t="shared" si="2"/>
        <v>0.25079776511904484</v>
      </c>
    </row>
    <row r="47" spans="1:7" x14ac:dyDescent="0.35">
      <c r="A47">
        <v>6</v>
      </c>
      <c r="B47">
        <v>160</v>
      </c>
      <c r="C47">
        <v>64.930000000000007</v>
      </c>
      <c r="E47">
        <f t="shared" si="0"/>
        <v>41368.559999999998</v>
      </c>
      <c r="F47">
        <f t="shared" si="1"/>
        <v>344.26111111111106</v>
      </c>
      <c r="G47">
        <f t="shared" si="2"/>
        <v>0.24670342304255954</v>
      </c>
    </row>
    <row r="48" spans="1:7" x14ac:dyDescent="0.35">
      <c r="A48">
        <v>6</v>
      </c>
      <c r="B48">
        <v>170</v>
      </c>
      <c r="C48">
        <v>65.989999999999995</v>
      </c>
      <c r="E48">
        <f t="shared" si="0"/>
        <v>41368.559999999998</v>
      </c>
      <c r="F48">
        <f t="shared" si="1"/>
        <v>349.81666666666666</v>
      </c>
      <c r="G48">
        <f t="shared" si="2"/>
        <v>0.24274061612597958</v>
      </c>
    </row>
    <row r="49" spans="1:7" x14ac:dyDescent="0.35">
      <c r="A49">
        <v>6</v>
      </c>
      <c r="B49">
        <v>180</v>
      </c>
      <c r="C49">
        <v>67.05</v>
      </c>
      <c r="E49">
        <f t="shared" si="0"/>
        <v>41368.559999999998</v>
      </c>
      <c r="F49">
        <f t="shared" si="1"/>
        <v>355.37222222222221</v>
      </c>
      <c r="G49">
        <f t="shared" si="2"/>
        <v>0.23890310601272774</v>
      </c>
    </row>
    <row r="50" spans="1:7" x14ac:dyDescent="0.35">
      <c r="A50">
        <v>7</v>
      </c>
      <c r="B50">
        <v>-50</v>
      </c>
      <c r="C50">
        <v>36.29</v>
      </c>
      <c r="E50">
        <f t="shared" si="0"/>
        <v>48263.32</v>
      </c>
      <c r="F50">
        <f t="shared" si="1"/>
        <v>227.59444444444443</v>
      </c>
      <c r="G50">
        <f t="shared" si="2"/>
        <v>0.44140130223624674</v>
      </c>
    </row>
    <row r="51" spans="1:7" x14ac:dyDescent="0.35">
      <c r="A51">
        <v>7</v>
      </c>
      <c r="B51">
        <v>-40</v>
      </c>
      <c r="C51">
        <v>37.25</v>
      </c>
      <c r="E51">
        <f t="shared" si="0"/>
        <v>48263.32</v>
      </c>
      <c r="F51">
        <f t="shared" si="1"/>
        <v>233.14999999999998</v>
      </c>
      <c r="G51">
        <f t="shared" si="2"/>
        <v>0.43002559082290986</v>
      </c>
    </row>
    <row r="52" spans="1:7" x14ac:dyDescent="0.35">
      <c r="A52">
        <v>7</v>
      </c>
      <c r="B52">
        <v>-30</v>
      </c>
      <c r="C52">
        <v>38.19</v>
      </c>
      <c r="E52">
        <f t="shared" si="0"/>
        <v>48263.32</v>
      </c>
      <c r="F52">
        <f t="shared" si="1"/>
        <v>238.70555555555552</v>
      </c>
      <c r="G52">
        <f t="shared" si="2"/>
        <v>0.41944103844339864</v>
      </c>
    </row>
    <row r="53" spans="1:7" x14ac:dyDescent="0.35">
      <c r="A53">
        <v>7</v>
      </c>
      <c r="B53">
        <v>-20</v>
      </c>
      <c r="C53">
        <v>39.130000000000003</v>
      </c>
      <c r="E53">
        <f t="shared" si="0"/>
        <v>48263.32</v>
      </c>
      <c r="F53">
        <f t="shared" si="1"/>
        <v>244.26111111111109</v>
      </c>
      <c r="G53">
        <f t="shared" si="2"/>
        <v>0.40936502065303843</v>
      </c>
    </row>
    <row r="54" spans="1:7" x14ac:dyDescent="0.35">
      <c r="A54">
        <v>7</v>
      </c>
      <c r="B54">
        <v>-10</v>
      </c>
      <c r="C54">
        <v>40.07</v>
      </c>
      <c r="E54">
        <f t="shared" si="0"/>
        <v>48263.32</v>
      </c>
      <c r="F54">
        <f t="shared" si="1"/>
        <v>249.81666666666663</v>
      </c>
      <c r="G54">
        <f t="shared" si="2"/>
        <v>0.39976174839414508</v>
      </c>
    </row>
    <row r="55" spans="1:7" x14ac:dyDescent="0.35">
      <c r="A55">
        <v>7</v>
      </c>
      <c r="B55">
        <v>0</v>
      </c>
      <c r="C55">
        <v>41</v>
      </c>
      <c r="E55">
        <f t="shared" si="0"/>
        <v>48263.32</v>
      </c>
      <c r="F55">
        <f t="shared" si="1"/>
        <v>255.37222222222221</v>
      </c>
      <c r="G55">
        <f t="shared" si="2"/>
        <v>0.39069398190618032</v>
      </c>
    </row>
    <row r="56" spans="1:7" x14ac:dyDescent="0.35">
      <c r="A56">
        <v>7</v>
      </c>
      <c r="B56">
        <v>10</v>
      </c>
      <c r="C56">
        <v>41.93</v>
      </c>
      <c r="E56">
        <f t="shared" si="0"/>
        <v>48263.32</v>
      </c>
      <c r="F56">
        <f t="shared" si="1"/>
        <v>260.92777777777775</v>
      </c>
      <c r="G56">
        <f t="shared" si="2"/>
        <v>0.38202845833897908</v>
      </c>
    </row>
    <row r="57" spans="1:7" x14ac:dyDescent="0.35">
      <c r="A57">
        <v>7</v>
      </c>
      <c r="B57">
        <v>20</v>
      </c>
      <c r="C57">
        <v>42.85</v>
      </c>
      <c r="E57">
        <f t="shared" si="0"/>
        <v>48263.32</v>
      </c>
      <c r="F57">
        <f t="shared" si="1"/>
        <v>266.48333333333329</v>
      </c>
      <c r="G57">
        <f t="shared" si="2"/>
        <v>0.37382621372586683</v>
      </c>
    </row>
    <row r="58" spans="1:7" x14ac:dyDescent="0.35">
      <c r="A58">
        <v>7</v>
      </c>
      <c r="B58">
        <v>30</v>
      </c>
      <c r="C58">
        <v>43.77</v>
      </c>
      <c r="E58">
        <f t="shared" si="0"/>
        <v>48263.32</v>
      </c>
      <c r="F58">
        <f t="shared" si="1"/>
        <v>272.03888888888889</v>
      </c>
      <c r="G58">
        <f t="shared" si="2"/>
        <v>0.36596877446089537</v>
      </c>
    </row>
    <row r="59" spans="1:7" x14ac:dyDescent="0.35">
      <c r="A59">
        <v>7</v>
      </c>
      <c r="B59">
        <v>40</v>
      </c>
      <c r="C59">
        <v>44.69</v>
      </c>
      <c r="E59">
        <f t="shared" si="0"/>
        <v>48263.32</v>
      </c>
      <c r="F59">
        <f t="shared" si="1"/>
        <v>277.59444444444443</v>
      </c>
      <c r="G59">
        <f t="shared" si="2"/>
        <v>0.35843484578548657</v>
      </c>
    </row>
    <row r="60" spans="1:7" x14ac:dyDescent="0.35">
      <c r="A60">
        <v>7</v>
      </c>
      <c r="B60">
        <v>50</v>
      </c>
      <c r="C60">
        <v>45.61</v>
      </c>
      <c r="E60">
        <f t="shared" si="0"/>
        <v>48263.32</v>
      </c>
      <c r="F60">
        <f t="shared" si="1"/>
        <v>283.14999999999998</v>
      </c>
      <c r="G60">
        <f t="shared" si="2"/>
        <v>0.35120485108865152</v>
      </c>
    </row>
    <row r="61" spans="1:7" x14ac:dyDescent="0.35">
      <c r="A61">
        <v>7</v>
      </c>
      <c r="B61">
        <v>60</v>
      </c>
      <c r="C61">
        <v>46.53</v>
      </c>
      <c r="E61">
        <f t="shared" si="0"/>
        <v>48263.32</v>
      </c>
      <c r="F61">
        <f t="shared" si="1"/>
        <v>288.70555555555552</v>
      </c>
      <c r="G61">
        <f t="shared" si="2"/>
        <v>0.34426076204928846</v>
      </c>
    </row>
    <row r="62" spans="1:7" x14ac:dyDescent="0.35">
      <c r="A62">
        <v>7</v>
      </c>
      <c r="B62">
        <v>70</v>
      </c>
      <c r="C62">
        <v>47.44</v>
      </c>
      <c r="E62">
        <f t="shared" si="0"/>
        <v>48263.32</v>
      </c>
      <c r="F62">
        <f t="shared" si="1"/>
        <v>294.26111111111106</v>
      </c>
      <c r="G62">
        <f t="shared" si="2"/>
        <v>0.33765710915163144</v>
      </c>
    </row>
    <row r="63" spans="1:7" x14ac:dyDescent="0.35">
      <c r="A63">
        <v>7</v>
      </c>
      <c r="B63">
        <v>80</v>
      </c>
      <c r="C63">
        <v>48.36</v>
      </c>
      <c r="E63">
        <f t="shared" si="0"/>
        <v>48263.32</v>
      </c>
      <c r="F63">
        <f t="shared" si="1"/>
        <v>299.81666666666666</v>
      </c>
      <c r="G63">
        <f t="shared" si="2"/>
        <v>0.33123352477571116</v>
      </c>
    </row>
    <row r="64" spans="1:7" x14ac:dyDescent="0.35">
      <c r="A64">
        <v>7</v>
      </c>
      <c r="B64">
        <v>90</v>
      </c>
      <c r="C64">
        <v>49.27</v>
      </c>
      <c r="E64">
        <f t="shared" si="0"/>
        <v>48263.32</v>
      </c>
      <c r="F64">
        <f t="shared" si="1"/>
        <v>305.37222222222221</v>
      </c>
      <c r="G64">
        <f t="shared" si="2"/>
        <v>0.32511575518882468</v>
      </c>
    </row>
    <row r="65" spans="1:7" x14ac:dyDescent="0.35">
      <c r="A65">
        <v>7</v>
      </c>
      <c r="B65">
        <v>100</v>
      </c>
      <c r="C65">
        <v>50.18</v>
      </c>
      <c r="E65">
        <f t="shared" si="0"/>
        <v>48263.32</v>
      </c>
      <c r="F65">
        <f t="shared" si="1"/>
        <v>310.92777777777775</v>
      </c>
      <c r="G65">
        <f t="shared" si="2"/>
        <v>0.31921987361804294</v>
      </c>
    </row>
    <row r="66" spans="1:7" x14ac:dyDescent="0.35">
      <c r="A66">
        <v>7</v>
      </c>
      <c r="B66">
        <v>110</v>
      </c>
      <c r="C66">
        <v>51.09</v>
      </c>
      <c r="E66">
        <f t="shared" ref="E66:E129" si="3">A66*6894.76</f>
        <v>48263.32</v>
      </c>
      <c r="F66">
        <f t="shared" si="1"/>
        <v>316.48333333333329</v>
      </c>
      <c r="G66">
        <f t="shared" si="2"/>
        <v>0.31353402345181819</v>
      </c>
    </row>
    <row r="67" spans="1:7" x14ac:dyDescent="0.35">
      <c r="A67">
        <v>7</v>
      </c>
      <c r="B67">
        <v>120</v>
      </c>
      <c r="C67">
        <v>52</v>
      </c>
      <c r="E67">
        <f t="shared" si="3"/>
        <v>48263.32</v>
      </c>
      <c r="F67">
        <f t="shared" ref="F67:F130" si="4">(B67-32)*5/9+273.15</f>
        <v>322.03888888888889</v>
      </c>
      <c r="G67">
        <f t="shared" ref="G67:G130" si="5">1/(C67*0.062428)</f>
        <v>0.30804717804141141</v>
      </c>
    </row>
    <row r="68" spans="1:7" x14ac:dyDescent="0.35">
      <c r="A68">
        <v>7</v>
      </c>
      <c r="B68">
        <v>130</v>
      </c>
      <c r="C68">
        <v>52.91</v>
      </c>
      <c r="E68">
        <f t="shared" si="3"/>
        <v>48263.32</v>
      </c>
      <c r="F68">
        <f t="shared" si="4"/>
        <v>327.59444444444443</v>
      </c>
      <c r="G68">
        <f t="shared" si="5"/>
        <v>0.30274906932816847</v>
      </c>
    </row>
    <row r="69" spans="1:7" x14ac:dyDescent="0.35">
      <c r="A69">
        <v>7</v>
      </c>
      <c r="B69">
        <v>140</v>
      </c>
      <c r="C69">
        <v>53.82</v>
      </c>
      <c r="E69">
        <f t="shared" si="3"/>
        <v>48263.32</v>
      </c>
      <c r="F69">
        <f t="shared" si="4"/>
        <v>333.15</v>
      </c>
      <c r="G69">
        <f t="shared" si="5"/>
        <v>0.2976301237115086</v>
      </c>
    </row>
    <row r="70" spans="1:7" x14ac:dyDescent="0.35">
      <c r="A70">
        <v>7</v>
      </c>
      <c r="B70">
        <v>150</v>
      </c>
      <c r="C70">
        <v>54.73</v>
      </c>
      <c r="E70">
        <f t="shared" si="3"/>
        <v>48263.32</v>
      </c>
      <c r="F70">
        <f t="shared" si="4"/>
        <v>338.70555555555552</v>
      </c>
      <c r="G70">
        <f t="shared" si="5"/>
        <v>0.29268140431488021</v>
      </c>
    </row>
    <row r="71" spans="1:7" x14ac:dyDescent="0.35">
      <c r="A71">
        <v>7</v>
      </c>
      <c r="B71">
        <v>160</v>
      </c>
      <c r="C71">
        <v>55.63</v>
      </c>
      <c r="E71">
        <f t="shared" si="3"/>
        <v>48263.32</v>
      </c>
      <c r="F71">
        <f t="shared" si="4"/>
        <v>344.26111111111106</v>
      </c>
      <c r="G71">
        <f t="shared" si="5"/>
        <v>0.28794631059056974</v>
      </c>
    </row>
    <row r="72" spans="1:7" x14ac:dyDescent="0.35">
      <c r="A72">
        <v>7</v>
      </c>
      <c r="B72">
        <v>170</v>
      </c>
      <c r="C72">
        <v>56.54</v>
      </c>
      <c r="E72">
        <f t="shared" si="3"/>
        <v>48263.32</v>
      </c>
      <c r="F72">
        <f t="shared" si="4"/>
        <v>349.81666666666666</v>
      </c>
      <c r="G72">
        <f t="shared" si="5"/>
        <v>0.28331187227013427</v>
      </c>
    </row>
    <row r="73" spans="1:7" x14ac:dyDescent="0.35">
      <c r="A73">
        <v>7</v>
      </c>
      <c r="B73">
        <v>180</v>
      </c>
      <c r="C73">
        <v>57.45</v>
      </c>
      <c r="E73">
        <f t="shared" si="3"/>
        <v>48263.32</v>
      </c>
      <c r="F73">
        <f t="shared" si="4"/>
        <v>355.37222222222221</v>
      </c>
      <c r="G73">
        <f t="shared" si="5"/>
        <v>0.27882425166498509</v>
      </c>
    </row>
    <row r="74" spans="1:7" x14ac:dyDescent="0.35">
      <c r="A74">
        <v>10</v>
      </c>
      <c r="B74">
        <v>-30</v>
      </c>
      <c r="C74">
        <v>26.58</v>
      </c>
      <c r="E74">
        <f t="shared" si="3"/>
        <v>68947.600000000006</v>
      </c>
      <c r="F74">
        <f t="shared" si="4"/>
        <v>238.70555555555552</v>
      </c>
      <c r="G74">
        <f t="shared" si="5"/>
        <v>0.60265061166867551</v>
      </c>
    </row>
    <row r="75" spans="1:7" x14ac:dyDescent="0.35">
      <c r="A75">
        <v>10</v>
      </c>
      <c r="B75">
        <v>-20</v>
      </c>
      <c r="C75">
        <v>27.26</v>
      </c>
      <c r="E75">
        <f t="shared" si="3"/>
        <v>68947.600000000006</v>
      </c>
      <c r="F75">
        <f t="shared" si="4"/>
        <v>244.26111111111109</v>
      </c>
      <c r="G75">
        <f t="shared" si="5"/>
        <v>0.58761750763585441</v>
      </c>
    </row>
    <row r="76" spans="1:7" x14ac:dyDescent="0.35">
      <c r="A76">
        <v>10</v>
      </c>
      <c r="B76">
        <v>-10</v>
      </c>
      <c r="C76">
        <v>27.92</v>
      </c>
      <c r="E76">
        <f t="shared" si="3"/>
        <v>68947.600000000006</v>
      </c>
      <c r="F76">
        <f t="shared" si="4"/>
        <v>249.81666666666663</v>
      </c>
      <c r="G76">
        <f t="shared" si="5"/>
        <v>0.57372683589374618</v>
      </c>
    </row>
    <row r="77" spans="1:7" x14ac:dyDescent="0.35">
      <c r="A77">
        <v>10</v>
      </c>
      <c r="B77">
        <v>0</v>
      </c>
      <c r="C77">
        <v>28.58</v>
      </c>
      <c r="E77">
        <f t="shared" si="3"/>
        <v>68947.600000000006</v>
      </c>
      <c r="F77">
        <f t="shared" si="4"/>
        <v>255.37222222222221</v>
      </c>
      <c r="G77">
        <f t="shared" si="5"/>
        <v>0.56047772071915303</v>
      </c>
    </row>
    <row r="78" spans="1:7" x14ac:dyDescent="0.35">
      <c r="A78">
        <v>10</v>
      </c>
      <c r="B78">
        <v>10</v>
      </c>
      <c r="C78">
        <v>29.24</v>
      </c>
      <c r="E78">
        <f t="shared" si="3"/>
        <v>68947.600000000006</v>
      </c>
      <c r="F78">
        <f t="shared" si="4"/>
        <v>260.92777777777775</v>
      </c>
      <c r="G78">
        <f t="shared" si="5"/>
        <v>0.54782671881509559</v>
      </c>
    </row>
    <row r="79" spans="1:7" x14ac:dyDescent="0.35">
      <c r="A79">
        <v>10</v>
      </c>
      <c r="B79">
        <v>20</v>
      </c>
      <c r="C79">
        <v>29.9</v>
      </c>
      <c r="E79">
        <f t="shared" si="3"/>
        <v>68947.600000000006</v>
      </c>
      <c r="F79">
        <f t="shared" si="4"/>
        <v>266.48333333333329</v>
      </c>
      <c r="G79">
        <f t="shared" si="5"/>
        <v>0.53573422268071558</v>
      </c>
    </row>
    <row r="80" spans="1:7" x14ac:dyDescent="0.35">
      <c r="A80">
        <v>10</v>
      </c>
      <c r="B80">
        <v>30</v>
      </c>
      <c r="C80">
        <v>30.55</v>
      </c>
      <c r="E80">
        <f t="shared" si="3"/>
        <v>68947.600000000006</v>
      </c>
      <c r="F80">
        <f t="shared" si="4"/>
        <v>272.03888888888889</v>
      </c>
      <c r="G80">
        <f t="shared" si="5"/>
        <v>0.52433562219814711</v>
      </c>
    </row>
    <row r="81" spans="1:7" x14ac:dyDescent="0.35">
      <c r="A81">
        <v>10</v>
      </c>
      <c r="B81">
        <v>40</v>
      </c>
      <c r="C81">
        <v>31.2</v>
      </c>
      <c r="E81">
        <f t="shared" si="3"/>
        <v>68947.600000000006</v>
      </c>
      <c r="F81">
        <f t="shared" si="4"/>
        <v>277.59444444444443</v>
      </c>
      <c r="G81">
        <f t="shared" si="5"/>
        <v>0.51341196340235229</v>
      </c>
    </row>
    <row r="82" spans="1:7" x14ac:dyDescent="0.35">
      <c r="A82">
        <v>10</v>
      </c>
      <c r="B82">
        <v>50</v>
      </c>
      <c r="C82">
        <v>31.85</v>
      </c>
      <c r="E82">
        <f t="shared" si="3"/>
        <v>68947.600000000006</v>
      </c>
      <c r="F82">
        <f t="shared" si="4"/>
        <v>283.14999999999998</v>
      </c>
      <c r="G82">
        <f t="shared" si="5"/>
        <v>0.50293416823087578</v>
      </c>
    </row>
    <row r="83" spans="1:7" x14ac:dyDescent="0.35">
      <c r="A83">
        <v>10</v>
      </c>
      <c r="B83">
        <v>60</v>
      </c>
      <c r="C83">
        <v>32.49</v>
      </c>
      <c r="E83">
        <f t="shared" si="3"/>
        <v>68947.600000000006</v>
      </c>
      <c r="F83">
        <f t="shared" si="4"/>
        <v>288.70555555555552</v>
      </c>
      <c r="G83">
        <f t="shared" si="5"/>
        <v>0.4930271855387317</v>
      </c>
    </row>
    <row r="84" spans="1:7" x14ac:dyDescent="0.35">
      <c r="A84">
        <v>10</v>
      </c>
      <c r="B84">
        <v>70</v>
      </c>
      <c r="C84">
        <v>33.14</v>
      </c>
      <c r="E84">
        <f t="shared" si="3"/>
        <v>68947.600000000006</v>
      </c>
      <c r="F84">
        <f t="shared" si="4"/>
        <v>294.26111111111106</v>
      </c>
      <c r="G84">
        <f t="shared" si="5"/>
        <v>0.48335706874331297</v>
      </c>
    </row>
    <row r="85" spans="1:7" x14ac:dyDescent="0.35">
      <c r="A85">
        <v>10</v>
      </c>
      <c r="B85">
        <v>80</v>
      </c>
      <c r="C85">
        <v>33.78</v>
      </c>
      <c r="E85">
        <f t="shared" si="3"/>
        <v>68947.600000000006</v>
      </c>
      <c r="F85">
        <f t="shared" si="4"/>
        <v>299.81666666666666</v>
      </c>
      <c r="G85">
        <f t="shared" si="5"/>
        <v>0.47419932676593823</v>
      </c>
    </row>
    <row r="86" spans="1:7" x14ac:dyDescent="0.35">
      <c r="A86">
        <v>10</v>
      </c>
      <c r="B86">
        <v>90</v>
      </c>
      <c r="C86">
        <v>34.42</v>
      </c>
      <c r="E86">
        <f t="shared" si="3"/>
        <v>68947.600000000006</v>
      </c>
      <c r="F86">
        <f t="shared" si="4"/>
        <v>305.37222222222221</v>
      </c>
      <c r="G86">
        <f t="shared" si="5"/>
        <v>0.46538213998121425</v>
      </c>
    </row>
    <row r="87" spans="1:7" x14ac:dyDescent="0.35">
      <c r="A87">
        <v>10</v>
      </c>
      <c r="B87">
        <v>100</v>
      </c>
      <c r="C87">
        <v>35.07</v>
      </c>
      <c r="E87">
        <f t="shared" si="3"/>
        <v>68947.600000000006</v>
      </c>
      <c r="F87">
        <f t="shared" si="4"/>
        <v>310.92777777777775</v>
      </c>
      <c r="G87">
        <f t="shared" si="5"/>
        <v>0.45675657993023649</v>
      </c>
    </row>
    <row r="88" spans="1:7" x14ac:dyDescent="0.35">
      <c r="A88">
        <v>10</v>
      </c>
      <c r="B88">
        <v>110</v>
      </c>
      <c r="C88">
        <v>35.71</v>
      </c>
      <c r="E88">
        <f t="shared" si="3"/>
        <v>68947.600000000006</v>
      </c>
      <c r="F88">
        <f t="shared" si="4"/>
        <v>316.48333333333329</v>
      </c>
      <c r="G88">
        <f t="shared" si="5"/>
        <v>0.44857051969065792</v>
      </c>
    </row>
    <row r="89" spans="1:7" x14ac:dyDescent="0.35">
      <c r="A89">
        <v>10</v>
      </c>
      <c r="B89">
        <v>120</v>
      </c>
      <c r="C89">
        <v>36.35</v>
      </c>
      <c r="E89">
        <f t="shared" si="3"/>
        <v>68947.600000000006</v>
      </c>
      <c r="F89">
        <f t="shared" si="4"/>
        <v>322.03888888888889</v>
      </c>
      <c r="G89">
        <f t="shared" si="5"/>
        <v>0.44067271686804382</v>
      </c>
    </row>
    <row r="90" spans="1:7" x14ac:dyDescent="0.35">
      <c r="A90">
        <v>10</v>
      </c>
      <c r="B90">
        <v>130</v>
      </c>
      <c r="C90">
        <v>36.99</v>
      </c>
      <c r="E90">
        <f t="shared" si="3"/>
        <v>68947.600000000006</v>
      </c>
      <c r="F90">
        <f t="shared" si="4"/>
        <v>327.59444444444443</v>
      </c>
      <c r="G90">
        <f t="shared" si="5"/>
        <v>0.43304820919582032</v>
      </c>
    </row>
    <row r="91" spans="1:7" x14ac:dyDescent="0.35">
      <c r="A91">
        <v>10</v>
      </c>
      <c r="B91">
        <v>140</v>
      </c>
      <c r="C91">
        <v>37.619999999999997</v>
      </c>
      <c r="E91">
        <f t="shared" si="3"/>
        <v>68947.600000000006</v>
      </c>
      <c r="F91">
        <f t="shared" si="4"/>
        <v>333.15</v>
      </c>
      <c r="G91">
        <f t="shared" si="5"/>
        <v>0.42579620569254106</v>
      </c>
    </row>
    <row r="92" spans="1:7" x14ac:dyDescent="0.35">
      <c r="A92">
        <v>10</v>
      </c>
      <c r="B92">
        <v>150</v>
      </c>
      <c r="C92">
        <v>38.26</v>
      </c>
      <c r="E92">
        <f t="shared" si="3"/>
        <v>68947.600000000006</v>
      </c>
      <c r="F92">
        <f t="shared" si="4"/>
        <v>338.70555555555552</v>
      </c>
      <c r="G92">
        <f t="shared" si="5"/>
        <v>0.41867363455706724</v>
      </c>
    </row>
    <row r="93" spans="1:7" x14ac:dyDescent="0.35">
      <c r="A93">
        <v>10</v>
      </c>
      <c r="B93">
        <v>160</v>
      </c>
      <c r="C93">
        <v>38.9</v>
      </c>
      <c r="E93">
        <f t="shared" si="3"/>
        <v>68947.600000000006</v>
      </c>
      <c r="F93">
        <f t="shared" si="4"/>
        <v>344.26111111111106</v>
      </c>
      <c r="G93">
        <f t="shared" si="5"/>
        <v>0.41178543080085844</v>
      </c>
    </row>
    <row r="94" spans="1:7" x14ac:dyDescent="0.35">
      <c r="A94">
        <v>10</v>
      </c>
      <c r="B94">
        <v>170</v>
      </c>
      <c r="C94">
        <v>39.54</v>
      </c>
      <c r="E94">
        <f t="shared" si="3"/>
        <v>68947.600000000006</v>
      </c>
      <c r="F94">
        <f t="shared" si="4"/>
        <v>349.81666666666666</v>
      </c>
      <c r="G94">
        <f t="shared" si="5"/>
        <v>0.40512021391384401</v>
      </c>
    </row>
    <row r="95" spans="1:7" x14ac:dyDescent="0.35">
      <c r="A95">
        <v>10</v>
      </c>
      <c r="B95">
        <v>180</v>
      </c>
      <c r="C95">
        <v>40.17</v>
      </c>
      <c r="E95">
        <f t="shared" si="3"/>
        <v>68947.600000000006</v>
      </c>
      <c r="F95">
        <f t="shared" si="4"/>
        <v>355.37222222222221</v>
      </c>
      <c r="G95">
        <f t="shared" si="5"/>
        <v>0.39876657351639017</v>
      </c>
    </row>
    <row r="96" spans="1:7" x14ac:dyDescent="0.35">
      <c r="A96">
        <v>10</v>
      </c>
      <c r="B96">
        <v>190</v>
      </c>
      <c r="C96">
        <v>40.81</v>
      </c>
      <c r="E96">
        <f t="shared" si="3"/>
        <v>68947.600000000006</v>
      </c>
      <c r="F96">
        <f t="shared" si="4"/>
        <v>360.92777777777775</v>
      </c>
      <c r="G96">
        <f t="shared" si="5"/>
        <v>0.39251294433112943</v>
      </c>
    </row>
    <row r="97" spans="1:7" x14ac:dyDescent="0.35">
      <c r="A97">
        <v>10</v>
      </c>
      <c r="B97">
        <v>200</v>
      </c>
      <c r="C97">
        <v>41.45</v>
      </c>
      <c r="E97">
        <f t="shared" si="3"/>
        <v>68947.600000000006</v>
      </c>
      <c r="F97">
        <f t="shared" si="4"/>
        <v>366.48333333333329</v>
      </c>
      <c r="G97">
        <f t="shared" si="5"/>
        <v>0.3864524308360287</v>
      </c>
    </row>
    <row r="98" spans="1:7" x14ac:dyDescent="0.35">
      <c r="A98">
        <v>11</v>
      </c>
      <c r="B98">
        <v>-30</v>
      </c>
      <c r="C98">
        <v>24.12</v>
      </c>
      <c r="E98">
        <f t="shared" si="3"/>
        <v>75842.36</v>
      </c>
      <c r="F98">
        <f t="shared" si="4"/>
        <v>238.70555555555552</v>
      </c>
      <c r="G98">
        <f t="shared" si="5"/>
        <v>0.66411497753538118</v>
      </c>
    </row>
    <row r="99" spans="1:7" x14ac:dyDescent="0.35">
      <c r="A99">
        <v>11</v>
      </c>
      <c r="B99">
        <v>-20</v>
      </c>
      <c r="C99">
        <v>24.74</v>
      </c>
      <c r="E99">
        <f t="shared" si="3"/>
        <v>75842.36</v>
      </c>
      <c r="F99">
        <f t="shared" si="4"/>
        <v>244.26111111111109</v>
      </c>
      <c r="G99">
        <f t="shared" si="5"/>
        <v>0.64747183743546466</v>
      </c>
    </row>
    <row r="100" spans="1:7" x14ac:dyDescent="0.35">
      <c r="A100">
        <v>11</v>
      </c>
      <c r="B100">
        <v>-10</v>
      </c>
      <c r="C100">
        <v>25.35</v>
      </c>
      <c r="E100">
        <f t="shared" si="3"/>
        <v>75842.36</v>
      </c>
      <c r="F100">
        <f t="shared" si="4"/>
        <v>249.81666666666663</v>
      </c>
      <c r="G100">
        <f t="shared" si="5"/>
        <v>0.63189164726443359</v>
      </c>
    </row>
    <row r="101" spans="1:7" x14ac:dyDescent="0.35">
      <c r="A101">
        <v>11</v>
      </c>
      <c r="B101">
        <v>0</v>
      </c>
      <c r="C101">
        <v>25.95</v>
      </c>
      <c r="E101">
        <f t="shared" si="3"/>
        <v>75842.36</v>
      </c>
      <c r="F101">
        <f t="shared" si="4"/>
        <v>255.37222222222221</v>
      </c>
      <c r="G101">
        <f t="shared" si="5"/>
        <v>0.61728143576699013</v>
      </c>
    </row>
    <row r="102" spans="1:7" x14ac:dyDescent="0.35">
      <c r="A102">
        <v>11</v>
      </c>
      <c r="B102">
        <v>10</v>
      </c>
      <c r="C102">
        <v>26.55</v>
      </c>
      <c r="E102">
        <f t="shared" si="3"/>
        <v>75842.36</v>
      </c>
      <c r="F102">
        <f t="shared" si="4"/>
        <v>260.92777777777775</v>
      </c>
      <c r="G102">
        <f t="shared" si="5"/>
        <v>0.60333157281180394</v>
      </c>
    </row>
    <row r="103" spans="1:7" x14ac:dyDescent="0.35">
      <c r="A103">
        <v>11</v>
      </c>
      <c r="B103">
        <v>20</v>
      </c>
      <c r="C103">
        <v>27.15</v>
      </c>
      <c r="E103">
        <f t="shared" si="3"/>
        <v>75842.36</v>
      </c>
      <c r="F103">
        <f t="shared" si="4"/>
        <v>266.48333333333329</v>
      </c>
      <c r="G103">
        <f t="shared" si="5"/>
        <v>0.58999827838502372</v>
      </c>
    </row>
    <row r="104" spans="1:7" x14ac:dyDescent="0.35">
      <c r="A104">
        <v>11</v>
      </c>
      <c r="B104">
        <v>30</v>
      </c>
      <c r="C104">
        <v>27.74</v>
      </c>
      <c r="E104">
        <f t="shared" si="3"/>
        <v>75842.36</v>
      </c>
      <c r="F104">
        <f t="shared" si="4"/>
        <v>272.03888888888889</v>
      </c>
      <c r="G104">
        <f t="shared" si="5"/>
        <v>0.57744964881591188</v>
      </c>
    </row>
    <row r="105" spans="1:7" x14ac:dyDescent="0.35">
      <c r="A105">
        <v>11</v>
      </c>
      <c r="B105">
        <v>40</v>
      </c>
      <c r="C105">
        <v>28.34</v>
      </c>
      <c r="E105">
        <f t="shared" si="3"/>
        <v>75842.36</v>
      </c>
      <c r="F105">
        <f t="shared" si="4"/>
        <v>277.59444444444443</v>
      </c>
      <c r="G105">
        <f t="shared" si="5"/>
        <v>0.56522417989249796</v>
      </c>
    </row>
    <row r="106" spans="1:7" x14ac:dyDescent="0.35">
      <c r="A106">
        <v>11</v>
      </c>
      <c r="B106">
        <v>50</v>
      </c>
      <c r="C106">
        <v>28.93</v>
      </c>
      <c r="E106">
        <f t="shared" si="3"/>
        <v>75842.36</v>
      </c>
      <c r="F106">
        <f t="shared" si="4"/>
        <v>283.14999999999998</v>
      </c>
      <c r="G106">
        <f t="shared" si="5"/>
        <v>0.55369696709828531</v>
      </c>
    </row>
    <row r="107" spans="1:7" x14ac:dyDescent="0.35">
      <c r="A107">
        <v>11</v>
      </c>
      <c r="B107">
        <v>60</v>
      </c>
      <c r="C107">
        <v>29.52</v>
      </c>
      <c r="E107">
        <f t="shared" si="3"/>
        <v>75842.36</v>
      </c>
      <c r="F107">
        <f t="shared" si="4"/>
        <v>288.70555555555552</v>
      </c>
      <c r="G107">
        <f t="shared" si="5"/>
        <v>0.54263053042525045</v>
      </c>
    </row>
    <row r="108" spans="1:7" x14ac:dyDescent="0.35">
      <c r="A108">
        <v>11</v>
      </c>
      <c r="B108">
        <v>70</v>
      </c>
      <c r="C108">
        <v>30.1</v>
      </c>
      <c r="E108">
        <f t="shared" si="3"/>
        <v>75842.36</v>
      </c>
      <c r="F108">
        <f t="shared" si="4"/>
        <v>294.26111111111106</v>
      </c>
      <c r="G108">
        <f t="shared" si="5"/>
        <v>0.53217452684894995</v>
      </c>
    </row>
    <row r="109" spans="1:7" x14ac:dyDescent="0.35">
      <c r="A109">
        <v>11</v>
      </c>
      <c r="B109">
        <v>80</v>
      </c>
      <c r="C109">
        <v>30.69</v>
      </c>
      <c r="E109">
        <f t="shared" si="3"/>
        <v>75842.36</v>
      </c>
      <c r="F109">
        <f t="shared" si="4"/>
        <v>299.81666666666666</v>
      </c>
      <c r="G109">
        <f t="shared" si="5"/>
        <v>0.52194373601021149</v>
      </c>
    </row>
    <row r="110" spans="1:7" x14ac:dyDescent="0.35">
      <c r="A110">
        <v>11</v>
      </c>
      <c r="B110">
        <v>90</v>
      </c>
      <c r="C110">
        <v>31.28</v>
      </c>
      <c r="E110">
        <f t="shared" si="3"/>
        <v>75842.36</v>
      </c>
      <c r="F110">
        <f t="shared" si="4"/>
        <v>305.37222222222221</v>
      </c>
      <c r="G110">
        <f t="shared" si="5"/>
        <v>0.51209888932715453</v>
      </c>
    </row>
    <row r="111" spans="1:7" x14ac:dyDescent="0.35">
      <c r="A111">
        <v>11</v>
      </c>
      <c r="B111">
        <v>100</v>
      </c>
      <c r="C111">
        <v>31.86</v>
      </c>
      <c r="E111">
        <f t="shared" si="3"/>
        <v>75842.36</v>
      </c>
      <c r="F111">
        <f t="shared" si="4"/>
        <v>310.92777777777775</v>
      </c>
      <c r="G111">
        <f t="shared" si="5"/>
        <v>0.5027763106765033</v>
      </c>
    </row>
    <row r="112" spans="1:7" x14ac:dyDescent="0.35">
      <c r="A112">
        <v>11</v>
      </c>
      <c r="B112">
        <v>110</v>
      </c>
      <c r="C112">
        <v>32.44</v>
      </c>
      <c r="E112">
        <f t="shared" si="3"/>
        <v>75842.36</v>
      </c>
      <c r="F112">
        <f t="shared" si="4"/>
        <v>316.48333333333329</v>
      </c>
      <c r="G112">
        <f t="shared" si="5"/>
        <v>0.49378709180497521</v>
      </c>
    </row>
    <row r="113" spans="1:7" x14ac:dyDescent="0.35">
      <c r="A113">
        <v>11</v>
      </c>
      <c r="B113">
        <v>120</v>
      </c>
      <c r="C113">
        <v>33.03</v>
      </c>
      <c r="E113">
        <f t="shared" si="3"/>
        <v>75842.36</v>
      </c>
      <c r="F113">
        <f t="shared" si="4"/>
        <v>322.03888888888889</v>
      </c>
      <c r="G113">
        <f t="shared" si="5"/>
        <v>0.48496679558442002</v>
      </c>
    </row>
    <row r="114" spans="1:7" x14ac:dyDescent="0.35">
      <c r="A114">
        <v>11</v>
      </c>
      <c r="B114">
        <v>130</v>
      </c>
      <c r="C114">
        <v>33.61</v>
      </c>
      <c r="E114">
        <f t="shared" si="3"/>
        <v>75842.36</v>
      </c>
      <c r="F114">
        <f t="shared" si="4"/>
        <v>327.59444444444443</v>
      </c>
      <c r="G114">
        <f t="shared" si="5"/>
        <v>0.47659783570822351</v>
      </c>
    </row>
    <row r="115" spans="1:7" x14ac:dyDescent="0.35">
      <c r="A115">
        <v>11</v>
      </c>
      <c r="B115">
        <v>140</v>
      </c>
      <c r="C115">
        <v>34.19</v>
      </c>
      <c r="E115">
        <f t="shared" si="3"/>
        <v>75842.36</v>
      </c>
      <c r="F115">
        <f t="shared" si="4"/>
        <v>333.15</v>
      </c>
      <c r="G115">
        <f t="shared" si="5"/>
        <v>0.46851281831393377</v>
      </c>
    </row>
    <row r="116" spans="1:7" x14ac:dyDescent="0.35">
      <c r="A116">
        <v>11</v>
      </c>
      <c r="B116">
        <v>150</v>
      </c>
      <c r="C116">
        <v>34.770000000000003</v>
      </c>
      <c r="E116">
        <f t="shared" si="3"/>
        <v>75842.36</v>
      </c>
      <c r="F116">
        <f t="shared" si="4"/>
        <v>338.70555555555552</v>
      </c>
      <c r="G116">
        <f t="shared" si="5"/>
        <v>0.46069753402799513</v>
      </c>
    </row>
    <row r="117" spans="1:7" x14ac:dyDescent="0.35">
      <c r="A117">
        <v>11</v>
      </c>
      <c r="B117">
        <v>160</v>
      </c>
      <c r="C117">
        <v>35.35</v>
      </c>
      <c r="E117">
        <f t="shared" si="3"/>
        <v>75842.36</v>
      </c>
      <c r="F117">
        <f t="shared" si="4"/>
        <v>344.26111111111106</v>
      </c>
      <c r="G117">
        <f t="shared" si="5"/>
        <v>0.45313870602979894</v>
      </c>
    </row>
    <row r="118" spans="1:7" x14ac:dyDescent="0.35">
      <c r="A118">
        <v>11</v>
      </c>
      <c r="B118">
        <v>170</v>
      </c>
      <c r="C118">
        <v>35.93</v>
      </c>
      <c r="E118">
        <f t="shared" si="3"/>
        <v>75842.36</v>
      </c>
      <c r="F118">
        <f t="shared" si="4"/>
        <v>349.81666666666666</v>
      </c>
      <c r="G118">
        <f t="shared" si="5"/>
        <v>0.44582391478300565</v>
      </c>
    </row>
    <row r="119" spans="1:7" x14ac:dyDescent="0.35">
      <c r="A119">
        <v>11</v>
      </c>
      <c r="B119">
        <v>180</v>
      </c>
      <c r="C119">
        <v>36.51</v>
      </c>
      <c r="E119">
        <f t="shared" si="3"/>
        <v>75842.36</v>
      </c>
      <c r="F119">
        <f t="shared" si="4"/>
        <v>355.37222222222221</v>
      </c>
      <c r="G119">
        <f t="shared" si="5"/>
        <v>0.43874152994120502</v>
      </c>
    </row>
    <row r="120" spans="1:7" x14ac:dyDescent="0.35">
      <c r="A120">
        <v>11</v>
      </c>
      <c r="B120">
        <v>190</v>
      </c>
      <c r="C120">
        <v>37.090000000000003</v>
      </c>
      <c r="E120">
        <f t="shared" si="3"/>
        <v>75842.36</v>
      </c>
      <c r="F120">
        <f t="shared" si="4"/>
        <v>360.92777777777775</v>
      </c>
      <c r="G120">
        <f t="shared" si="5"/>
        <v>0.43188064864258263</v>
      </c>
    </row>
    <row r="121" spans="1:7" x14ac:dyDescent="0.35">
      <c r="A121">
        <v>11</v>
      </c>
      <c r="B121">
        <v>200</v>
      </c>
      <c r="C121">
        <v>37.67</v>
      </c>
      <c r="E121">
        <f t="shared" si="3"/>
        <v>75842.36</v>
      </c>
      <c r="F121">
        <f t="shared" si="4"/>
        <v>366.48333333333329</v>
      </c>
      <c r="G121">
        <f t="shared" si="5"/>
        <v>0.42523103950500113</v>
      </c>
    </row>
    <row r="122" spans="1:7" x14ac:dyDescent="0.35">
      <c r="A122">
        <v>12</v>
      </c>
      <c r="B122">
        <v>-30</v>
      </c>
      <c r="C122">
        <v>22.07</v>
      </c>
      <c r="E122">
        <f t="shared" si="3"/>
        <v>82737.119999999995</v>
      </c>
      <c r="F122">
        <f t="shared" si="4"/>
        <v>238.70555555555552</v>
      </c>
      <c r="G122">
        <f t="shared" si="5"/>
        <v>0.72580214128470288</v>
      </c>
    </row>
    <row r="123" spans="1:7" x14ac:dyDescent="0.35">
      <c r="A123">
        <v>12</v>
      </c>
      <c r="B123">
        <v>-20</v>
      </c>
      <c r="C123">
        <v>22.64</v>
      </c>
      <c r="E123">
        <f t="shared" si="3"/>
        <v>82737.119999999995</v>
      </c>
      <c r="F123">
        <f t="shared" si="4"/>
        <v>244.26111111111109</v>
      </c>
      <c r="G123">
        <f t="shared" si="5"/>
        <v>0.70752885415871869</v>
      </c>
    </row>
    <row r="124" spans="1:7" x14ac:dyDescent="0.35">
      <c r="A124">
        <v>12</v>
      </c>
      <c r="B124">
        <v>-10</v>
      </c>
      <c r="C124">
        <v>23.2</v>
      </c>
      <c r="E124">
        <f t="shared" si="3"/>
        <v>82737.119999999995</v>
      </c>
      <c r="F124">
        <f t="shared" si="4"/>
        <v>249.81666666666663</v>
      </c>
      <c r="G124">
        <f t="shared" si="5"/>
        <v>0.69045057147212907</v>
      </c>
    </row>
    <row r="125" spans="1:7" x14ac:dyDescent="0.35">
      <c r="A125">
        <v>12</v>
      </c>
      <c r="B125">
        <v>0</v>
      </c>
      <c r="C125">
        <v>23.75</v>
      </c>
      <c r="E125">
        <f t="shared" si="3"/>
        <v>82737.119999999995</v>
      </c>
      <c r="F125">
        <f t="shared" si="4"/>
        <v>255.37222222222221</v>
      </c>
      <c r="G125">
        <f t="shared" si="5"/>
        <v>0.674461189816985</v>
      </c>
    </row>
    <row r="126" spans="1:7" x14ac:dyDescent="0.35">
      <c r="A126">
        <v>12</v>
      </c>
      <c r="B126">
        <v>10</v>
      </c>
      <c r="C126">
        <v>24.31</v>
      </c>
      <c r="E126">
        <f t="shared" si="3"/>
        <v>82737.119999999995</v>
      </c>
      <c r="F126">
        <f t="shared" si="4"/>
        <v>260.92777777777775</v>
      </c>
      <c r="G126">
        <f t="shared" si="5"/>
        <v>0.65892444500836667</v>
      </c>
    </row>
    <row r="127" spans="1:7" x14ac:dyDescent="0.35">
      <c r="A127">
        <v>12</v>
      </c>
      <c r="B127">
        <v>20</v>
      </c>
      <c r="C127">
        <v>24.86</v>
      </c>
      <c r="E127">
        <f t="shared" si="3"/>
        <v>82737.119999999995</v>
      </c>
      <c r="F127">
        <f t="shared" si="4"/>
        <v>266.48333333333329</v>
      </c>
      <c r="G127">
        <f t="shared" si="5"/>
        <v>0.64434647056127892</v>
      </c>
    </row>
    <row r="128" spans="1:7" x14ac:dyDescent="0.35">
      <c r="A128">
        <v>12</v>
      </c>
      <c r="B128">
        <v>30</v>
      </c>
      <c r="C128">
        <v>25.41</v>
      </c>
      <c r="E128">
        <f t="shared" si="3"/>
        <v>82737.119999999995</v>
      </c>
      <c r="F128">
        <f t="shared" si="4"/>
        <v>272.03888888888889</v>
      </c>
      <c r="G128">
        <f t="shared" si="5"/>
        <v>0.63039957725908669</v>
      </c>
    </row>
    <row r="129" spans="1:7" x14ac:dyDescent="0.35">
      <c r="A129">
        <v>12</v>
      </c>
      <c r="B129">
        <v>40</v>
      </c>
      <c r="C129">
        <v>25.95</v>
      </c>
      <c r="E129">
        <f t="shared" si="3"/>
        <v>82737.119999999995</v>
      </c>
      <c r="F129">
        <f t="shared" si="4"/>
        <v>277.59444444444443</v>
      </c>
      <c r="G129">
        <f t="shared" si="5"/>
        <v>0.61728143576699013</v>
      </c>
    </row>
    <row r="130" spans="1:7" x14ac:dyDescent="0.35">
      <c r="A130">
        <v>12</v>
      </c>
      <c r="B130">
        <v>50</v>
      </c>
      <c r="C130">
        <v>26.49</v>
      </c>
      <c r="E130">
        <f t="shared" ref="E130:E193" si="6">A130*6894.76</f>
        <v>82737.119999999995</v>
      </c>
      <c r="F130">
        <f t="shared" si="4"/>
        <v>283.14999999999998</v>
      </c>
      <c r="G130">
        <f t="shared" si="5"/>
        <v>0.60469812224059627</v>
      </c>
    </row>
    <row r="131" spans="1:7" x14ac:dyDescent="0.35">
      <c r="A131">
        <v>12</v>
      </c>
      <c r="B131">
        <v>60</v>
      </c>
      <c r="C131">
        <v>27.03</v>
      </c>
      <c r="E131">
        <f t="shared" si="6"/>
        <v>82737.119999999995</v>
      </c>
      <c r="F131">
        <f t="shared" ref="F131:F194" si="7">(B131-32)*5/9+273.15</f>
        <v>288.70555555555552</v>
      </c>
      <c r="G131">
        <f t="shared" ref="G131:G194" si="8">1/(C131*0.062428)</f>
        <v>0.59261758261758757</v>
      </c>
    </row>
    <row r="132" spans="1:7" x14ac:dyDescent="0.35">
      <c r="A132">
        <v>12</v>
      </c>
      <c r="B132">
        <v>70</v>
      </c>
      <c r="C132">
        <v>27.57</v>
      </c>
      <c r="E132">
        <f t="shared" si="6"/>
        <v>82737.119999999995</v>
      </c>
      <c r="F132">
        <f t="shared" si="7"/>
        <v>294.26111111111106</v>
      </c>
      <c r="G132">
        <f t="shared" si="8"/>
        <v>0.58101027414412021</v>
      </c>
    </row>
    <row r="133" spans="1:7" x14ac:dyDescent="0.35">
      <c r="A133">
        <v>12</v>
      </c>
      <c r="B133">
        <v>80</v>
      </c>
      <c r="C133">
        <v>28.11</v>
      </c>
      <c r="E133">
        <f t="shared" si="6"/>
        <v>82737.119999999995</v>
      </c>
      <c r="F133">
        <f t="shared" si="7"/>
        <v>299.81666666666666</v>
      </c>
      <c r="G133">
        <f t="shared" si="8"/>
        <v>0.56984892416056188</v>
      </c>
    </row>
    <row r="134" spans="1:7" x14ac:dyDescent="0.35">
      <c r="A134">
        <v>12</v>
      </c>
      <c r="B134">
        <v>90</v>
      </c>
      <c r="C134">
        <v>28.65</v>
      </c>
      <c r="E134">
        <f t="shared" si="6"/>
        <v>82737.119999999995</v>
      </c>
      <c r="F134">
        <f t="shared" si="7"/>
        <v>305.37222222222221</v>
      </c>
      <c r="G134">
        <f t="shared" si="8"/>
        <v>0.5591083161659125</v>
      </c>
    </row>
    <row r="135" spans="1:7" x14ac:dyDescent="0.35">
      <c r="A135">
        <v>12</v>
      </c>
      <c r="B135">
        <v>100</v>
      </c>
      <c r="C135">
        <v>29.19</v>
      </c>
      <c r="E135">
        <f t="shared" si="6"/>
        <v>82737.119999999995</v>
      </c>
      <c r="F135">
        <f t="shared" si="7"/>
        <v>310.92777777777775</v>
      </c>
      <c r="G135">
        <f t="shared" si="8"/>
        <v>0.54876509962841358</v>
      </c>
    </row>
    <row r="136" spans="1:7" x14ac:dyDescent="0.35">
      <c r="A136">
        <v>12</v>
      </c>
      <c r="B136">
        <v>110</v>
      </c>
      <c r="C136">
        <v>29.72</v>
      </c>
      <c r="E136">
        <f t="shared" si="6"/>
        <v>82737.119999999995</v>
      </c>
      <c r="F136">
        <f t="shared" si="7"/>
        <v>316.48333333333329</v>
      </c>
      <c r="G136">
        <f t="shared" si="8"/>
        <v>0.53897891178174273</v>
      </c>
    </row>
    <row r="137" spans="1:7" x14ac:dyDescent="0.35">
      <c r="A137">
        <v>12</v>
      </c>
      <c r="B137">
        <v>120</v>
      </c>
      <c r="C137">
        <v>30.26</v>
      </c>
      <c r="E137">
        <f t="shared" si="6"/>
        <v>82737.119999999995</v>
      </c>
      <c r="F137">
        <f t="shared" si="7"/>
        <v>322.03888888888889</v>
      </c>
      <c r="G137">
        <f t="shared" si="8"/>
        <v>0.52936064964155294</v>
      </c>
    </row>
    <row r="138" spans="1:7" x14ac:dyDescent="0.35">
      <c r="A138">
        <v>12</v>
      </c>
      <c r="B138">
        <v>130</v>
      </c>
      <c r="C138">
        <v>30.79</v>
      </c>
      <c r="E138">
        <f t="shared" si="6"/>
        <v>82737.119999999995</v>
      </c>
      <c r="F138">
        <f t="shared" si="7"/>
        <v>327.59444444444443</v>
      </c>
      <c r="G138">
        <f t="shared" si="8"/>
        <v>0.5202485631098861</v>
      </c>
    </row>
    <row r="139" spans="1:7" x14ac:dyDescent="0.35">
      <c r="A139">
        <v>12</v>
      </c>
      <c r="B139">
        <v>140</v>
      </c>
      <c r="C139">
        <v>31.33</v>
      </c>
      <c r="E139">
        <f t="shared" si="6"/>
        <v>82737.119999999995</v>
      </c>
      <c r="F139">
        <f t="shared" si="7"/>
        <v>333.15</v>
      </c>
      <c r="G139">
        <f t="shared" si="8"/>
        <v>0.51128162330524718</v>
      </c>
    </row>
    <row r="140" spans="1:7" x14ac:dyDescent="0.35">
      <c r="A140">
        <v>12</v>
      </c>
      <c r="B140">
        <v>150</v>
      </c>
      <c r="C140">
        <v>31.86</v>
      </c>
      <c r="E140">
        <f t="shared" si="6"/>
        <v>82737.119999999995</v>
      </c>
      <c r="F140">
        <f t="shared" si="7"/>
        <v>338.70555555555552</v>
      </c>
      <c r="G140">
        <f t="shared" si="8"/>
        <v>0.5027763106765033</v>
      </c>
    </row>
    <row r="141" spans="1:7" x14ac:dyDescent="0.35">
      <c r="A141">
        <v>12</v>
      </c>
      <c r="B141">
        <v>160</v>
      </c>
      <c r="C141">
        <v>32.39</v>
      </c>
      <c r="E141">
        <f t="shared" si="6"/>
        <v>82737.119999999995</v>
      </c>
      <c r="F141">
        <f t="shared" si="7"/>
        <v>344.26111111111106</v>
      </c>
      <c r="G141">
        <f t="shared" si="8"/>
        <v>0.49454934418503838</v>
      </c>
    </row>
    <row r="142" spans="1:7" x14ac:dyDescent="0.35">
      <c r="A142">
        <v>12</v>
      </c>
      <c r="B142">
        <v>170</v>
      </c>
      <c r="C142">
        <v>32.92</v>
      </c>
      <c r="E142">
        <f t="shared" si="6"/>
        <v>82737.119999999995</v>
      </c>
      <c r="F142">
        <f t="shared" si="7"/>
        <v>349.81666666666666</v>
      </c>
      <c r="G142">
        <f t="shared" si="8"/>
        <v>0.48658728001681029</v>
      </c>
    </row>
    <row r="143" spans="1:7" x14ac:dyDescent="0.35">
      <c r="A143">
        <v>12</v>
      </c>
      <c r="B143">
        <v>180</v>
      </c>
      <c r="C143">
        <v>33.46</v>
      </c>
      <c r="E143">
        <f t="shared" si="6"/>
        <v>82737.119999999995</v>
      </c>
      <c r="F143">
        <f t="shared" si="7"/>
        <v>355.37222222222221</v>
      </c>
      <c r="G143">
        <f t="shared" si="8"/>
        <v>0.4787344069980094</v>
      </c>
    </row>
    <row r="144" spans="1:7" x14ac:dyDescent="0.35">
      <c r="A144">
        <v>12</v>
      </c>
      <c r="B144">
        <v>190</v>
      </c>
      <c r="C144">
        <v>33.99</v>
      </c>
      <c r="E144">
        <f t="shared" si="6"/>
        <v>82737.119999999995</v>
      </c>
      <c r="F144">
        <f t="shared" si="7"/>
        <v>360.92777777777775</v>
      </c>
      <c r="G144">
        <f t="shared" si="8"/>
        <v>0.47126958688300657</v>
      </c>
    </row>
    <row r="145" spans="1:7" x14ac:dyDescent="0.35">
      <c r="A145">
        <v>12</v>
      </c>
      <c r="B145">
        <v>200</v>
      </c>
      <c r="C145">
        <v>34.520000000000003</v>
      </c>
      <c r="E145">
        <f t="shared" si="6"/>
        <v>82737.119999999995</v>
      </c>
      <c r="F145">
        <f t="shared" si="7"/>
        <v>366.48333333333329</v>
      </c>
      <c r="G145">
        <f t="shared" si="8"/>
        <v>0.46403398777964633</v>
      </c>
    </row>
    <row r="146" spans="1:7" x14ac:dyDescent="0.35">
      <c r="A146">
        <v>8</v>
      </c>
      <c r="B146">
        <v>-40</v>
      </c>
      <c r="C146">
        <v>32.520000000000003</v>
      </c>
      <c r="E146">
        <f t="shared" si="6"/>
        <v>55158.080000000002</v>
      </c>
      <c r="F146">
        <f t="shared" si="7"/>
        <v>233.14999999999998</v>
      </c>
      <c r="G146">
        <f t="shared" si="8"/>
        <v>0.4925723634118509</v>
      </c>
    </row>
    <row r="147" spans="1:7" x14ac:dyDescent="0.35">
      <c r="A147">
        <v>8</v>
      </c>
      <c r="B147">
        <v>-30</v>
      </c>
      <c r="C147">
        <v>33.36</v>
      </c>
      <c r="E147">
        <f t="shared" si="6"/>
        <v>55158.080000000002</v>
      </c>
      <c r="F147">
        <f t="shared" si="7"/>
        <v>238.70555555555552</v>
      </c>
      <c r="G147">
        <f t="shared" si="8"/>
        <v>0.48016946217486189</v>
      </c>
    </row>
    <row r="148" spans="1:7" x14ac:dyDescent="0.35">
      <c r="A148">
        <v>8</v>
      </c>
      <c r="B148">
        <v>-20</v>
      </c>
      <c r="C148">
        <v>34.19</v>
      </c>
      <c r="E148">
        <f t="shared" si="6"/>
        <v>55158.080000000002</v>
      </c>
      <c r="F148">
        <f t="shared" si="7"/>
        <v>244.26111111111109</v>
      </c>
      <c r="G148">
        <f t="shared" si="8"/>
        <v>0.46851281831393377</v>
      </c>
    </row>
    <row r="149" spans="1:7" x14ac:dyDescent="0.35">
      <c r="A149">
        <v>8</v>
      </c>
      <c r="B149">
        <v>-10</v>
      </c>
      <c r="C149">
        <v>35.01</v>
      </c>
      <c r="E149">
        <f t="shared" si="6"/>
        <v>55158.080000000002</v>
      </c>
      <c r="F149">
        <f t="shared" si="7"/>
        <v>249.81666666666663</v>
      </c>
      <c r="G149">
        <f t="shared" si="8"/>
        <v>0.45753936755650942</v>
      </c>
    </row>
    <row r="150" spans="1:7" x14ac:dyDescent="0.35">
      <c r="A150">
        <v>8</v>
      </c>
      <c r="B150">
        <v>0</v>
      </c>
      <c r="C150">
        <v>35.83</v>
      </c>
      <c r="E150">
        <f t="shared" si="6"/>
        <v>55158.080000000002</v>
      </c>
      <c r="F150">
        <f t="shared" si="7"/>
        <v>255.37222222222221</v>
      </c>
      <c r="G150">
        <f t="shared" si="8"/>
        <v>0.44706819029174977</v>
      </c>
    </row>
    <row r="151" spans="1:7" x14ac:dyDescent="0.35">
      <c r="A151">
        <v>8</v>
      </c>
      <c r="B151">
        <v>10</v>
      </c>
      <c r="C151">
        <v>36.64</v>
      </c>
      <c r="E151">
        <f t="shared" si="6"/>
        <v>55158.080000000002</v>
      </c>
      <c r="F151">
        <f t="shared" si="7"/>
        <v>260.92777777777775</v>
      </c>
      <c r="G151">
        <f t="shared" si="8"/>
        <v>0.43718485966575854</v>
      </c>
    </row>
    <row r="152" spans="1:7" x14ac:dyDescent="0.35">
      <c r="A152">
        <v>8</v>
      </c>
      <c r="B152">
        <v>20</v>
      </c>
      <c r="C152">
        <v>37.450000000000003</v>
      </c>
      <c r="E152">
        <f t="shared" si="6"/>
        <v>55158.080000000002</v>
      </c>
      <c r="F152">
        <f t="shared" si="7"/>
        <v>266.48333333333329</v>
      </c>
      <c r="G152">
        <f t="shared" si="8"/>
        <v>0.42772905896270741</v>
      </c>
    </row>
    <row r="153" spans="1:7" x14ac:dyDescent="0.35">
      <c r="A153">
        <v>8</v>
      </c>
      <c r="B153">
        <v>30</v>
      </c>
      <c r="C153">
        <v>38.26</v>
      </c>
      <c r="E153">
        <f t="shared" si="6"/>
        <v>55158.080000000002</v>
      </c>
      <c r="F153">
        <f t="shared" si="7"/>
        <v>272.03888888888889</v>
      </c>
      <c r="G153">
        <f t="shared" si="8"/>
        <v>0.41867363455706724</v>
      </c>
    </row>
    <row r="154" spans="1:7" x14ac:dyDescent="0.35">
      <c r="A154">
        <v>8</v>
      </c>
      <c r="B154">
        <v>40</v>
      </c>
      <c r="C154">
        <v>39.07</v>
      </c>
      <c r="E154">
        <f t="shared" si="6"/>
        <v>55158.080000000002</v>
      </c>
      <c r="F154">
        <f t="shared" si="7"/>
        <v>277.59444444444443</v>
      </c>
      <c r="G154">
        <f t="shared" si="8"/>
        <v>0.40999368462127955</v>
      </c>
    </row>
    <row r="155" spans="1:7" x14ac:dyDescent="0.35">
      <c r="A155">
        <v>8</v>
      </c>
      <c r="B155">
        <v>50</v>
      </c>
      <c r="C155">
        <v>39.880000000000003</v>
      </c>
      <c r="E155">
        <f t="shared" si="6"/>
        <v>55158.080000000002</v>
      </c>
      <c r="F155">
        <f t="shared" si="7"/>
        <v>283.14999999999998</v>
      </c>
      <c r="G155">
        <f t="shared" si="8"/>
        <v>0.40166633044517036</v>
      </c>
    </row>
    <row r="156" spans="1:7" x14ac:dyDescent="0.35">
      <c r="A156">
        <v>8</v>
      </c>
      <c r="B156">
        <v>60</v>
      </c>
      <c r="C156">
        <v>40.68</v>
      </c>
      <c r="E156">
        <f t="shared" si="6"/>
        <v>55158.080000000002</v>
      </c>
      <c r="F156">
        <f t="shared" si="7"/>
        <v>288.70555555555552</v>
      </c>
      <c r="G156">
        <f t="shared" si="8"/>
        <v>0.393767287565226</v>
      </c>
    </row>
    <row r="157" spans="1:7" x14ac:dyDescent="0.35">
      <c r="A157">
        <v>8</v>
      </c>
      <c r="B157">
        <v>70</v>
      </c>
      <c r="C157">
        <v>41.48</v>
      </c>
      <c r="E157">
        <f t="shared" si="6"/>
        <v>55158.080000000002</v>
      </c>
      <c r="F157">
        <f t="shared" si="7"/>
        <v>294.26111111111106</v>
      </c>
      <c r="G157">
        <f t="shared" si="8"/>
        <v>0.38617293293523131</v>
      </c>
    </row>
    <row r="158" spans="1:7" x14ac:dyDescent="0.35">
      <c r="A158">
        <v>8</v>
      </c>
      <c r="B158">
        <v>80</v>
      </c>
      <c r="C158">
        <v>42.28</v>
      </c>
      <c r="E158">
        <f t="shared" si="6"/>
        <v>55158.080000000002</v>
      </c>
      <c r="F158">
        <f t="shared" si="7"/>
        <v>299.81666666666666</v>
      </c>
      <c r="G158">
        <f t="shared" si="8"/>
        <v>0.37886597110107362</v>
      </c>
    </row>
    <row r="159" spans="1:7" x14ac:dyDescent="0.35">
      <c r="A159">
        <v>8</v>
      </c>
      <c r="B159">
        <v>90</v>
      </c>
      <c r="C159">
        <v>43.08</v>
      </c>
      <c r="E159">
        <f t="shared" si="6"/>
        <v>55158.080000000002</v>
      </c>
      <c r="F159">
        <f t="shared" si="7"/>
        <v>305.37222222222221</v>
      </c>
      <c r="G159">
        <f t="shared" si="8"/>
        <v>0.37183039132203793</v>
      </c>
    </row>
    <row r="160" spans="1:7" x14ac:dyDescent="0.35">
      <c r="A160">
        <v>8</v>
      </c>
      <c r="B160">
        <v>100</v>
      </c>
      <c r="C160">
        <v>43.88</v>
      </c>
      <c r="E160">
        <f t="shared" si="6"/>
        <v>55158.080000000002</v>
      </c>
      <c r="F160">
        <f t="shared" si="7"/>
        <v>310.92777777777775</v>
      </c>
      <c r="G160">
        <f t="shared" si="8"/>
        <v>0.36505135045928427</v>
      </c>
    </row>
    <row r="161" spans="1:7" x14ac:dyDescent="0.35">
      <c r="A161">
        <v>8</v>
      </c>
      <c r="B161">
        <v>110</v>
      </c>
      <c r="C161">
        <v>44.68</v>
      </c>
      <c r="E161">
        <f t="shared" si="6"/>
        <v>55158.080000000002</v>
      </c>
      <c r="F161">
        <f t="shared" si="7"/>
        <v>316.48333333333329</v>
      </c>
      <c r="G161">
        <f t="shared" si="8"/>
        <v>0.3585150684456892</v>
      </c>
    </row>
    <row r="162" spans="1:7" x14ac:dyDescent="0.35">
      <c r="A162">
        <v>8</v>
      </c>
      <c r="B162">
        <v>120</v>
      </c>
      <c r="C162">
        <v>45.48</v>
      </c>
      <c r="E162">
        <f t="shared" si="6"/>
        <v>55158.080000000002</v>
      </c>
      <c r="F162">
        <f t="shared" si="7"/>
        <v>322.03888888888889</v>
      </c>
      <c r="G162">
        <f t="shared" si="8"/>
        <v>0.35220873478789344</v>
      </c>
    </row>
    <row r="163" spans="1:7" x14ac:dyDescent="0.35">
      <c r="A163">
        <v>8</v>
      </c>
      <c r="B163">
        <v>130</v>
      </c>
      <c r="C163">
        <v>46.27</v>
      </c>
      <c r="E163">
        <f t="shared" si="6"/>
        <v>55158.080000000002</v>
      </c>
      <c r="F163">
        <f t="shared" si="7"/>
        <v>327.59444444444443</v>
      </c>
      <c r="G163">
        <f t="shared" si="8"/>
        <v>0.34619522926633656</v>
      </c>
    </row>
    <row r="164" spans="1:7" x14ac:dyDescent="0.35">
      <c r="A164">
        <v>8</v>
      </c>
      <c r="B164">
        <v>140</v>
      </c>
      <c r="C164">
        <v>47.07</v>
      </c>
      <c r="E164">
        <f t="shared" si="6"/>
        <v>55158.080000000002</v>
      </c>
      <c r="F164">
        <f t="shared" si="7"/>
        <v>333.15</v>
      </c>
      <c r="G164">
        <f t="shared" si="8"/>
        <v>0.34031130780015706</v>
      </c>
    </row>
    <row r="165" spans="1:7" x14ac:dyDescent="0.35">
      <c r="A165">
        <v>8</v>
      </c>
      <c r="B165">
        <v>150</v>
      </c>
      <c r="C165">
        <v>47.87</v>
      </c>
      <c r="E165">
        <f t="shared" si="6"/>
        <v>55158.080000000002</v>
      </c>
      <c r="F165">
        <f t="shared" si="7"/>
        <v>338.70555555555552</v>
      </c>
      <c r="G165">
        <f t="shared" si="8"/>
        <v>0.33462404967941078</v>
      </c>
    </row>
    <row r="166" spans="1:7" x14ac:dyDescent="0.35">
      <c r="A166">
        <v>8</v>
      </c>
      <c r="B166">
        <v>160</v>
      </c>
      <c r="C166">
        <v>48.66</v>
      </c>
      <c r="E166">
        <f t="shared" si="6"/>
        <v>55158.080000000002</v>
      </c>
      <c r="F166">
        <f t="shared" si="7"/>
        <v>344.26111111111106</v>
      </c>
      <c r="G166">
        <f t="shared" si="8"/>
        <v>0.32919139453665014</v>
      </c>
    </row>
    <row r="167" spans="1:7" x14ac:dyDescent="0.35">
      <c r="A167">
        <v>8</v>
      </c>
      <c r="B167">
        <v>170</v>
      </c>
      <c r="C167">
        <v>49.46</v>
      </c>
      <c r="E167">
        <f t="shared" si="6"/>
        <v>55158.080000000002</v>
      </c>
      <c r="F167">
        <f t="shared" si="7"/>
        <v>349.81666666666666</v>
      </c>
      <c r="G167">
        <f t="shared" si="8"/>
        <v>0.32386682689351787</v>
      </c>
    </row>
    <row r="168" spans="1:7" x14ac:dyDescent="0.35">
      <c r="A168">
        <v>8</v>
      </c>
      <c r="B168">
        <v>180</v>
      </c>
      <c r="C168">
        <v>50.25</v>
      </c>
      <c r="E168">
        <f t="shared" si="6"/>
        <v>55158.080000000002</v>
      </c>
      <c r="F168">
        <f t="shared" si="7"/>
        <v>355.37222222222221</v>
      </c>
      <c r="G168">
        <f t="shared" si="8"/>
        <v>0.318775189216983</v>
      </c>
    </row>
    <row r="169" spans="1:7" x14ac:dyDescent="0.35">
      <c r="A169">
        <v>9</v>
      </c>
      <c r="B169">
        <v>-40</v>
      </c>
      <c r="C169">
        <v>28.85</v>
      </c>
      <c r="E169">
        <f t="shared" si="6"/>
        <v>62052.840000000004</v>
      </c>
      <c r="F169">
        <f t="shared" si="7"/>
        <v>233.14999999999998</v>
      </c>
      <c r="G169">
        <f t="shared" si="8"/>
        <v>0.55523234863616611</v>
      </c>
    </row>
    <row r="170" spans="1:7" x14ac:dyDescent="0.35">
      <c r="A170">
        <v>9</v>
      </c>
      <c r="B170">
        <v>-30</v>
      </c>
      <c r="C170">
        <v>29.59</v>
      </c>
      <c r="E170">
        <f t="shared" si="6"/>
        <v>62052.840000000004</v>
      </c>
      <c r="F170">
        <f t="shared" si="7"/>
        <v>238.70555555555552</v>
      </c>
      <c r="G170">
        <f t="shared" si="8"/>
        <v>0.54134684887304474</v>
      </c>
    </row>
    <row r="171" spans="1:7" x14ac:dyDescent="0.35">
      <c r="A171">
        <v>9</v>
      </c>
      <c r="B171">
        <v>-20</v>
      </c>
      <c r="C171">
        <v>30.34</v>
      </c>
      <c r="E171">
        <f t="shared" si="6"/>
        <v>62052.840000000004</v>
      </c>
      <c r="F171">
        <f t="shared" si="7"/>
        <v>244.26111111111109</v>
      </c>
      <c r="G171">
        <f t="shared" si="8"/>
        <v>0.52796484041375724</v>
      </c>
    </row>
    <row r="172" spans="1:7" x14ac:dyDescent="0.35">
      <c r="A172">
        <v>9</v>
      </c>
      <c r="B172">
        <v>-10</v>
      </c>
      <c r="C172">
        <v>31.07</v>
      </c>
      <c r="E172">
        <f t="shared" si="6"/>
        <v>62052.840000000004</v>
      </c>
      <c r="F172">
        <f t="shared" si="7"/>
        <v>249.81666666666663</v>
      </c>
      <c r="G172">
        <f t="shared" si="8"/>
        <v>0.5155601306132408</v>
      </c>
    </row>
    <row r="173" spans="1:7" x14ac:dyDescent="0.35">
      <c r="A173">
        <v>9</v>
      </c>
      <c r="B173">
        <v>0</v>
      </c>
      <c r="C173">
        <v>31.8</v>
      </c>
      <c r="E173">
        <f t="shared" si="6"/>
        <v>62052.840000000004</v>
      </c>
      <c r="F173">
        <f t="shared" si="7"/>
        <v>255.37222222222221</v>
      </c>
      <c r="G173">
        <f t="shared" si="8"/>
        <v>0.50372494522494948</v>
      </c>
    </row>
    <row r="174" spans="1:7" x14ac:dyDescent="0.35">
      <c r="A174">
        <v>9</v>
      </c>
      <c r="B174">
        <v>10</v>
      </c>
      <c r="C174">
        <v>32.53</v>
      </c>
      <c r="E174">
        <f t="shared" si="6"/>
        <v>62052.840000000004</v>
      </c>
      <c r="F174">
        <f t="shared" si="7"/>
        <v>260.92777777777775</v>
      </c>
      <c r="G174">
        <f t="shared" si="8"/>
        <v>0.49242094245783558</v>
      </c>
    </row>
    <row r="175" spans="1:7" x14ac:dyDescent="0.35">
      <c r="A175">
        <v>9</v>
      </c>
      <c r="B175">
        <v>20</v>
      </c>
      <c r="C175">
        <v>33.26</v>
      </c>
      <c r="E175">
        <f t="shared" si="6"/>
        <v>62052.840000000004</v>
      </c>
      <c r="F175">
        <f t="shared" si="7"/>
        <v>266.48333333333329</v>
      </c>
      <c r="G175">
        <f t="shared" si="8"/>
        <v>0.4816131466672699</v>
      </c>
    </row>
    <row r="176" spans="1:7" x14ac:dyDescent="0.35">
      <c r="A176">
        <v>9</v>
      </c>
      <c r="B176">
        <v>30</v>
      </c>
      <c r="C176">
        <v>33.979999999999997</v>
      </c>
      <c r="E176">
        <f t="shared" si="6"/>
        <v>62052.840000000004</v>
      </c>
      <c r="F176">
        <f t="shared" si="7"/>
        <v>272.03888888888889</v>
      </c>
      <c r="G176">
        <f t="shared" si="8"/>
        <v>0.47140827716755135</v>
      </c>
    </row>
    <row r="177" spans="1:7" x14ac:dyDescent="0.35">
      <c r="A177">
        <v>9</v>
      </c>
      <c r="B177">
        <v>40</v>
      </c>
      <c r="C177">
        <v>34.700000000000003</v>
      </c>
      <c r="E177">
        <f t="shared" si="6"/>
        <v>62052.840000000004</v>
      </c>
      <c r="F177">
        <f t="shared" si="7"/>
        <v>277.59444444444443</v>
      </c>
      <c r="G177">
        <f t="shared" si="8"/>
        <v>0.46162689504764814</v>
      </c>
    </row>
    <row r="178" spans="1:7" x14ac:dyDescent="0.35">
      <c r="A178">
        <v>9</v>
      </c>
      <c r="B178">
        <v>50</v>
      </c>
      <c r="C178">
        <v>35.42</v>
      </c>
      <c r="E178">
        <f t="shared" si="6"/>
        <v>62052.840000000004</v>
      </c>
      <c r="F178">
        <f t="shared" si="7"/>
        <v>283.14999999999998</v>
      </c>
      <c r="G178">
        <f t="shared" si="8"/>
        <v>0.45224317499021438</v>
      </c>
    </row>
    <row r="179" spans="1:7" x14ac:dyDescent="0.35">
      <c r="A179">
        <v>9</v>
      </c>
      <c r="B179">
        <v>60</v>
      </c>
      <c r="C179">
        <v>36.130000000000003</v>
      </c>
      <c r="E179">
        <f t="shared" si="6"/>
        <v>62052.840000000004</v>
      </c>
      <c r="F179">
        <f t="shared" si="7"/>
        <v>288.70555555555552</v>
      </c>
      <c r="G179">
        <f t="shared" si="8"/>
        <v>0.44335602707316329</v>
      </c>
    </row>
    <row r="180" spans="1:7" x14ac:dyDescent="0.35">
      <c r="A180">
        <v>9</v>
      </c>
      <c r="B180">
        <v>70</v>
      </c>
      <c r="C180">
        <v>36.86</v>
      </c>
      <c r="E180">
        <f t="shared" si="6"/>
        <v>62052.840000000004</v>
      </c>
      <c r="F180">
        <f t="shared" si="7"/>
        <v>294.26111111111106</v>
      </c>
      <c r="G180">
        <f t="shared" si="8"/>
        <v>0.43457550890269653</v>
      </c>
    </row>
    <row r="181" spans="1:7" x14ac:dyDescent="0.35">
      <c r="A181">
        <v>9</v>
      </c>
      <c r="B181">
        <v>80</v>
      </c>
      <c r="C181">
        <v>37.56</v>
      </c>
      <c r="E181">
        <f t="shared" si="6"/>
        <v>62052.840000000004</v>
      </c>
      <c r="F181">
        <f t="shared" si="7"/>
        <v>299.81666666666666</v>
      </c>
      <c r="G181">
        <f t="shared" si="8"/>
        <v>0.42647639132463777</v>
      </c>
    </row>
    <row r="182" spans="1:7" x14ac:dyDescent="0.35">
      <c r="A182">
        <v>9</v>
      </c>
      <c r="B182">
        <v>90</v>
      </c>
      <c r="C182">
        <v>38.270000000000003</v>
      </c>
      <c r="E182">
        <f t="shared" si="6"/>
        <v>62052.840000000004</v>
      </c>
      <c r="F182">
        <f t="shared" si="7"/>
        <v>305.37222222222221</v>
      </c>
      <c r="G182">
        <f t="shared" si="8"/>
        <v>0.41856423460029768</v>
      </c>
    </row>
    <row r="183" spans="1:7" x14ac:dyDescent="0.35">
      <c r="A183">
        <v>9</v>
      </c>
      <c r="B183">
        <v>100</v>
      </c>
      <c r="C183">
        <v>38.979999999999997</v>
      </c>
      <c r="E183">
        <f t="shared" si="6"/>
        <v>62052.840000000004</v>
      </c>
      <c r="F183">
        <f t="shared" si="7"/>
        <v>310.92777777777775</v>
      </c>
      <c r="G183">
        <f t="shared" si="8"/>
        <v>0.41094030934205733</v>
      </c>
    </row>
    <row r="184" spans="1:7" x14ac:dyDescent="0.35">
      <c r="A184">
        <v>9</v>
      </c>
      <c r="B184">
        <v>110</v>
      </c>
      <c r="C184">
        <v>39.700000000000003</v>
      </c>
      <c r="E184">
        <f t="shared" si="6"/>
        <v>62052.840000000004</v>
      </c>
      <c r="F184">
        <f t="shared" si="7"/>
        <v>316.48333333333329</v>
      </c>
      <c r="G184">
        <f t="shared" si="8"/>
        <v>0.40348748761091668</v>
      </c>
    </row>
    <row r="185" spans="1:7" x14ac:dyDescent="0.35">
      <c r="A185">
        <v>9</v>
      </c>
      <c r="B185">
        <v>120</v>
      </c>
      <c r="C185">
        <v>40.4</v>
      </c>
      <c r="E185">
        <f t="shared" si="6"/>
        <v>62052.840000000004</v>
      </c>
      <c r="F185">
        <f t="shared" si="7"/>
        <v>322.03888888888889</v>
      </c>
      <c r="G185">
        <f t="shared" si="8"/>
        <v>0.39649636777607411</v>
      </c>
    </row>
    <row r="186" spans="1:7" x14ac:dyDescent="0.35">
      <c r="A186">
        <v>9</v>
      </c>
      <c r="B186">
        <v>130</v>
      </c>
      <c r="C186">
        <v>41.11</v>
      </c>
      <c r="E186">
        <f t="shared" si="6"/>
        <v>62052.840000000004</v>
      </c>
      <c r="F186">
        <f t="shared" si="7"/>
        <v>327.59444444444443</v>
      </c>
      <c r="G186">
        <f t="shared" si="8"/>
        <v>0.38964858326814383</v>
      </c>
    </row>
    <row r="187" spans="1:7" x14ac:dyDescent="0.35">
      <c r="A187">
        <v>9</v>
      </c>
      <c r="B187">
        <v>140</v>
      </c>
      <c r="C187">
        <v>41.82</v>
      </c>
      <c r="E187">
        <f t="shared" si="6"/>
        <v>62052.840000000004</v>
      </c>
      <c r="F187">
        <f t="shared" si="7"/>
        <v>333.15</v>
      </c>
      <c r="G187">
        <f t="shared" si="8"/>
        <v>0.38303331559429443</v>
      </c>
    </row>
    <row r="188" spans="1:7" x14ac:dyDescent="0.35">
      <c r="A188">
        <v>9</v>
      </c>
      <c r="B188">
        <v>150</v>
      </c>
      <c r="C188">
        <v>42.53</v>
      </c>
      <c r="E188">
        <f t="shared" si="6"/>
        <v>62052.840000000004</v>
      </c>
      <c r="F188">
        <f t="shared" si="7"/>
        <v>338.70555555555552</v>
      </c>
      <c r="G188">
        <f t="shared" si="8"/>
        <v>0.37663891977788372</v>
      </c>
    </row>
    <row r="189" spans="1:7" x14ac:dyDescent="0.35">
      <c r="A189">
        <v>9</v>
      </c>
      <c r="B189">
        <v>160</v>
      </c>
      <c r="C189">
        <v>43.24</v>
      </c>
      <c r="E189">
        <f t="shared" si="6"/>
        <v>62052.840000000004</v>
      </c>
      <c r="F189">
        <f t="shared" si="7"/>
        <v>344.26111111111106</v>
      </c>
      <c r="G189">
        <f t="shared" si="8"/>
        <v>0.37045451568347343</v>
      </c>
    </row>
    <row r="190" spans="1:7" x14ac:dyDescent="0.35">
      <c r="A190">
        <v>9</v>
      </c>
      <c r="B190">
        <v>170</v>
      </c>
      <c r="C190">
        <v>43.95</v>
      </c>
      <c r="E190">
        <f t="shared" si="6"/>
        <v>62052.840000000004</v>
      </c>
      <c r="F190">
        <f t="shared" si="7"/>
        <v>349.81666666666666</v>
      </c>
      <c r="G190">
        <f t="shared" si="8"/>
        <v>0.36446992623784741</v>
      </c>
    </row>
    <row r="191" spans="1:7" x14ac:dyDescent="0.35">
      <c r="A191">
        <v>9</v>
      </c>
      <c r="B191">
        <v>180</v>
      </c>
      <c r="C191">
        <v>44.65</v>
      </c>
      <c r="E191">
        <f t="shared" si="6"/>
        <v>62052.840000000004</v>
      </c>
      <c r="F191">
        <f t="shared" si="7"/>
        <v>355.37222222222221</v>
      </c>
      <c r="G191">
        <f t="shared" si="8"/>
        <v>0.35875595203031119</v>
      </c>
    </row>
    <row r="192" spans="1:7" x14ac:dyDescent="0.35">
      <c r="A192">
        <v>10</v>
      </c>
      <c r="B192">
        <v>-40</v>
      </c>
      <c r="C192">
        <v>25.9</v>
      </c>
      <c r="E192">
        <f t="shared" si="6"/>
        <v>68947.600000000006</v>
      </c>
      <c r="F192">
        <f t="shared" si="7"/>
        <v>233.14999999999998</v>
      </c>
      <c r="G192">
        <f t="shared" si="8"/>
        <v>0.61847309877040135</v>
      </c>
    </row>
    <row r="193" spans="1:7" x14ac:dyDescent="0.35">
      <c r="A193">
        <v>10</v>
      </c>
      <c r="B193">
        <v>-30</v>
      </c>
      <c r="C193">
        <v>26.58</v>
      </c>
      <c r="E193">
        <f t="shared" si="6"/>
        <v>68947.600000000006</v>
      </c>
      <c r="F193">
        <f t="shared" si="7"/>
        <v>238.70555555555552</v>
      </c>
      <c r="G193">
        <f t="shared" si="8"/>
        <v>0.60265061166867551</v>
      </c>
    </row>
    <row r="194" spans="1:7" x14ac:dyDescent="0.35">
      <c r="A194">
        <v>10</v>
      </c>
      <c r="B194">
        <v>-20</v>
      </c>
      <c r="C194">
        <v>27.26</v>
      </c>
      <c r="E194">
        <f t="shared" ref="E194:E257" si="9">A194*6894.76</f>
        <v>68947.600000000006</v>
      </c>
      <c r="F194">
        <f t="shared" si="7"/>
        <v>244.26111111111109</v>
      </c>
      <c r="G194">
        <f t="shared" si="8"/>
        <v>0.58761750763585441</v>
      </c>
    </row>
    <row r="195" spans="1:7" x14ac:dyDescent="0.35">
      <c r="A195">
        <v>10</v>
      </c>
      <c r="B195">
        <v>-10</v>
      </c>
      <c r="C195">
        <v>27.92</v>
      </c>
      <c r="E195">
        <f t="shared" si="9"/>
        <v>68947.600000000006</v>
      </c>
      <c r="F195">
        <f t="shared" ref="F195:F258" si="10">(B195-32)*5/9+273.15</f>
        <v>249.81666666666663</v>
      </c>
      <c r="G195">
        <f t="shared" ref="G195:G258" si="11">1/(C195*0.062428)</f>
        <v>0.57372683589374618</v>
      </c>
    </row>
    <row r="196" spans="1:7" x14ac:dyDescent="0.35">
      <c r="A196">
        <v>10</v>
      </c>
      <c r="B196">
        <v>0</v>
      </c>
      <c r="C196">
        <v>28.58</v>
      </c>
      <c r="E196">
        <f t="shared" si="9"/>
        <v>68947.600000000006</v>
      </c>
      <c r="F196">
        <f t="shared" si="10"/>
        <v>255.37222222222221</v>
      </c>
      <c r="G196">
        <f t="shared" si="11"/>
        <v>0.56047772071915303</v>
      </c>
    </row>
    <row r="197" spans="1:7" x14ac:dyDescent="0.35">
      <c r="A197">
        <v>10</v>
      </c>
      <c r="B197">
        <v>10</v>
      </c>
      <c r="C197">
        <v>29.24</v>
      </c>
      <c r="E197">
        <f t="shared" si="9"/>
        <v>68947.600000000006</v>
      </c>
      <c r="F197">
        <f t="shared" si="10"/>
        <v>260.92777777777775</v>
      </c>
      <c r="G197">
        <f t="shared" si="11"/>
        <v>0.54782671881509559</v>
      </c>
    </row>
    <row r="198" spans="1:7" x14ac:dyDescent="0.35">
      <c r="A198">
        <v>10</v>
      </c>
      <c r="B198">
        <v>20</v>
      </c>
      <c r="C198">
        <v>29.9</v>
      </c>
      <c r="E198">
        <f t="shared" si="9"/>
        <v>68947.600000000006</v>
      </c>
      <c r="F198">
        <f t="shared" si="10"/>
        <v>266.48333333333329</v>
      </c>
      <c r="G198">
        <f t="shared" si="11"/>
        <v>0.53573422268071558</v>
      </c>
    </row>
    <row r="199" spans="1:7" x14ac:dyDescent="0.35">
      <c r="A199">
        <v>10</v>
      </c>
      <c r="B199">
        <v>30</v>
      </c>
      <c r="C199">
        <v>30.55</v>
      </c>
      <c r="E199">
        <f t="shared" si="9"/>
        <v>68947.600000000006</v>
      </c>
      <c r="F199">
        <f t="shared" si="10"/>
        <v>272.03888888888889</v>
      </c>
      <c r="G199">
        <f t="shared" si="11"/>
        <v>0.52433562219814711</v>
      </c>
    </row>
    <row r="200" spans="1:7" x14ac:dyDescent="0.35">
      <c r="A200">
        <v>10</v>
      </c>
      <c r="B200">
        <v>40</v>
      </c>
      <c r="C200">
        <v>31.2</v>
      </c>
      <c r="E200">
        <f t="shared" si="9"/>
        <v>68947.600000000006</v>
      </c>
      <c r="F200">
        <f t="shared" si="10"/>
        <v>277.59444444444443</v>
      </c>
      <c r="G200">
        <f t="shared" si="11"/>
        <v>0.51341196340235229</v>
      </c>
    </row>
    <row r="201" spans="1:7" x14ac:dyDescent="0.35">
      <c r="A201">
        <v>10</v>
      </c>
      <c r="B201">
        <v>50</v>
      </c>
      <c r="C201">
        <v>31.85</v>
      </c>
      <c r="E201">
        <f t="shared" si="9"/>
        <v>68947.600000000006</v>
      </c>
      <c r="F201">
        <f t="shared" si="10"/>
        <v>283.14999999999998</v>
      </c>
      <c r="G201">
        <f t="shared" si="11"/>
        <v>0.50293416823087578</v>
      </c>
    </row>
    <row r="202" spans="1:7" x14ac:dyDescent="0.35">
      <c r="A202">
        <v>10</v>
      </c>
      <c r="B202">
        <v>60</v>
      </c>
      <c r="C202">
        <v>32.49</v>
      </c>
      <c r="E202">
        <f t="shared" si="9"/>
        <v>68947.600000000006</v>
      </c>
      <c r="F202">
        <f t="shared" si="10"/>
        <v>288.70555555555552</v>
      </c>
      <c r="G202">
        <f t="shared" si="11"/>
        <v>0.4930271855387317</v>
      </c>
    </row>
    <row r="203" spans="1:7" x14ac:dyDescent="0.35">
      <c r="A203">
        <v>10</v>
      </c>
      <c r="B203">
        <v>70</v>
      </c>
      <c r="C203">
        <v>33.14</v>
      </c>
      <c r="E203">
        <f t="shared" si="9"/>
        <v>68947.600000000006</v>
      </c>
      <c r="F203">
        <f t="shared" si="10"/>
        <v>294.26111111111106</v>
      </c>
      <c r="G203">
        <f t="shared" si="11"/>
        <v>0.48335706874331297</v>
      </c>
    </row>
    <row r="204" spans="1:7" x14ac:dyDescent="0.35">
      <c r="A204">
        <v>10</v>
      </c>
      <c r="B204">
        <v>80</v>
      </c>
      <c r="C204">
        <v>33.78</v>
      </c>
      <c r="E204">
        <f t="shared" si="9"/>
        <v>68947.600000000006</v>
      </c>
      <c r="F204">
        <f t="shared" si="10"/>
        <v>299.81666666666666</v>
      </c>
      <c r="G204">
        <f t="shared" si="11"/>
        <v>0.47419932676593823</v>
      </c>
    </row>
    <row r="205" spans="1:7" x14ac:dyDescent="0.35">
      <c r="A205">
        <v>10</v>
      </c>
      <c r="B205">
        <v>90</v>
      </c>
      <c r="C205">
        <v>34.42</v>
      </c>
      <c r="E205">
        <f t="shared" si="9"/>
        <v>68947.600000000006</v>
      </c>
      <c r="F205">
        <f t="shared" si="10"/>
        <v>305.37222222222221</v>
      </c>
      <c r="G205">
        <f t="shared" si="11"/>
        <v>0.46538213998121425</v>
      </c>
    </row>
    <row r="206" spans="1:7" x14ac:dyDescent="0.35">
      <c r="A206">
        <v>10</v>
      </c>
      <c r="B206">
        <v>100</v>
      </c>
      <c r="C206">
        <v>35.07</v>
      </c>
      <c r="E206">
        <f t="shared" si="9"/>
        <v>68947.600000000006</v>
      </c>
      <c r="F206">
        <f t="shared" si="10"/>
        <v>310.92777777777775</v>
      </c>
      <c r="G206">
        <f t="shared" si="11"/>
        <v>0.45675657993023649</v>
      </c>
    </row>
    <row r="207" spans="1:7" x14ac:dyDescent="0.35">
      <c r="A207">
        <v>10</v>
      </c>
      <c r="B207">
        <v>110</v>
      </c>
      <c r="C207">
        <v>35.71</v>
      </c>
      <c r="E207">
        <f t="shared" si="9"/>
        <v>68947.600000000006</v>
      </c>
      <c r="F207">
        <f t="shared" si="10"/>
        <v>316.48333333333329</v>
      </c>
      <c r="G207">
        <f t="shared" si="11"/>
        <v>0.44857051969065792</v>
      </c>
    </row>
    <row r="208" spans="1:7" x14ac:dyDescent="0.35">
      <c r="A208">
        <v>10</v>
      </c>
      <c r="B208">
        <v>120</v>
      </c>
      <c r="C208">
        <v>36.35</v>
      </c>
      <c r="E208">
        <f t="shared" si="9"/>
        <v>68947.600000000006</v>
      </c>
      <c r="F208">
        <f t="shared" si="10"/>
        <v>322.03888888888889</v>
      </c>
      <c r="G208">
        <f t="shared" si="11"/>
        <v>0.44067271686804382</v>
      </c>
    </row>
    <row r="209" spans="1:7" x14ac:dyDescent="0.35">
      <c r="A209">
        <v>10</v>
      </c>
      <c r="B209">
        <v>130</v>
      </c>
      <c r="C209">
        <v>36.99</v>
      </c>
      <c r="E209">
        <f t="shared" si="9"/>
        <v>68947.600000000006</v>
      </c>
      <c r="F209">
        <f t="shared" si="10"/>
        <v>327.59444444444443</v>
      </c>
      <c r="G209">
        <f t="shared" si="11"/>
        <v>0.43304820919582032</v>
      </c>
    </row>
    <row r="210" spans="1:7" x14ac:dyDescent="0.35">
      <c r="A210">
        <v>10</v>
      </c>
      <c r="B210">
        <v>140</v>
      </c>
      <c r="C210">
        <v>37.619999999999997</v>
      </c>
      <c r="E210">
        <f t="shared" si="9"/>
        <v>68947.600000000006</v>
      </c>
      <c r="F210">
        <f t="shared" si="10"/>
        <v>333.15</v>
      </c>
      <c r="G210">
        <f t="shared" si="11"/>
        <v>0.42579620569254106</v>
      </c>
    </row>
    <row r="211" spans="1:7" x14ac:dyDescent="0.35">
      <c r="A211">
        <v>10</v>
      </c>
      <c r="B211">
        <v>150</v>
      </c>
      <c r="C211">
        <v>38.26</v>
      </c>
      <c r="E211">
        <f t="shared" si="9"/>
        <v>68947.600000000006</v>
      </c>
      <c r="F211">
        <f t="shared" si="10"/>
        <v>338.70555555555552</v>
      </c>
      <c r="G211">
        <f t="shared" si="11"/>
        <v>0.41867363455706724</v>
      </c>
    </row>
    <row r="212" spans="1:7" x14ac:dyDescent="0.35">
      <c r="A212">
        <v>10</v>
      </c>
      <c r="B212">
        <v>160</v>
      </c>
      <c r="C212">
        <v>38.9</v>
      </c>
      <c r="E212">
        <f t="shared" si="9"/>
        <v>68947.600000000006</v>
      </c>
      <c r="F212">
        <f t="shared" si="10"/>
        <v>344.26111111111106</v>
      </c>
      <c r="G212">
        <f t="shared" si="11"/>
        <v>0.41178543080085844</v>
      </c>
    </row>
    <row r="213" spans="1:7" x14ac:dyDescent="0.35">
      <c r="A213">
        <v>10</v>
      </c>
      <c r="B213">
        <v>170</v>
      </c>
      <c r="C213">
        <v>39.54</v>
      </c>
      <c r="E213">
        <f t="shared" si="9"/>
        <v>68947.600000000006</v>
      </c>
      <c r="F213">
        <f t="shared" si="10"/>
        <v>349.81666666666666</v>
      </c>
      <c r="G213">
        <f t="shared" si="11"/>
        <v>0.40512021391384401</v>
      </c>
    </row>
    <row r="214" spans="1:7" x14ac:dyDescent="0.35">
      <c r="A214">
        <v>10</v>
      </c>
      <c r="B214">
        <v>180</v>
      </c>
      <c r="C214">
        <v>40.17</v>
      </c>
      <c r="E214">
        <f t="shared" si="9"/>
        <v>68947.600000000006</v>
      </c>
      <c r="F214">
        <f t="shared" si="10"/>
        <v>355.37222222222221</v>
      </c>
      <c r="G214">
        <f t="shared" si="11"/>
        <v>0.39876657351639017</v>
      </c>
    </row>
    <row r="215" spans="1:7" x14ac:dyDescent="0.35">
      <c r="A215">
        <v>13</v>
      </c>
      <c r="B215">
        <v>-30</v>
      </c>
      <c r="C215">
        <v>20.329999999999998</v>
      </c>
      <c r="E215">
        <f t="shared" si="9"/>
        <v>89631.88</v>
      </c>
      <c r="F215">
        <f t="shared" si="10"/>
        <v>238.70555555555552</v>
      </c>
      <c r="G215">
        <f t="shared" si="11"/>
        <v>0.78792195072077686</v>
      </c>
    </row>
    <row r="216" spans="1:7" x14ac:dyDescent="0.35">
      <c r="A216">
        <v>13</v>
      </c>
      <c r="B216">
        <v>-20</v>
      </c>
      <c r="C216">
        <v>20.86</v>
      </c>
      <c r="E216">
        <f t="shared" si="9"/>
        <v>89631.88</v>
      </c>
      <c r="F216">
        <f t="shared" si="10"/>
        <v>244.26111111111109</v>
      </c>
      <c r="G216">
        <f t="shared" si="11"/>
        <v>0.76790284075519633</v>
      </c>
    </row>
    <row r="217" spans="1:7" x14ac:dyDescent="0.35">
      <c r="A217">
        <v>13</v>
      </c>
      <c r="B217">
        <v>-10</v>
      </c>
      <c r="C217">
        <v>21.38</v>
      </c>
      <c r="E217">
        <f t="shared" si="9"/>
        <v>89631.88</v>
      </c>
      <c r="F217">
        <f t="shared" si="10"/>
        <v>249.81666666666663</v>
      </c>
      <c r="G217">
        <f t="shared" si="11"/>
        <v>0.74922606445993423</v>
      </c>
    </row>
    <row r="218" spans="1:7" x14ac:dyDescent="0.35">
      <c r="A218">
        <v>13</v>
      </c>
      <c r="B218">
        <v>0</v>
      </c>
      <c r="C218">
        <v>21.9</v>
      </c>
      <c r="E218">
        <f t="shared" si="9"/>
        <v>89631.88</v>
      </c>
      <c r="F218">
        <f t="shared" si="10"/>
        <v>255.37222222222221</v>
      </c>
      <c r="G218">
        <f t="shared" si="11"/>
        <v>0.73143622183348833</v>
      </c>
    </row>
    <row r="219" spans="1:7" x14ac:dyDescent="0.35">
      <c r="A219">
        <v>13</v>
      </c>
      <c r="B219">
        <v>10</v>
      </c>
      <c r="C219">
        <v>22.41</v>
      </c>
      <c r="E219">
        <f t="shared" si="9"/>
        <v>89631.88</v>
      </c>
      <c r="F219">
        <f t="shared" si="10"/>
        <v>260.92777777777775</v>
      </c>
      <c r="G219">
        <f t="shared" si="11"/>
        <v>0.71479041758828166</v>
      </c>
    </row>
    <row r="220" spans="1:7" x14ac:dyDescent="0.35">
      <c r="A220">
        <v>13</v>
      </c>
      <c r="B220">
        <v>20</v>
      </c>
      <c r="C220">
        <v>22.92</v>
      </c>
      <c r="E220">
        <f t="shared" si="9"/>
        <v>89631.88</v>
      </c>
      <c r="F220">
        <f t="shared" si="10"/>
        <v>266.48333333333329</v>
      </c>
      <c r="G220">
        <f t="shared" si="11"/>
        <v>0.69888539520739057</v>
      </c>
    </row>
    <row r="221" spans="1:7" x14ac:dyDescent="0.35">
      <c r="A221">
        <v>13</v>
      </c>
      <c r="B221">
        <v>30</v>
      </c>
      <c r="C221">
        <v>23.43</v>
      </c>
      <c r="E221">
        <f t="shared" si="9"/>
        <v>89631.88</v>
      </c>
      <c r="F221">
        <f t="shared" si="10"/>
        <v>272.03888888888889</v>
      </c>
      <c r="G221">
        <f t="shared" si="11"/>
        <v>0.68367278097112216</v>
      </c>
    </row>
    <row r="222" spans="1:7" x14ac:dyDescent="0.35">
      <c r="A222">
        <v>13</v>
      </c>
      <c r="B222">
        <v>40</v>
      </c>
      <c r="C222">
        <v>23.93</v>
      </c>
      <c r="E222">
        <f t="shared" si="9"/>
        <v>89631.88</v>
      </c>
      <c r="F222">
        <f t="shared" si="10"/>
        <v>277.59444444444443</v>
      </c>
      <c r="G222">
        <f t="shared" si="11"/>
        <v>0.66938793389692419</v>
      </c>
    </row>
    <row r="223" spans="1:7" x14ac:dyDescent="0.35">
      <c r="A223">
        <v>13</v>
      </c>
      <c r="B223">
        <v>50</v>
      </c>
      <c r="C223">
        <v>24.43</v>
      </c>
      <c r="E223">
        <f t="shared" si="9"/>
        <v>89631.88</v>
      </c>
      <c r="F223">
        <f t="shared" si="10"/>
        <v>283.14999999999998</v>
      </c>
      <c r="G223">
        <f t="shared" si="11"/>
        <v>0.65568781244999563</v>
      </c>
    </row>
    <row r="224" spans="1:7" x14ac:dyDescent="0.35">
      <c r="A224">
        <v>13</v>
      </c>
      <c r="B224">
        <v>60</v>
      </c>
      <c r="C224">
        <v>24.94</v>
      </c>
      <c r="E224">
        <f t="shared" si="9"/>
        <v>89631.88</v>
      </c>
      <c r="F224">
        <f t="shared" si="10"/>
        <v>288.70555555555552</v>
      </c>
      <c r="G224">
        <f t="shared" si="11"/>
        <v>0.6422796013694223</v>
      </c>
    </row>
    <row r="225" spans="1:7" x14ac:dyDescent="0.35">
      <c r="A225">
        <v>13</v>
      </c>
      <c r="B225">
        <v>70</v>
      </c>
      <c r="C225">
        <v>25.43</v>
      </c>
      <c r="E225">
        <f t="shared" si="9"/>
        <v>89631.88</v>
      </c>
      <c r="F225">
        <f t="shared" si="10"/>
        <v>294.26111111111106</v>
      </c>
      <c r="G225">
        <f t="shared" si="11"/>
        <v>0.62990378522034585</v>
      </c>
    </row>
    <row r="226" spans="1:7" x14ac:dyDescent="0.35">
      <c r="A226">
        <v>13</v>
      </c>
      <c r="B226">
        <v>80</v>
      </c>
      <c r="C226">
        <v>25.93</v>
      </c>
      <c r="E226">
        <f t="shared" si="9"/>
        <v>89631.88</v>
      </c>
      <c r="F226">
        <f t="shared" si="10"/>
        <v>299.81666666666666</v>
      </c>
      <c r="G226">
        <f t="shared" si="11"/>
        <v>0.61775754948528316</v>
      </c>
    </row>
    <row r="227" spans="1:7" x14ac:dyDescent="0.35">
      <c r="A227">
        <v>13</v>
      </c>
      <c r="B227">
        <v>90</v>
      </c>
      <c r="C227">
        <v>26.43</v>
      </c>
      <c r="E227">
        <f t="shared" si="9"/>
        <v>89631.88</v>
      </c>
      <c r="F227">
        <f t="shared" si="10"/>
        <v>305.37222222222221</v>
      </c>
      <c r="G227">
        <f t="shared" si="11"/>
        <v>0.60607087620709021</v>
      </c>
    </row>
    <row r="228" spans="1:7" x14ac:dyDescent="0.35">
      <c r="A228">
        <v>13</v>
      </c>
      <c r="B228">
        <v>100</v>
      </c>
      <c r="C228">
        <v>26.93</v>
      </c>
      <c r="E228">
        <f t="shared" si="9"/>
        <v>89631.88</v>
      </c>
      <c r="F228">
        <f t="shared" si="10"/>
        <v>310.92777777777775</v>
      </c>
      <c r="G228">
        <f t="shared" si="11"/>
        <v>0.59481816777398422</v>
      </c>
    </row>
    <row r="229" spans="1:7" x14ac:dyDescent="0.35">
      <c r="A229">
        <v>13</v>
      </c>
      <c r="B229">
        <v>110</v>
      </c>
      <c r="C229">
        <v>27.42</v>
      </c>
      <c r="E229">
        <f t="shared" si="9"/>
        <v>89631.88</v>
      </c>
      <c r="F229">
        <f t="shared" si="10"/>
        <v>316.48333333333329</v>
      </c>
      <c r="G229">
        <f t="shared" si="11"/>
        <v>0.58418866732871599</v>
      </c>
    </row>
    <row r="230" spans="1:7" x14ac:dyDescent="0.35">
      <c r="A230">
        <v>13</v>
      </c>
      <c r="B230">
        <v>120</v>
      </c>
      <c r="C230">
        <v>27.92</v>
      </c>
      <c r="E230">
        <f t="shared" si="9"/>
        <v>89631.88</v>
      </c>
      <c r="F230">
        <f t="shared" si="10"/>
        <v>322.03888888888889</v>
      </c>
      <c r="G230">
        <f t="shared" si="11"/>
        <v>0.57372683589374618</v>
      </c>
    </row>
    <row r="231" spans="1:7" x14ac:dyDescent="0.35">
      <c r="A231">
        <v>13</v>
      </c>
      <c r="B231">
        <v>130</v>
      </c>
      <c r="C231">
        <v>28.41</v>
      </c>
      <c r="E231">
        <f t="shared" si="9"/>
        <v>89631.88</v>
      </c>
      <c r="F231">
        <f t="shared" si="10"/>
        <v>327.59444444444443</v>
      </c>
      <c r="G231">
        <f t="shared" si="11"/>
        <v>0.56383151207861293</v>
      </c>
    </row>
    <row r="232" spans="1:7" x14ac:dyDescent="0.35">
      <c r="A232">
        <v>13</v>
      </c>
      <c r="B232">
        <v>140</v>
      </c>
      <c r="C232">
        <v>28.9</v>
      </c>
      <c r="E232">
        <f t="shared" si="9"/>
        <v>89631.88</v>
      </c>
      <c r="F232">
        <f t="shared" si="10"/>
        <v>333.15</v>
      </c>
      <c r="G232">
        <f t="shared" si="11"/>
        <v>0.55427173903644966</v>
      </c>
    </row>
    <row r="233" spans="1:7" x14ac:dyDescent="0.35">
      <c r="A233">
        <v>13</v>
      </c>
      <c r="B233">
        <v>150</v>
      </c>
      <c r="C233">
        <v>29.4</v>
      </c>
      <c r="E233">
        <f t="shared" si="9"/>
        <v>89631.88</v>
      </c>
      <c r="F233">
        <f t="shared" si="10"/>
        <v>338.70555555555552</v>
      </c>
      <c r="G233">
        <f t="shared" si="11"/>
        <v>0.54484534891678205</v>
      </c>
    </row>
    <row r="234" spans="1:7" x14ac:dyDescent="0.35">
      <c r="A234">
        <v>13</v>
      </c>
      <c r="B234">
        <v>160</v>
      </c>
      <c r="C234">
        <v>29.89</v>
      </c>
      <c r="E234">
        <f t="shared" si="9"/>
        <v>89631.88</v>
      </c>
      <c r="F234">
        <f t="shared" si="10"/>
        <v>344.26111111111106</v>
      </c>
      <c r="G234">
        <f t="shared" si="11"/>
        <v>0.53591345795093315</v>
      </c>
    </row>
    <row r="235" spans="1:7" x14ac:dyDescent="0.35">
      <c r="A235">
        <v>13</v>
      </c>
      <c r="B235">
        <v>170</v>
      </c>
      <c r="C235">
        <v>30.38</v>
      </c>
      <c r="E235">
        <f t="shared" si="9"/>
        <v>89631.88</v>
      </c>
      <c r="F235">
        <f t="shared" si="10"/>
        <v>349.81666666666666</v>
      </c>
      <c r="G235">
        <f t="shared" si="11"/>
        <v>0.52726969250011169</v>
      </c>
    </row>
    <row r="236" spans="1:7" x14ac:dyDescent="0.35">
      <c r="A236">
        <v>13</v>
      </c>
      <c r="B236">
        <v>180</v>
      </c>
      <c r="C236">
        <v>30.87</v>
      </c>
      <c r="E236">
        <f t="shared" si="9"/>
        <v>89631.88</v>
      </c>
      <c r="F236">
        <f t="shared" si="10"/>
        <v>355.37222222222221</v>
      </c>
      <c r="G236">
        <f t="shared" si="11"/>
        <v>0.51890033230169719</v>
      </c>
    </row>
    <row r="237" spans="1:7" x14ac:dyDescent="0.35">
      <c r="A237">
        <v>13</v>
      </c>
      <c r="B237">
        <v>190</v>
      </c>
      <c r="C237">
        <v>31.36</v>
      </c>
      <c r="E237">
        <f t="shared" si="9"/>
        <v>89631.88</v>
      </c>
      <c r="F237">
        <f t="shared" si="10"/>
        <v>360.92777777777775</v>
      </c>
      <c r="G237">
        <f t="shared" si="11"/>
        <v>0.51079251460948327</v>
      </c>
    </row>
    <row r="238" spans="1:7" x14ac:dyDescent="0.35">
      <c r="A238">
        <v>13</v>
      </c>
      <c r="B238">
        <v>200</v>
      </c>
      <c r="C238">
        <v>31.85</v>
      </c>
      <c r="E238">
        <f t="shared" si="9"/>
        <v>89631.88</v>
      </c>
      <c r="F238">
        <f t="shared" si="10"/>
        <v>366.48333333333329</v>
      </c>
      <c r="G238">
        <f t="shared" si="11"/>
        <v>0.50293416823087578</v>
      </c>
    </row>
    <row r="239" spans="1:7" x14ac:dyDescent="0.35">
      <c r="A239">
        <v>14</v>
      </c>
      <c r="B239">
        <v>-20</v>
      </c>
      <c r="C239">
        <v>19.329999999999998</v>
      </c>
      <c r="E239">
        <f t="shared" si="9"/>
        <v>96526.64</v>
      </c>
      <c r="F239">
        <f t="shared" si="10"/>
        <v>244.26111111111109</v>
      </c>
      <c r="G239">
        <f t="shared" si="11"/>
        <v>0.8286835622428036</v>
      </c>
    </row>
    <row r="240" spans="1:7" x14ac:dyDescent="0.35">
      <c r="A240">
        <v>14</v>
      </c>
      <c r="B240">
        <v>-10</v>
      </c>
      <c r="C240">
        <v>19.82</v>
      </c>
      <c r="E240">
        <f t="shared" si="9"/>
        <v>96526.64</v>
      </c>
      <c r="F240">
        <f t="shared" si="10"/>
        <v>249.81666666666663</v>
      </c>
      <c r="G240">
        <f t="shared" si="11"/>
        <v>0.80819643078473224</v>
      </c>
    </row>
    <row r="241" spans="1:7" x14ac:dyDescent="0.35">
      <c r="A241">
        <v>14</v>
      </c>
      <c r="B241">
        <v>0</v>
      </c>
      <c r="C241">
        <v>20.3</v>
      </c>
      <c r="E241">
        <f t="shared" si="9"/>
        <v>96526.64</v>
      </c>
      <c r="F241">
        <f t="shared" si="10"/>
        <v>255.37222222222221</v>
      </c>
      <c r="G241">
        <f t="shared" si="11"/>
        <v>0.78908636739671889</v>
      </c>
    </row>
    <row r="242" spans="1:7" x14ac:dyDescent="0.35">
      <c r="A242">
        <v>14</v>
      </c>
      <c r="B242">
        <v>10</v>
      </c>
      <c r="C242">
        <v>20.78</v>
      </c>
      <c r="E242">
        <f t="shared" si="9"/>
        <v>96526.64</v>
      </c>
      <c r="F242">
        <f t="shared" si="10"/>
        <v>260.92777777777775</v>
      </c>
      <c r="G242">
        <f t="shared" si="11"/>
        <v>0.77085915583028841</v>
      </c>
    </row>
    <row r="243" spans="1:7" x14ac:dyDescent="0.35">
      <c r="A243">
        <v>14</v>
      </c>
      <c r="B243">
        <v>20</v>
      </c>
      <c r="C243">
        <v>21.26</v>
      </c>
      <c r="E243">
        <f t="shared" si="9"/>
        <v>96526.64</v>
      </c>
      <c r="F243">
        <f t="shared" si="10"/>
        <v>266.48333333333329</v>
      </c>
      <c r="G243">
        <f t="shared" si="11"/>
        <v>0.75345499803167415</v>
      </c>
    </row>
    <row r="244" spans="1:7" x14ac:dyDescent="0.35">
      <c r="A244">
        <v>14</v>
      </c>
      <c r="B244">
        <v>30</v>
      </c>
      <c r="C244">
        <v>21.73</v>
      </c>
      <c r="E244">
        <f t="shared" si="9"/>
        <v>96526.64</v>
      </c>
      <c r="F244">
        <f t="shared" si="10"/>
        <v>272.03888888888889</v>
      </c>
      <c r="G244">
        <f t="shared" si="11"/>
        <v>0.73715845642675526</v>
      </c>
    </row>
    <row r="245" spans="1:7" x14ac:dyDescent="0.35">
      <c r="A245">
        <v>14</v>
      </c>
      <c r="B245">
        <v>40</v>
      </c>
      <c r="C245">
        <v>22.2</v>
      </c>
      <c r="E245">
        <f t="shared" si="9"/>
        <v>96526.64</v>
      </c>
      <c r="F245">
        <f t="shared" si="10"/>
        <v>277.59444444444443</v>
      </c>
      <c r="G245">
        <f t="shared" si="11"/>
        <v>0.72155194856546812</v>
      </c>
    </row>
    <row r="246" spans="1:7" x14ac:dyDescent="0.35">
      <c r="A246">
        <v>14</v>
      </c>
      <c r="B246">
        <v>50</v>
      </c>
      <c r="C246">
        <v>22.67</v>
      </c>
      <c r="E246">
        <f t="shared" si="9"/>
        <v>96526.64</v>
      </c>
      <c r="F246">
        <f t="shared" si="10"/>
        <v>283.14999999999998</v>
      </c>
      <c r="G246">
        <f t="shared" si="11"/>
        <v>0.70659255660138465</v>
      </c>
    </row>
    <row r="247" spans="1:7" x14ac:dyDescent="0.35">
      <c r="A247">
        <v>14</v>
      </c>
      <c r="B247">
        <v>60</v>
      </c>
      <c r="C247">
        <v>23.14</v>
      </c>
      <c r="E247">
        <f t="shared" si="9"/>
        <v>96526.64</v>
      </c>
      <c r="F247">
        <f t="shared" si="10"/>
        <v>288.70555555555552</v>
      </c>
      <c r="G247">
        <f t="shared" si="11"/>
        <v>0.69224084953126164</v>
      </c>
    </row>
    <row r="248" spans="1:7" x14ac:dyDescent="0.35">
      <c r="A248">
        <v>14</v>
      </c>
      <c r="B248">
        <v>70</v>
      </c>
      <c r="C248">
        <v>23.6</v>
      </c>
      <c r="E248">
        <f t="shared" si="9"/>
        <v>96526.64</v>
      </c>
      <c r="F248">
        <f t="shared" si="10"/>
        <v>294.26111111111106</v>
      </c>
      <c r="G248">
        <f t="shared" si="11"/>
        <v>0.67874801941327934</v>
      </c>
    </row>
    <row r="249" spans="1:7" x14ac:dyDescent="0.35">
      <c r="A249">
        <v>14</v>
      </c>
      <c r="B249">
        <v>80</v>
      </c>
      <c r="C249">
        <v>24.06</v>
      </c>
      <c r="E249">
        <f t="shared" si="9"/>
        <v>96526.64</v>
      </c>
      <c r="F249">
        <f t="shared" si="10"/>
        <v>299.81666666666666</v>
      </c>
      <c r="G249">
        <f t="shared" si="11"/>
        <v>0.66577112461152932</v>
      </c>
    </row>
    <row r="250" spans="1:7" x14ac:dyDescent="0.35">
      <c r="A250">
        <v>14</v>
      </c>
      <c r="B250">
        <v>90</v>
      </c>
      <c r="C250">
        <v>24.53</v>
      </c>
      <c r="E250">
        <f t="shared" si="9"/>
        <v>96526.64</v>
      </c>
      <c r="F250">
        <f t="shared" si="10"/>
        <v>305.37222222222221</v>
      </c>
      <c r="G250">
        <f t="shared" si="11"/>
        <v>0.65301480873026474</v>
      </c>
    </row>
    <row r="251" spans="1:7" x14ac:dyDescent="0.35">
      <c r="A251">
        <v>14</v>
      </c>
      <c r="B251">
        <v>100</v>
      </c>
      <c r="C251">
        <v>24.99</v>
      </c>
      <c r="E251">
        <f t="shared" si="9"/>
        <v>96526.64</v>
      </c>
      <c r="F251">
        <f t="shared" si="10"/>
        <v>310.92777777777775</v>
      </c>
      <c r="G251">
        <f t="shared" si="11"/>
        <v>0.64099452813739066</v>
      </c>
    </row>
    <row r="252" spans="1:7" x14ac:dyDescent="0.35">
      <c r="A252">
        <v>14</v>
      </c>
      <c r="B252">
        <v>110</v>
      </c>
      <c r="C252">
        <v>25.45</v>
      </c>
      <c r="E252">
        <f t="shared" si="9"/>
        <v>96526.64</v>
      </c>
      <c r="F252">
        <f t="shared" si="10"/>
        <v>316.48333333333329</v>
      </c>
      <c r="G252">
        <f t="shared" si="11"/>
        <v>0.62940877242253024</v>
      </c>
    </row>
    <row r="253" spans="1:7" x14ac:dyDescent="0.35">
      <c r="A253">
        <v>14</v>
      </c>
      <c r="B253">
        <v>120</v>
      </c>
      <c r="C253">
        <v>25.91</v>
      </c>
      <c r="E253">
        <f t="shared" si="9"/>
        <v>96526.64</v>
      </c>
      <c r="F253">
        <f t="shared" si="10"/>
        <v>322.03888888888889</v>
      </c>
      <c r="G253">
        <f t="shared" si="11"/>
        <v>0.61823439823054394</v>
      </c>
    </row>
    <row r="254" spans="1:7" x14ac:dyDescent="0.35">
      <c r="A254">
        <v>14</v>
      </c>
      <c r="B254">
        <v>130</v>
      </c>
      <c r="C254">
        <v>26.37</v>
      </c>
      <c r="E254">
        <f t="shared" si="9"/>
        <v>96526.64</v>
      </c>
      <c r="F254">
        <f t="shared" si="10"/>
        <v>327.59444444444443</v>
      </c>
      <c r="G254">
        <f t="shared" si="11"/>
        <v>0.60744987706307896</v>
      </c>
    </row>
    <row r="255" spans="1:7" x14ac:dyDescent="0.35">
      <c r="A255">
        <v>14</v>
      </c>
      <c r="B255">
        <v>140</v>
      </c>
      <c r="C255">
        <v>26.83</v>
      </c>
      <c r="E255">
        <f t="shared" si="9"/>
        <v>96526.64</v>
      </c>
      <c r="F255">
        <f t="shared" si="10"/>
        <v>333.15</v>
      </c>
      <c r="G255">
        <f t="shared" si="11"/>
        <v>0.59703515684507624</v>
      </c>
    </row>
    <row r="256" spans="1:7" x14ac:dyDescent="0.35">
      <c r="A256">
        <v>14</v>
      </c>
      <c r="B256">
        <v>150</v>
      </c>
      <c r="C256">
        <v>27.29</v>
      </c>
      <c r="E256">
        <f t="shared" si="9"/>
        <v>96526.64</v>
      </c>
      <c r="F256">
        <f t="shared" si="10"/>
        <v>338.70555555555552</v>
      </c>
      <c r="G256">
        <f t="shared" si="11"/>
        <v>0.58697153749187958</v>
      </c>
    </row>
    <row r="257" spans="1:7" x14ac:dyDescent="0.35">
      <c r="A257">
        <v>14</v>
      </c>
      <c r="B257">
        <v>160</v>
      </c>
      <c r="C257">
        <v>27.74</v>
      </c>
      <c r="E257">
        <f t="shared" si="9"/>
        <v>96526.64</v>
      </c>
      <c r="F257">
        <f t="shared" si="10"/>
        <v>344.26111111111106</v>
      </c>
      <c r="G257">
        <f t="shared" si="11"/>
        <v>0.57744964881591188</v>
      </c>
    </row>
    <row r="258" spans="1:7" x14ac:dyDescent="0.35">
      <c r="A258">
        <v>14</v>
      </c>
      <c r="B258">
        <v>170</v>
      </c>
      <c r="C258">
        <v>28.2</v>
      </c>
      <c r="E258">
        <f t="shared" ref="E258:E321" si="12">A258*6894.76</f>
        <v>96526.64</v>
      </c>
      <c r="F258">
        <f t="shared" si="10"/>
        <v>349.81666666666666</v>
      </c>
      <c r="G258">
        <f t="shared" si="11"/>
        <v>0.56803025738132595</v>
      </c>
    </row>
    <row r="259" spans="1:7" x14ac:dyDescent="0.35">
      <c r="A259">
        <v>14</v>
      </c>
      <c r="B259">
        <v>180</v>
      </c>
      <c r="C259">
        <v>28.66</v>
      </c>
      <c r="E259">
        <f t="shared" si="12"/>
        <v>96526.64</v>
      </c>
      <c r="F259">
        <f t="shared" ref="F259:F322" si="13">(B259-32)*5/9+273.15</f>
        <v>355.37222222222221</v>
      </c>
      <c r="G259">
        <f t="shared" ref="G259:G322" si="14">1/(C259*0.062428)</f>
        <v>0.55891323301302842</v>
      </c>
    </row>
    <row r="260" spans="1:7" x14ac:dyDescent="0.35">
      <c r="A260">
        <v>14</v>
      </c>
      <c r="B260">
        <v>190</v>
      </c>
      <c r="C260">
        <v>29.11</v>
      </c>
      <c r="E260">
        <f t="shared" si="12"/>
        <v>96526.64</v>
      </c>
      <c r="F260">
        <f t="shared" si="13"/>
        <v>360.92777777777775</v>
      </c>
      <c r="G260">
        <f t="shared" si="14"/>
        <v>0.55027321395236672</v>
      </c>
    </row>
    <row r="261" spans="1:7" x14ac:dyDescent="0.35">
      <c r="A261">
        <v>14</v>
      </c>
      <c r="B261">
        <v>200</v>
      </c>
      <c r="C261">
        <v>29.57</v>
      </c>
      <c r="E261">
        <f t="shared" si="12"/>
        <v>96526.64</v>
      </c>
      <c r="F261">
        <f t="shared" si="13"/>
        <v>366.48333333333329</v>
      </c>
      <c r="G261">
        <f t="shared" si="14"/>
        <v>0.54171299486484248</v>
      </c>
    </row>
    <row r="262" spans="1:7" x14ac:dyDescent="0.35">
      <c r="A262">
        <v>15</v>
      </c>
      <c r="B262">
        <v>-20</v>
      </c>
      <c r="C262">
        <v>18.010000000000002</v>
      </c>
      <c r="E262">
        <f t="shared" si="12"/>
        <v>103421.40000000001</v>
      </c>
      <c r="F262">
        <f t="shared" si="13"/>
        <v>244.26111111111109</v>
      </c>
      <c r="G262">
        <f t="shared" si="14"/>
        <v>0.8894199477042416</v>
      </c>
    </row>
    <row r="263" spans="1:7" x14ac:dyDescent="0.35">
      <c r="A263">
        <v>15</v>
      </c>
      <c r="B263">
        <v>-10</v>
      </c>
      <c r="C263">
        <v>18.47</v>
      </c>
      <c r="E263">
        <f t="shared" si="12"/>
        <v>103421.40000000001</v>
      </c>
      <c r="F263">
        <f t="shared" si="13"/>
        <v>249.81666666666663</v>
      </c>
      <c r="G263">
        <f t="shared" si="14"/>
        <v>0.86726871998664834</v>
      </c>
    </row>
    <row r="264" spans="1:7" x14ac:dyDescent="0.35">
      <c r="A264">
        <v>15</v>
      </c>
      <c r="B264">
        <v>0</v>
      </c>
      <c r="C264">
        <v>18.920000000000002</v>
      </c>
      <c r="E264">
        <f t="shared" si="12"/>
        <v>103421.40000000001</v>
      </c>
      <c r="F264">
        <f t="shared" si="13"/>
        <v>255.37222222222221</v>
      </c>
      <c r="G264">
        <f t="shared" si="14"/>
        <v>0.84664129271423838</v>
      </c>
    </row>
    <row r="265" spans="1:7" x14ac:dyDescent="0.35">
      <c r="A265">
        <v>15</v>
      </c>
      <c r="B265">
        <v>10</v>
      </c>
      <c r="C265">
        <v>19.37</v>
      </c>
      <c r="E265">
        <f t="shared" si="12"/>
        <v>103421.40000000001</v>
      </c>
      <c r="F265">
        <f t="shared" si="13"/>
        <v>260.92777777777775</v>
      </c>
      <c r="G265">
        <f t="shared" si="14"/>
        <v>0.82697229004405737</v>
      </c>
    </row>
    <row r="266" spans="1:7" x14ac:dyDescent="0.35">
      <c r="A266">
        <v>15</v>
      </c>
      <c r="B266">
        <v>20</v>
      </c>
      <c r="C266">
        <v>19.82</v>
      </c>
      <c r="E266">
        <f t="shared" si="12"/>
        <v>103421.40000000001</v>
      </c>
      <c r="F266">
        <f t="shared" si="13"/>
        <v>266.48333333333329</v>
      </c>
      <c r="G266">
        <f t="shared" si="14"/>
        <v>0.80819643078473224</v>
      </c>
    </row>
    <row r="267" spans="1:7" x14ac:dyDescent="0.35">
      <c r="A267">
        <v>15</v>
      </c>
      <c r="B267">
        <v>30</v>
      </c>
      <c r="C267">
        <v>20.260000000000002</v>
      </c>
      <c r="E267">
        <f t="shared" si="12"/>
        <v>103421.40000000001</v>
      </c>
      <c r="F267">
        <f t="shared" si="13"/>
        <v>272.03888888888889</v>
      </c>
      <c r="G267">
        <f t="shared" si="14"/>
        <v>0.79064428717440238</v>
      </c>
    </row>
    <row r="268" spans="1:7" x14ac:dyDescent="0.35">
      <c r="A268">
        <v>15</v>
      </c>
      <c r="B268">
        <v>40</v>
      </c>
      <c r="C268">
        <v>20.7</v>
      </c>
      <c r="E268">
        <f t="shared" si="12"/>
        <v>103421.40000000001</v>
      </c>
      <c r="F268">
        <f t="shared" si="13"/>
        <v>277.59444444444443</v>
      </c>
      <c r="G268">
        <f t="shared" si="14"/>
        <v>0.77383832164992239</v>
      </c>
    </row>
    <row r="269" spans="1:7" x14ac:dyDescent="0.35">
      <c r="A269">
        <v>15</v>
      </c>
      <c r="B269">
        <v>50</v>
      </c>
      <c r="C269">
        <v>21.14</v>
      </c>
      <c r="E269">
        <f t="shared" si="12"/>
        <v>103421.40000000001</v>
      </c>
      <c r="F269">
        <f t="shared" si="13"/>
        <v>283.14999999999998</v>
      </c>
      <c r="G269">
        <f t="shared" si="14"/>
        <v>0.75773194220214724</v>
      </c>
    </row>
    <row r="270" spans="1:7" x14ac:dyDescent="0.35">
      <c r="A270">
        <v>15</v>
      </c>
      <c r="B270">
        <v>60</v>
      </c>
      <c r="C270">
        <v>21.58</v>
      </c>
      <c r="E270">
        <f t="shared" si="12"/>
        <v>103421.40000000001</v>
      </c>
      <c r="F270">
        <f t="shared" si="13"/>
        <v>288.70555555555552</v>
      </c>
      <c r="G270">
        <f t="shared" si="14"/>
        <v>0.74228235672629261</v>
      </c>
    </row>
    <row r="271" spans="1:7" x14ac:dyDescent="0.35">
      <c r="A271">
        <v>15</v>
      </c>
      <c r="B271">
        <v>70</v>
      </c>
      <c r="C271">
        <v>22.1</v>
      </c>
      <c r="E271">
        <f t="shared" si="12"/>
        <v>103421.40000000001</v>
      </c>
      <c r="F271">
        <f t="shared" si="13"/>
        <v>294.26111111111106</v>
      </c>
      <c r="G271">
        <f t="shared" si="14"/>
        <v>0.7248168895092032</v>
      </c>
    </row>
    <row r="272" spans="1:7" x14ac:dyDescent="0.35">
      <c r="A272">
        <v>15</v>
      </c>
      <c r="B272">
        <v>80</v>
      </c>
      <c r="C272">
        <v>22.44</v>
      </c>
      <c r="E272">
        <f t="shared" si="12"/>
        <v>103421.40000000001</v>
      </c>
      <c r="F272">
        <f t="shared" si="13"/>
        <v>299.81666666666666</v>
      </c>
      <c r="G272">
        <f t="shared" si="14"/>
        <v>0.71383481542573046</v>
      </c>
    </row>
    <row r="273" spans="1:7" x14ac:dyDescent="0.35">
      <c r="A273">
        <v>15</v>
      </c>
      <c r="B273">
        <v>90</v>
      </c>
      <c r="C273">
        <v>22.88</v>
      </c>
      <c r="E273">
        <f t="shared" si="12"/>
        <v>103421.40000000001</v>
      </c>
      <c r="F273">
        <f t="shared" si="13"/>
        <v>305.37222222222221</v>
      </c>
      <c r="G273">
        <f t="shared" si="14"/>
        <v>0.7001072228213896</v>
      </c>
    </row>
    <row r="274" spans="1:7" x14ac:dyDescent="0.35">
      <c r="A274">
        <v>15</v>
      </c>
      <c r="B274">
        <v>100</v>
      </c>
      <c r="C274">
        <v>23.32</v>
      </c>
      <c r="E274">
        <f t="shared" si="12"/>
        <v>103421.40000000001</v>
      </c>
      <c r="F274">
        <f t="shared" si="13"/>
        <v>310.92777777777775</v>
      </c>
      <c r="G274">
        <f t="shared" si="14"/>
        <v>0.68689765257947655</v>
      </c>
    </row>
    <row r="275" spans="1:7" x14ac:dyDescent="0.35">
      <c r="A275">
        <v>15</v>
      </c>
      <c r="B275">
        <v>110</v>
      </c>
      <c r="C275">
        <v>23.74</v>
      </c>
      <c r="E275">
        <f t="shared" si="12"/>
        <v>103421.40000000001</v>
      </c>
      <c r="F275">
        <f t="shared" si="13"/>
        <v>316.48333333333329</v>
      </c>
      <c r="G275">
        <f t="shared" si="14"/>
        <v>0.67474529309828957</v>
      </c>
    </row>
    <row r="276" spans="1:7" x14ac:dyDescent="0.35">
      <c r="A276">
        <v>15</v>
      </c>
      <c r="B276">
        <v>120</v>
      </c>
      <c r="C276">
        <v>24.17</v>
      </c>
      <c r="E276">
        <f t="shared" si="12"/>
        <v>103421.40000000001</v>
      </c>
      <c r="F276">
        <f t="shared" si="13"/>
        <v>322.03888888888889</v>
      </c>
      <c r="G276">
        <f t="shared" si="14"/>
        <v>0.6627411360427552</v>
      </c>
    </row>
    <row r="277" spans="1:7" x14ac:dyDescent="0.35">
      <c r="A277">
        <v>15</v>
      </c>
      <c r="B277">
        <v>130</v>
      </c>
      <c r="C277">
        <v>24.6</v>
      </c>
      <c r="E277">
        <f t="shared" si="12"/>
        <v>103421.40000000001</v>
      </c>
      <c r="F277">
        <f t="shared" si="13"/>
        <v>327.59444444444443</v>
      </c>
      <c r="G277">
        <f t="shared" si="14"/>
        <v>0.65115663651030053</v>
      </c>
    </row>
    <row r="278" spans="1:7" x14ac:dyDescent="0.35">
      <c r="A278">
        <v>15</v>
      </c>
      <c r="B278">
        <v>140</v>
      </c>
      <c r="C278">
        <v>25.03</v>
      </c>
      <c r="E278">
        <f t="shared" si="12"/>
        <v>103421.40000000001</v>
      </c>
      <c r="F278">
        <f t="shared" si="13"/>
        <v>333.15</v>
      </c>
      <c r="G278">
        <f t="shared" si="14"/>
        <v>0.63997016612678359</v>
      </c>
    </row>
    <row r="279" spans="1:7" x14ac:dyDescent="0.35">
      <c r="A279">
        <v>15</v>
      </c>
      <c r="B279">
        <v>150</v>
      </c>
      <c r="C279">
        <v>25.46</v>
      </c>
      <c r="E279">
        <f t="shared" si="12"/>
        <v>103421.40000000001</v>
      </c>
      <c r="F279">
        <f t="shared" si="13"/>
        <v>338.70555555555552</v>
      </c>
      <c r="G279">
        <f t="shared" si="14"/>
        <v>0.62916155766509796</v>
      </c>
    </row>
    <row r="280" spans="1:7" x14ac:dyDescent="0.35">
      <c r="A280">
        <v>15</v>
      </c>
      <c r="B280">
        <v>160</v>
      </c>
      <c r="C280">
        <v>25.88</v>
      </c>
      <c r="E280">
        <f t="shared" si="12"/>
        <v>103421.40000000001</v>
      </c>
      <c r="F280">
        <f t="shared" si="13"/>
        <v>344.26111111111106</v>
      </c>
      <c r="G280">
        <f t="shared" si="14"/>
        <v>0.61895105325167665</v>
      </c>
    </row>
    <row r="281" spans="1:7" x14ac:dyDescent="0.35">
      <c r="A281">
        <v>15</v>
      </c>
      <c r="B281">
        <v>170</v>
      </c>
      <c r="C281">
        <v>26.31</v>
      </c>
      <c r="E281">
        <f t="shared" si="12"/>
        <v>103421.40000000001</v>
      </c>
      <c r="F281">
        <f t="shared" si="13"/>
        <v>349.81666666666666</v>
      </c>
      <c r="G281">
        <f t="shared" si="14"/>
        <v>0.60883516754668932</v>
      </c>
    </row>
    <row r="282" spans="1:7" x14ac:dyDescent="0.35">
      <c r="A282">
        <v>15</v>
      </c>
      <c r="B282">
        <v>180</v>
      </c>
      <c r="C282">
        <v>26.74</v>
      </c>
      <c r="E282">
        <f t="shared" si="12"/>
        <v>103421.40000000001</v>
      </c>
      <c r="F282">
        <f t="shared" si="13"/>
        <v>355.37222222222221</v>
      </c>
      <c r="G282">
        <f t="shared" si="14"/>
        <v>0.59904462446347773</v>
      </c>
    </row>
    <row r="283" spans="1:7" x14ac:dyDescent="0.35">
      <c r="A283">
        <v>15</v>
      </c>
      <c r="B283">
        <v>190</v>
      </c>
      <c r="C283">
        <v>27.16</v>
      </c>
      <c r="E283">
        <f t="shared" si="12"/>
        <v>103421.40000000001</v>
      </c>
      <c r="F283">
        <f t="shared" si="13"/>
        <v>360.92777777777775</v>
      </c>
      <c r="G283">
        <f t="shared" si="14"/>
        <v>0.58978104779651674</v>
      </c>
    </row>
    <row r="284" spans="1:7" x14ac:dyDescent="0.35">
      <c r="A284">
        <v>15</v>
      </c>
      <c r="B284">
        <v>200</v>
      </c>
      <c r="C284">
        <v>27.59</v>
      </c>
      <c r="E284">
        <f t="shared" si="12"/>
        <v>103421.40000000001</v>
      </c>
      <c r="F284">
        <f t="shared" si="13"/>
        <v>366.48333333333329</v>
      </c>
      <c r="G284">
        <f t="shared" si="14"/>
        <v>0.58058909960686456</v>
      </c>
    </row>
    <row r="285" spans="1:7" x14ac:dyDescent="0.35">
      <c r="A285">
        <v>15</v>
      </c>
      <c r="B285">
        <v>220</v>
      </c>
      <c r="C285">
        <v>28.44</v>
      </c>
      <c r="E285">
        <f t="shared" si="12"/>
        <v>103421.40000000001</v>
      </c>
      <c r="F285">
        <f t="shared" si="13"/>
        <v>377.59444444444443</v>
      </c>
      <c r="G285">
        <f t="shared" si="14"/>
        <v>0.56323675309962695</v>
      </c>
    </row>
    <row r="286" spans="1:7" x14ac:dyDescent="0.35">
      <c r="A286">
        <v>16</v>
      </c>
      <c r="B286">
        <v>-20</v>
      </c>
      <c r="C286">
        <v>16.86</v>
      </c>
      <c r="E286">
        <f t="shared" si="12"/>
        <v>110316.16</v>
      </c>
      <c r="F286">
        <f t="shared" si="13"/>
        <v>244.26111111111109</v>
      </c>
      <c r="G286">
        <f t="shared" si="14"/>
        <v>0.95008619562001151</v>
      </c>
    </row>
    <row r="287" spans="1:7" x14ac:dyDescent="0.35">
      <c r="A287">
        <v>16</v>
      </c>
      <c r="B287">
        <v>-10</v>
      </c>
      <c r="C287">
        <v>17.29</v>
      </c>
      <c r="E287">
        <f t="shared" si="12"/>
        <v>110316.16</v>
      </c>
      <c r="F287">
        <f t="shared" si="13"/>
        <v>249.81666666666663</v>
      </c>
      <c r="G287">
        <f t="shared" si="14"/>
        <v>0.92645767832003434</v>
      </c>
    </row>
    <row r="288" spans="1:7" x14ac:dyDescent="0.35">
      <c r="A288">
        <v>16</v>
      </c>
      <c r="B288">
        <v>0</v>
      </c>
      <c r="C288">
        <v>17.72</v>
      </c>
      <c r="E288">
        <f t="shared" si="12"/>
        <v>110316.16</v>
      </c>
      <c r="F288">
        <f t="shared" si="13"/>
        <v>255.37222222222221</v>
      </c>
      <c r="G288">
        <f t="shared" si="14"/>
        <v>0.90397591750301332</v>
      </c>
    </row>
    <row r="289" spans="1:7" x14ac:dyDescent="0.35">
      <c r="A289">
        <v>16</v>
      </c>
      <c r="B289">
        <v>10</v>
      </c>
      <c r="C289">
        <v>18.14</v>
      </c>
      <c r="E289">
        <f t="shared" si="12"/>
        <v>110316.16</v>
      </c>
      <c r="F289">
        <f t="shared" si="13"/>
        <v>260.92777777777775</v>
      </c>
      <c r="G289">
        <f t="shared" si="14"/>
        <v>0.88304593484858829</v>
      </c>
    </row>
    <row r="290" spans="1:7" x14ac:dyDescent="0.35">
      <c r="A290">
        <v>16</v>
      </c>
      <c r="B290">
        <v>20</v>
      </c>
      <c r="C290">
        <v>18.559999999999999</v>
      </c>
      <c r="E290">
        <f t="shared" si="12"/>
        <v>110316.16</v>
      </c>
      <c r="F290">
        <f t="shared" si="13"/>
        <v>266.48333333333329</v>
      </c>
      <c r="G290">
        <f t="shared" si="14"/>
        <v>0.86306321434016131</v>
      </c>
    </row>
    <row r="291" spans="1:7" x14ac:dyDescent="0.35">
      <c r="A291">
        <v>16</v>
      </c>
      <c r="B291">
        <v>30</v>
      </c>
      <c r="C291">
        <v>18.97</v>
      </c>
      <c r="E291">
        <f t="shared" si="12"/>
        <v>110316.16</v>
      </c>
      <c r="F291">
        <f t="shared" si="13"/>
        <v>272.03888888888889</v>
      </c>
      <c r="G291">
        <f t="shared" si="14"/>
        <v>0.84440976584888738</v>
      </c>
    </row>
    <row r="292" spans="1:7" x14ac:dyDescent="0.35">
      <c r="A292">
        <v>16</v>
      </c>
      <c r="B292">
        <v>40</v>
      </c>
      <c r="C292">
        <v>19.39</v>
      </c>
      <c r="E292">
        <f t="shared" si="12"/>
        <v>110316.16</v>
      </c>
      <c r="F292">
        <f t="shared" si="13"/>
        <v>277.59444444444443</v>
      </c>
      <c r="G292">
        <f t="shared" si="14"/>
        <v>0.82611930160667324</v>
      </c>
    </row>
    <row r="293" spans="1:7" x14ac:dyDescent="0.35">
      <c r="A293">
        <v>16</v>
      </c>
      <c r="B293">
        <v>50</v>
      </c>
      <c r="C293">
        <v>19.8</v>
      </c>
      <c r="E293">
        <f t="shared" si="12"/>
        <v>110316.16</v>
      </c>
      <c r="F293">
        <f t="shared" si="13"/>
        <v>283.14999999999998</v>
      </c>
      <c r="G293">
        <f t="shared" si="14"/>
        <v>0.809012790815828</v>
      </c>
    </row>
    <row r="294" spans="1:7" x14ac:dyDescent="0.35">
      <c r="A294">
        <v>16</v>
      </c>
      <c r="B294">
        <v>60</v>
      </c>
      <c r="C294">
        <v>20.21</v>
      </c>
      <c r="E294">
        <f t="shared" si="12"/>
        <v>110316.16</v>
      </c>
      <c r="F294">
        <f t="shared" si="13"/>
        <v>288.70555555555552</v>
      </c>
      <c r="G294">
        <f t="shared" si="14"/>
        <v>0.79260035913673399</v>
      </c>
    </row>
    <row r="295" spans="1:7" x14ac:dyDescent="0.35">
      <c r="A295">
        <v>16</v>
      </c>
      <c r="B295">
        <v>70</v>
      </c>
      <c r="C295">
        <v>20.62</v>
      </c>
      <c r="E295">
        <f t="shared" si="12"/>
        <v>110316.16</v>
      </c>
      <c r="F295">
        <f t="shared" si="13"/>
        <v>294.26111111111106</v>
      </c>
      <c r="G295">
        <f t="shared" si="14"/>
        <v>0.77684060417814715</v>
      </c>
    </row>
    <row r="296" spans="1:7" x14ac:dyDescent="0.35">
      <c r="A296">
        <v>16</v>
      </c>
      <c r="B296">
        <v>80</v>
      </c>
      <c r="C296">
        <v>21.03</v>
      </c>
      <c r="E296">
        <f t="shared" si="12"/>
        <v>110316.16</v>
      </c>
      <c r="F296">
        <f t="shared" si="13"/>
        <v>299.81666666666666</v>
      </c>
      <c r="G296">
        <f t="shared" si="14"/>
        <v>0.76169535226597207</v>
      </c>
    </row>
    <row r="297" spans="1:7" x14ac:dyDescent="0.35">
      <c r="A297">
        <v>16</v>
      </c>
      <c r="B297">
        <v>90</v>
      </c>
      <c r="C297">
        <v>21.43</v>
      </c>
      <c r="E297">
        <f t="shared" si="12"/>
        <v>110316.16</v>
      </c>
      <c r="F297">
        <f t="shared" si="13"/>
        <v>305.37222222222221</v>
      </c>
      <c r="G297">
        <f t="shared" si="14"/>
        <v>0.74747798684803524</v>
      </c>
    </row>
    <row r="298" spans="1:7" x14ac:dyDescent="0.35">
      <c r="A298">
        <v>16</v>
      </c>
      <c r="B298">
        <v>100</v>
      </c>
      <c r="C298">
        <v>21.84</v>
      </c>
      <c r="E298">
        <f t="shared" si="12"/>
        <v>110316.16</v>
      </c>
      <c r="F298">
        <f t="shared" si="13"/>
        <v>310.92777777777775</v>
      </c>
      <c r="G298">
        <f t="shared" si="14"/>
        <v>0.73344566200336048</v>
      </c>
    </row>
    <row r="299" spans="1:7" x14ac:dyDescent="0.35">
      <c r="A299">
        <v>16</v>
      </c>
      <c r="B299">
        <v>110</v>
      </c>
      <c r="C299">
        <v>22.24</v>
      </c>
      <c r="E299">
        <f t="shared" si="12"/>
        <v>110316.16</v>
      </c>
      <c r="F299">
        <f t="shared" si="13"/>
        <v>316.48333333333329</v>
      </c>
      <c r="G299">
        <f t="shared" si="14"/>
        <v>0.7202541932622929</v>
      </c>
    </row>
    <row r="300" spans="1:7" x14ac:dyDescent="0.35">
      <c r="A300">
        <v>16</v>
      </c>
      <c r="B300">
        <v>120</v>
      </c>
      <c r="C300">
        <v>22.65</v>
      </c>
      <c r="E300">
        <f t="shared" si="12"/>
        <v>110316.16</v>
      </c>
      <c r="F300">
        <f t="shared" si="13"/>
        <v>322.03888888888889</v>
      </c>
      <c r="G300">
        <f t="shared" si="14"/>
        <v>0.70721647938867083</v>
      </c>
    </row>
    <row r="301" spans="1:7" x14ac:dyDescent="0.35">
      <c r="A301">
        <v>16</v>
      </c>
      <c r="B301">
        <v>130</v>
      </c>
      <c r="C301">
        <v>23.05</v>
      </c>
      <c r="E301">
        <f t="shared" si="12"/>
        <v>110316.16</v>
      </c>
      <c r="F301">
        <f t="shared" si="13"/>
        <v>327.59444444444443</v>
      </c>
      <c r="G301">
        <f t="shared" si="14"/>
        <v>0.69494374221923605</v>
      </c>
    </row>
    <row r="302" spans="1:7" x14ac:dyDescent="0.35">
      <c r="A302">
        <v>16</v>
      </c>
      <c r="B302">
        <v>140</v>
      </c>
      <c r="C302">
        <v>23.45</v>
      </c>
      <c r="E302">
        <f t="shared" si="12"/>
        <v>110316.16</v>
      </c>
      <c r="F302">
        <f t="shared" si="13"/>
        <v>333.15</v>
      </c>
      <c r="G302">
        <f t="shared" si="14"/>
        <v>0.68308969117924923</v>
      </c>
    </row>
    <row r="303" spans="1:7" x14ac:dyDescent="0.35">
      <c r="A303">
        <v>16</v>
      </c>
      <c r="B303">
        <v>150</v>
      </c>
      <c r="C303">
        <v>23.86</v>
      </c>
      <c r="E303">
        <f t="shared" si="12"/>
        <v>110316.16</v>
      </c>
      <c r="F303">
        <f t="shared" si="13"/>
        <v>338.70555555555552</v>
      </c>
      <c r="G303">
        <f t="shared" si="14"/>
        <v>0.67135177108773658</v>
      </c>
    </row>
    <row r="304" spans="1:7" x14ac:dyDescent="0.35">
      <c r="A304">
        <v>16</v>
      </c>
      <c r="B304">
        <v>160</v>
      </c>
      <c r="C304">
        <v>24.26</v>
      </c>
      <c r="E304">
        <f t="shared" si="12"/>
        <v>110316.16</v>
      </c>
      <c r="F304">
        <f t="shared" si="13"/>
        <v>344.26111111111106</v>
      </c>
      <c r="G304">
        <f t="shared" si="14"/>
        <v>0.66028249209206069</v>
      </c>
    </row>
    <row r="305" spans="1:7" x14ac:dyDescent="0.35">
      <c r="A305">
        <v>16</v>
      </c>
      <c r="B305">
        <v>170</v>
      </c>
      <c r="C305">
        <v>24.66</v>
      </c>
      <c r="E305">
        <f t="shared" si="12"/>
        <v>110316.16</v>
      </c>
      <c r="F305">
        <f t="shared" si="13"/>
        <v>349.81666666666666</v>
      </c>
      <c r="G305">
        <f t="shared" si="14"/>
        <v>0.64957231379373048</v>
      </c>
    </row>
    <row r="306" spans="1:7" x14ac:dyDescent="0.35">
      <c r="A306">
        <v>16</v>
      </c>
      <c r="B306">
        <v>180</v>
      </c>
      <c r="C306">
        <v>25.06</v>
      </c>
      <c r="E306">
        <f t="shared" si="12"/>
        <v>110316.16</v>
      </c>
      <c r="F306">
        <f t="shared" si="13"/>
        <v>355.37222222222221</v>
      </c>
      <c r="G306">
        <f t="shared" si="14"/>
        <v>0.63920404062862701</v>
      </c>
    </row>
    <row r="307" spans="1:7" x14ac:dyDescent="0.35">
      <c r="A307">
        <v>16</v>
      </c>
      <c r="B307">
        <v>190</v>
      </c>
      <c r="C307">
        <v>25.46</v>
      </c>
      <c r="E307">
        <f t="shared" si="12"/>
        <v>110316.16</v>
      </c>
      <c r="F307">
        <f t="shared" si="13"/>
        <v>360.92777777777775</v>
      </c>
      <c r="G307">
        <f t="shared" si="14"/>
        <v>0.62916155766509796</v>
      </c>
    </row>
    <row r="308" spans="1:7" x14ac:dyDescent="0.35">
      <c r="A308">
        <v>16</v>
      </c>
      <c r="B308">
        <v>200</v>
      </c>
      <c r="C308">
        <v>25.86</v>
      </c>
      <c r="E308">
        <f t="shared" si="12"/>
        <v>110316.16</v>
      </c>
      <c r="F308">
        <f t="shared" si="13"/>
        <v>366.48333333333329</v>
      </c>
      <c r="G308">
        <f t="shared" si="14"/>
        <v>0.61942974702836018</v>
      </c>
    </row>
    <row r="309" spans="1:7" x14ac:dyDescent="0.35">
      <c r="A309">
        <v>16</v>
      </c>
      <c r="B309">
        <v>220</v>
      </c>
      <c r="C309">
        <v>26.66</v>
      </c>
      <c r="E309">
        <f t="shared" si="12"/>
        <v>110316.16</v>
      </c>
      <c r="F309">
        <f t="shared" si="13"/>
        <v>377.59444444444443</v>
      </c>
      <c r="G309">
        <f t="shared" si="14"/>
        <v>0.60084220773268548</v>
      </c>
    </row>
    <row r="310" spans="1:7" x14ac:dyDescent="0.35">
      <c r="A310">
        <v>17</v>
      </c>
      <c r="B310">
        <v>-20</v>
      </c>
      <c r="C310">
        <v>15.83</v>
      </c>
      <c r="E310">
        <f t="shared" si="12"/>
        <v>117210.92</v>
      </c>
      <c r="F310">
        <f t="shared" si="13"/>
        <v>244.26111111111109</v>
      </c>
      <c r="G310">
        <f t="shared" si="14"/>
        <v>1.0119048173185972</v>
      </c>
    </row>
    <row r="311" spans="1:7" x14ac:dyDescent="0.35">
      <c r="A311">
        <v>17</v>
      </c>
      <c r="B311">
        <v>-10</v>
      </c>
      <c r="C311">
        <v>16.239999999999998</v>
      </c>
      <c r="E311">
        <f t="shared" si="12"/>
        <v>117210.92</v>
      </c>
      <c r="F311">
        <f t="shared" si="13"/>
        <v>249.81666666666663</v>
      </c>
      <c r="G311">
        <f t="shared" si="14"/>
        <v>0.98635795924589875</v>
      </c>
    </row>
    <row r="312" spans="1:7" x14ac:dyDescent="0.35">
      <c r="A312">
        <v>17</v>
      </c>
      <c r="B312">
        <v>0</v>
      </c>
      <c r="C312">
        <v>16.649999999999999</v>
      </c>
      <c r="E312">
        <f t="shared" si="12"/>
        <v>117210.92</v>
      </c>
      <c r="F312">
        <f t="shared" si="13"/>
        <v>255.37222222222221</v>
      </c>
      <c r="G312">
        <f t="shared" si="14"/>
        <v>0.9620692647539576</v>
      </c>
    </row>
    <row r="313" spans="1:7" x14ac:dyDescent="0.35">
      <c r="A313">
        <v>17</v>
      </c>
      <c r="B313">
        <v>10</v>
      </c>
      <c r="C313">
        <v>17.05</v>
      </c>
      <c r="E313">
        <f t="shared" si="12"/>
        <v>117210.92</v>
      </c>
      <c r="F313">
        <f t="shared" si="13"/>
        <v>260.92777777777775</v>
      </c>
      <c r="G313">
        <f t="shared" si="14"/>
        <v>0.93949872481838081</v>
      </c>
    </row>
    <row r="314" spans="1:7" x14ac:dyDescent="0.35">
      <c r="A314">
        <v>17</v>
      </c>
      <c r="B314">
        <v>20</v>
      </c>
      <c r="C314">
        <v>17.45</v>
      </c>
      <c r="E314">
        <f t="shared" si="12"/>
        <v>117210.92</v>
      </c>
      <c r="F314">
        <f t="shared" si="13"/>
        <v>266.48333333333329</v>
      </c>
      <c r="G314">
        <f t="shared" si="14"/>
        <v>0.9179629374299938</v>
      </c>
    </row>
    <row r="315" spans="1:7" x14ac:dyDescent="0.35">
      <c r="A315">
        <v>17</v>
      </c>
      <c r="B315">
        <v>30</v>
      </c>
      <c r="C315">
        <v>17.84</v>
      </c>
      <c r="E315">
        <f t="shared" si="12"/>
        <v>117210.92</v>
      </c>
      <c r="F315">
        <f t="shared" si="13"/>
        <v>272.03888888888889</v>
      </c>
      <c r="G315">
        <f t="shared" si="14"/>
        <v>0.89789536200411402</v>
      </c>
    </row>
    <row r="316" spans="1:7" x14ac:dyDescent="0.35">
      <c r="A316">
        <v>17</v>
      </c>
      <c r="B316">
        <v>40</v>
      </c>
      <c r="C316">
        <v>18.23</v>
      </c>
      <c r="E316">
        <f t="shared" si="12"/>
        <v>117210.92</v>
      </c>
      <c r="F316">
        <f t="shared" si="13"/>
        <v>277.59444444444443</v>
      </c>
      <c r="G316">
        <f t="shared" si="14"/>
        <v>0.8786864102113765</v>
      </c>
    </row>
    <row r="317" spans="1:7" x14ac:dyDescent="0.35">
      <c r="A317">
        <v>17</v>
      </c>
      <c r="B317">
        <v>50</v>
      </c>
      <c r="C317">
        <v>18.62</v>
      </c>
      <c r="E317">
        <f t="shared" si="12"/>
        <v>117210.92</v>
      </c>
      <c r="F317">
        <f t="shared" si="13"/>
        <v>283.14999999999998</v>
      </c>
      <c r="G317">
        <f t="shared" si="14"/>
        <v>0.8602821298686032</v>
      </c>
    </row>
    <row r="318" spans="1:7" x14ac:dyDescent="0.35">
      <c r="A318">
        <v>17</v>
      </c>
      <c r="B318">
        <v>60</v>
      </c>
      <c r="C318">
        <v>19.010000000000002</v>
      </c>
      <c r="E318">
        <f t="shared" si="12"/>
        <v>117210.92</v>
      </c>
      <c r="F318">
        <f t="shared" si="13"/>
        <v>288.70555555555552</v>
      </c>
      <c r="G318">
        <f t="shared" si="14"/>
        <v>0.84263299622058874</v>
      </c>
    </row>
    <row r="319" spans="1:7" x14ac:dyDescent="0.35">
      <c r="A319">
        <v>17</v>
      </c>
      <c r="B319">
        <v>70</v>
      </c>
      <c r="C319">
        <v>19.39</v>
      </c>
      <c r="E319">
        <f t="shared" si="12"/>
        <v>117210.92</v>
      </c>
      <c r="F319">
        <f t="shared" si="13"/>
        <v>294.26111111111106</v>
      </c>
      <c r="G319">
        <f t="shared" si="14"/>
        <v>0.82611930160667324</v>
      </c>
    </row>
    <row r="320" spans="1:7" x14ac:dyDescent="0.35">
      <c r="A320">
        <v>17</v>
      </c>
      <c r="B320">
        <v>80</v>
      </c>
      <c r="C320">
        <v>19.78</v>
      </c>
      <c r="E320">
        <f t="shared" si="12"/>
        <v>117210.92</v>
      </c>
      <c r="F320">
        <f t="shared" si="13"/>
        <v>299.81666666666666</v>
      </c>
      <c r="G320">
        <f t="shared" si="14"/>
        <v>0.80983080172666289</v>
      </c>
    </row>
    <row r="321" spans="1:7" x14ac:dyDescent="0.35">
      <c r="A321">
        <v>17</v>
      </c>
      <c r="B321">
        <v>90</v>
      </c>
      <c r="C321">
        <v>20.16</v>
      </c>
      <c r="E321">
        <f t="shared" si="12"/>
        <v>117210.92</v>
      </c>
      <c r="F321">
        <f t="shared" si="13"/>
        <v>305.37222222222221</v>
      </c>
      <c r="G321">
        <f t="shared" si="14"/>
        <v>0.79456613383697383</v>
      </c>
    </row>
    <row r="322" spans="1:7" x14ac:dyDescent="0.35">
      <c r="A322">
        <v>17</v>
      </c>
      <c r="B322">
        <v>100</v>
      </c>
      <c r="C322">
        <v>20.54</v>
      </c>
      <c r="E322">
        <f t="shared" ref="E322:E385" si="15">A322*6894.76</f>
        <v>117210.92</v>
      </c>
      <c r="F322">
        <f t="shared" si="13"/>
        <v>310.92777777777775</v>
      </c>
      <c r="G322">
        <f t="shared" si="14"/>
        <v>0.77986627352256055</v>
      </c>
    </row>
    <row r="323" spans="1:7" x14ac:dyDescent="0.35">
      <c r="A323">
        <v>17</v>
      </c>
      <c r="B323">
        <v>110</v>
      </c>
      <c r="C323">
        <v>20.92</v>
      </c>
      <c r="E323">
        <f t="shared" si="15"/>
        <v>117210.92</v>
      </c>
      <c r="F323">
        <f t="shared" ref="F323:F386" si="16">(B323-32)*5/9+273.15</f>
        <v>316.48333333333329</v>
      </c>
      <c r="G323">
        <f t="shared" ref="G323:G386" si="17">1/(C323*0.062428)</f>
        <v>0.76570044255035341</v>
      </c>
    </row>
    <row r="324" spans="1:7" x14ac:dyDescent="0.35">
      <c r="A324">
        <v>17</v>
      </c>
      <c r="B324">
        <v>120</v>
      </c>
      <c r="C324">
        <v>21.3</v>
      </c>
      <c r="E324">
        <f t="shared" si="15"/>
        <v>117210.92</v>
      </c>
      <c r="F324">
        <f t="shared" si="16"/>
        <v>322.03888888888889</v>
      </c>
      <c r="G324">
        <f t="shared" si="17"/>
        <v>0.75204005906823446</v>
      </c>
    </row>
    <row r="325" spans="1:7" x14ac:dyDescent="0.35">
      <c r="A325">
        <v>17</v>
      </c>
      <c r="B325">
        <v>130</v>
      </c>
      <c r="C325">
        <v>21.68</v>
      </c>
      <c r="E325">
        <f t="shared" si="15"/>
        <v>117210.92</v>
      </c>
      <c r="F325">
        <f t="shared" si="16"/>
        <v>327.59444444444443</v>
      </c>
      <c r="G325">
        <f t="shared" si="17"/>
        <v>0.73885854511777649</v>
      </c>
    </row>
    <row r="326" spans="1:7" x14ac:dyDescent="0.35">
      <c r="A326">
        <v>17</v>
      </c>
      <c r="B326">
        <v>140</v>
      </c>
      <c r="C326">
        <v>22.06</v>
      </c>
      <c r="E326">
        <f t="shared" si="15"/>
        <v>117210.92</v>
      </c>
      <c r="F326">
        <f t="shared" si="16"/>
        <v>333.15</v>
      </c>
      <c r="G326">
        <f t="shared" si="17"/>
        <v>0.72613115404140494</v>
      </c>
    </row>
    <row r="327" spans="1:7" x14ac:dyDescent="0.35">
      <c r="A327">
        <v>17</v>
      </c>
      <c r="B327">
        <v>150</v>
      </c>
      <c r="C327">
        <v>22.44</v>
      </c>
      <c r="E327">
        <f t="shared" si="15"/>
        <v>117210.92</v>
      </c>
      <c r="F327">
        <f t="shared" si="16"/>
        <v>338.70555555555552</v>
      </c>
      <c r="G327">
        <f t="shared" si="17"/>
        <v>0.71383481542573046</v>
      </c>
    </row>
    <row r="328" spans="1:7" x14ac:dyDescent="0.35">
      <c r="A328">
        <v>17</v>
      </c>
      <c r="B328">
        <v>160</v>
      </c>
      <c r="C328">
        <v>22.82</v>
      </c>
      <c r="E328">
        <f t="shared" si="15"/>
        <v>117210.92</v>
      </c>
      <c r="F328">
        <f t="shared" si="16"/>
        <v>344.26111111111106</v>
      </c>
      <c r="G328">
        <f t="shared" si="17"/>
        <v>0.70194799553695852</v>
      </c>
    </row>
    <row r="329" spans="1:7" x14ac:dyDescent="0.35">
      <c r="A329">
        <v>17</v>
      </c>
      <c r="B329">
        <v>170</v>
      </c>
      <c r="C329">
        <v>23.2</v>
      </c>
      <c r="E329">
        <f t="shared" si="15"/>
        <v>117210.92</v>
      </c>
      <c r="F329">
        <f t="shared" si="16"/>
        <v>349.81666666666666</v>
      </c>
      <c r="G329">
        <f t="shared" si="17"/>
        <v>0.69045057147212907</v>
      </c>
    </row>
    <row r="330" spans="1:7" x14ac:dyDescent="0.35">
      <c r="A330">
        <v>17</v>
      </c>
      <c r="B330">
        <v>180</v>
      </c>
      <c r="C330">
        <v>23.58</v>
      </c>
      <c r="E330">
        <f t="shared" si="15"/>
        <v>117210.92</v>
      </c>
      <c r="F330">
        <f t="shared" si="16"/>
        <v>355.37222222222221</v>
      </c>
      <c r="G330">
        <f t="shared" si="17"/>
        <v>0.6793237174789396</v>
      </c>
    </row>
    <row r="331" spans="1:7" x14ac:dyDescent="0.35">
      <c r="A331">
        <v>17</v>
      </c>
      <c r="B331">
        <v>190</v>
      </c>
      <c r="C331">
        <v>23.95</v>
      </c>
      <c r="E331">
        <f t="shared" si="15"/>
        <v>117210.92</v>
      </c>
      <c r="F331">
        <f t="shared" si="16"/>
        <v>360.92777777777775</v>
      </c>
      <c r="G331">
        <f t="shared" si="17"/>
        <v>0.66882894606068455</v>
      </c>
    </row>
    <row r="332" spans="1:7" x14ac:dyDescent="0.35">
      <c r="A332">
        <v>17</v>
      </c>
      <c r="B332">
        <v>200</v>
      </c>
      <c r="C332">
        <v>24.33</v>
      </c>
      <c r="E332">
        <f t="shared" si="15"/>
        <v>117210.92</v>
      </c>
      <c r="F332">
        <f t="shared" si="16"/>
        <v>366.48333333333329</v>
      </c>
      <c r="G332">
        <f t="shared" si="17"/>
        <v>0.65838278907330028</v>
      </c>
    </row>
    <row r="333" spans="1:7" x14ac:dyDescent="0.35">
      <c r="A333">
        <v>17</v>
      </c>
      <c r="B333">
        <v>220</v>
      </c>
      <c r="C333">
        <v>25.08</v>
      </c>
      <c r="E333">
        <f t="shared" si="15"/>
        <v>117210.92</v>
      </c>
      <c r="F333">
        <f t="shared" si="16"/>
        <v>377.59444444444443</v>
      </c>
      <c r="G333">
        <f t="shared" si="17"/>
        <v>0.63869430853881159</v>
      </c>
    </row>
    <row r="334" spans="1:7" x14ac:dyDescent="0.35">
      <c r="A334">
        <v>20</v>
      </c>
      <c r="B334">
        <v>-10</v>
      </c>
      <c r="C334">
        <v>13.74</v>
      </c>
      <c r="E334">
        <f t="shared" si="15"/>
        <v>137895.20000000001</v>
      </c>
      <c r="F334">
        <f t="shared" si="16"/>
        <v>249.81666666666663</v>
      </c>
      <c r="G334">
        <f t="shared" si="17"/>
        <v>1.1658262924420226</v>
      </c>
    </row>
    <row r="335" spans="1:7" x14ac:dyDescent="0.35">
      <c r="A335">
        <v>20</v>
      </c>
      <c r="B335">
        <v>0</v>
      </c>
      <c r="C335">
        <v>14.09</v>
      </c>
      <c r="E335">
        <f t="shared" si="15"/>
        <v>137895.20000000001</v>
      </c>
      <c r="F335">
        <f t="shared" si="16"/>
        <v>255.37222222222221</v>
      </c>
      <c r="G335">
        <f t="shared" si="17"/>
        <v>1.1368668032756135</v>
      </c>
    </row>
    <row r="336" spans="1:7" x14ac:dyDescent="0.35">
      <c r="A336">
        <v>20</v>
      </c>
      <c r="B336">
        <v>10</v>
      </c>
      <c r="C336">
        <v>14.44</v>
      </c>
      <c r="E336">
        <f t="shared" si="15"/>
        <v>137895.20000000001</v>
      </c>
      <c r="F336">
        <f t="shared" si="16"/>
        <v>260.92777777777775</v>
      </c>
      <c r="G336">
        <f t="shared" si="17"/>
        <v>1.1093111674621463</v>
      </c>
    </row>
    <row r="337" spans="1:7" x14ac:dyDescent="0.35">
      <c r="A337">
        <v>20</v>
      </c>
      <c r="B337">
        <v>20</v>
      </c>
      <c r="C337">
        <v>14.78</v>
      </c>
      <c r="E337">
        <f t="shared" si="15"/>
        <v>137895.20000000001</v>
      </c>
      <c r="F337">
        <f t="shared" si="16"/>
        <v>266.48333333333329</v>
      </c>
      <c r="G337">
        <f t="shared" si="17"/>
        <v>1.0837925073175505</v>
      </c>
    </row>
    <row r="338" spans="1:7" x14ac:dyDescent="0.35">
      <c r="A338">
        <v>20</v>
      </c>
      <c r="B338">
        <v>30</v>
      </c>
      <c r="C338">
        <v>15.11</v>
      </c>
      <c r="E338">
        <f t="shared" si="15"/>
        <v>137895.20000000001</v>
      </c>
      <c r="F338">
        <f t="shared" si="16"/>
        <v>272.03888888888889</v>
      </c>
      <c r="G338">
        <f t="shared" si="17"/>
        <v>1.0601226511021438</v>
      </c>
    </row>
    <row r="339" spans="1:7" x14ac:dyDescent="0.35">
      <c r="A339">
        <v>20</v>
      </c>
      <c r="B339">
        <v>40</v>
      </c>
      <c r="C339">
        <v>15.45</v>
      </c>
      <c r="E339">
        <f t="shared" si="15"/>
        <v>137895.20000000001</v>
      </c>
      <c r="F339">
        <f t="shared" si="16"/>
        <v>277.59444444444443</v>
      </c>
      <c r="G339">
        <f t="shared" si="17"/>
        <v>1.0367930911426144</v>
      </c>
    </row>
    <row r="340" spans="1:7" x14ac:dyDescent="0.35">
      <c r="A340">
        <v>20</v>
      </c>
      <c r="B340">
        <v>50</v>
      </c>
      <c r="C340">
        <v>15.78</v>
      </c>
      <c r="E340">
        <f t="shared" si="15"/>
        <v>137895.20000000001</v>
      </c>
      <c r="F340">
        <f t="shared" si="16"/>
        <v>283.14999999999998</v>
      </c>
      <c r="G340">
        <f t="shared" si="17"/>
        <v>1.0151111063468563</v>
      </c>
    </row>
    <row r="341" spans="1:7" x14ac:dyDescent="0.35">
      <c r="A341">
        <v>20</v>
      </c>
      <c r="B341">
        <v>60</v>
      </c>
      <c r="C341">
        <v>16.12</v>
      </c>
      <c r="E341">
        <f t="shared" si="15"/>
        <v>137895.20000000001</v>
      </c>
      <c r="F341">
        <f t="shared" si="16"/>
        <v>288.70555555555552</v>
      </c>
      <c r="G341">
        <f t="shared" si="17"/>
        <v>0.99370057432713343</v>
      </c>
    </row>
    <row r="342" spans="1:7" x14ac:dyDescent="0.35">
      <c r="A342">
        <v>20</v>
      </c>
      <c r="B342">
        <v>70</v>
      </c>
      <c r="C342">
        <v>16.45</v>
      </c>
      <c r="E342">
        <f t="shared" si="15"/>
        <v>137895.20000000001</v>
      </c>
      <c r="F342">
        <f t="shared" si="16"/>
        <v>294.26111111111106</v>
      </c>
      <c r="G342">
        <f t="shared" si="17"/>
        <v>0.97376615551084467</v>
      </c>
    </row>
    <row r="343" spans="1:7" x14ac:dyDescent="0.35">
      <c r="A343">
        <v>20</v>
      </c>
      <c r="B343">
        <v>80</v>
      </c>
      <c r="C343">
        <v>16.78</v>
      </c>
      <c r="E343">
        <f t="shared" si="15"/>
        <v>137895.20000000001</v>
      </c>
      <c r="F343">
        <f t="shared" si="16"/>
        <v>299.81666666666666</v>
      </c>
      <c r="G343">
        <f t="shared" si="17"/>
        <v>0.95461580799483858</v>
      </c>
    </row>
    <row r="344" spans="1:7" x14ac:dyDescent="0.35">
      <c r="A344">
        <v>20</v>
      </c>
      <c r="B344">
        <v>90</v>
      </c>
      <c r="C344">
        <v>17.100000000000001</v>
      </c>
      <c r="E344">
        <f t="shared" si="15"/>
        <v>137895.20000000001</v>
      </c>
      <c r="F344">
        <f t="shared" si="16"/>
        <v>305.37222222222221</v>
      </c>
      <c r="G344">
        <f t="shared" si="17"/>
        <v>0.93675165252359027</v>
      </c>
    </row>
    <row r="345" spans="1:7" x14ac:dyDescent="0.35">
      <c r="A345">
        <v>20</v>
      </c>
      <c r="B345">
        <v>100</v>
      </c>
      <c r="C345">
        <v>17.43</v>
      </c>
      <c r="E345">
        <f t="shared" si="15"/>
        <v>137895.20000000001</v>
      </c>
      <c r="F345">
        <f t="shared" si="16"/>
        <v>310.92777777777775</v>
      </c>
      <c r="G345">
        <f t="shared" si="17"/>
        <v>0.91901625118493369</v>
      </c>
    </row>
    <row r="346" spans="1:7" x14ac:dyDescent="0.35">
      <c r="A346">
        <v>20</v>
      </c>
      <c r="B346">
        <v>110</v>
      </c>
      <c r="C346">
        <v>17.760000000000002</v>
      </c>
      <c r="E346">
        <f t="shared" si="15"/>
        <v>137895.20000000001</v>
      </c>
      <c r="F346">
        <f t="shared" si="16"/>
        <v>316.48333333333329</v>
      </c>
      <c r="G346">
        <f t="shared" si="17"/>
        <v>0.90193993570683506</v>
      </c>
    </row>
    <row r="347" spans="1:7" x14ac:dyDescent="0.35">
      <c r="A347">
        <v>20</v>
      </c>
      <c r="B347">
        <v>120</v>
      </c>
      <c r="C347">
        <v>18.079999999999998</v>
      </c>
      <c r="E347">
        <f t="shared" si="15"/>
        <v>137895.20000000001</v>
      </c>
      <c r="F347">
        <f t="shared" si="16"/>
        <v>322.03888888888889</v>
      </c>
      <c r="G347">
        <f t="shared" si="17"/>
        <v>0.88597639702175857</v>
      </c>
    </row>
    <row r="348" spans="1:7" x14ac:dyDescent="0.35">
      <c r="A348">
        <v>20</v>
      </c>
      <c r="B348">
        <v>130</v>
      </c>
      <c r="C348">
        <v>18.41</v>
      </c>
      <c r="E348">
        <f t="shared" si="15"/>
        <v>137895.20000000001</v>
      </c>
      <c r="F348">
        <f t="shared" si="16"/>
        <v>327.59444444444443</v>
      </c>
      <c r="G348">
        <f t="shared" si="17"/>
        <v>0.87009523401159106</v>
      </c>
    </row>
    <row r="349" spans="1:7" x14ac:dyDescent="0.35">
      <c r="A349">
        <v>20</v>
      </c>
      <c r="B349">
        <v>140</v>
      </c>
      <c r="C349">
        <v>18.73</v>
      </c>
      <c r="E349">
        <f t="shared" si="15"/>
        <v>137895.20000000001</v>
      </c>
      <c r="F349">
        <f t="shared" si="16"/>
        <v>333.15</v>
      </c>
      <c r="G349">
        <f t="shared" si="17"/>
        <v>0.85522975217049613</v>
      </c>
    </row>
    <row r="350" spans="1:7" x14ac:dyDescent="0.35">
      <c r="A350">
        <v>20</v>
      </c>
      <c r="B350">
        <v>150</v>
      </c>
      <c r="C350">
        <v>19.05</v>
      </c>
      <c r="E350">
        <f t="shared" si="15"/>
        <v>137895.20000000001</v>
      </c>
      <c r="F350">
        <f t="shared" si="16"/>
        <v>338.70555555555552</v>
      </c>
      <c r="G350">
        <f t="shared" si="17"/>
        <v>0.84086368809204171</v>
      </c>
    </row>
    <row r="351" spans="1:7" x14ac:dyDescent="0.35">
      <c r="A351">
        <v>20</v>
      </c>
      <c r="B351">
        <v>160</v>
      </c>
      <c r="C351">
        <v>19.37</v>
      </c>
      <c r="E351">
        <f t="shared" si="15"/>
        <v>137895.20000000001</v>
      </c>
      <c r="F351">
        <f t="shared" si="16"/>
        <v>344.26111111111106</v>
      </c>
      <c r="G351">
        <f t="shared" si="17"/>
        <v>0.82697229004405737</v>
      </c>
    </row>
    <row r="352" spans="1:7" x14ac:dyDescent="0.35">
      <c r="A352">
        <v>20</v>
      </c>
      <c r="B352">
        <v>170</v>
      </c>
      <c r="C352">
        <v>19.7</v>
      </c>
      <c r="E352">
        <f t="shared" si="15"/>
        <v>137895.20000000001</v>
      </c>
      <c r="F352">
        <f t="shared" si="16"/>
        <v>349.81666666666666</v>
      </c>
      <c r="G352">
        <f t="shared" si="17"/>
        <v>0.8131194547285987</v>
      </c>
    </row>
    <row r="353" spans="1:7" x14ac:dyDescent="0.35">
      <c r="A353">
        <v>20</v>
      </c>
      <c r="B353">
        <v>180</v>
      </c>
      <c r="C353">
        <v>20.02</v>
      </c>
      <c r="E353">
        <f t="shared" si="15"/>
        <v>137895.20000000001</v>
      </c>
      <c r="F353">
        <f t="shared" si="16"/>
        <v>355.37222222222221</v>
      </c>
      <c r="G353">
        <f t="shared" si="17"/>
        <v>0.80012254036730235</v>
      </c>
    </row>
    <row r="354" spans="1:7" x14ac:dyDescent="0.35">
      <c r="A354">
        <v>20</v>
      </c>
      <c r="B354">
        <v>190</v>
      </c>
      <c r="C354">
        <v>20.34</v>
      </c>
      <c r="E354">
        <f t="shared" si="15"/>
        <v>137895.20000000001</v>
      </c>
      <c r="F354">
        <f t="shared" si="16"/>
        <v>360.92777777777775</v>
      </c>
      <c r="G354">
        <f t="shared" si="17"/>
        <v>0.787534575130452</v>
      </c>
    </row>
    <row r="355" spans="1:7" x14ac:dyDescent="0.35">
      <c r="A355">
        <v>20</v>
      </c>
      <c r="B355">
        <v>200</v>
      </c>
      <c r="C355">
        <v>20.66</v>
      </c>
      <c r="E355">
        <f t="shared" si="15"/>
        <v>137895.20000000001</v>
      </c>
      <c r="F355">
        <f t="shared" si="16"/>
        <v>366.48333333333329</v>
      </c>
      <c r="G355">
        <f t="shared" si="17"/>
        <v>0.77533655654179057</v>
      </c>
    </row>
    <row r="356" spans="1:7" x14ac:dyDescent="0.35">
      <c r="A356">
        <v>20</v>
      </c>
      <c r="B356">
        <v>220</v>
      </c>
      <c r="C356">
        <v>21.3</v>
      </c>
      <c r="E356">
        <f t="shared" si="15"/>
        <v>137895.20000000001</v>
      </c>
      <c r="F356">
        <f t="shared" si="16"/>
        <v>377.59444444444443</v>
      </c>
      <c r="G356">
        <f t="shared" si="17"/>
        <v>0.75204005906823446</v>
      </c>
    </row>
    <row r="357" spans="1:7" x14ac:dyDescent="0.35">
      <c r="A357">
        <v>20</v>
      </c>
      <c r="B357">
        <v>240</v>
      </c>
      <c r="C357">
        <v>21.94</v>
      </c>
      <c r="E357">
        <f t="shared" si="15"/>
        <v>137895.20000000001</v>
      </c>
      <c r="F357">
        <f t="shared" si="16"/>
        <v>388.70555555555552</v>
      </c>
      <c r="G357">
        <f t="shared" si="17"/>
        <v>0.73010270091856855</v>
      </c>
    </row>
    <row r="358" spans="1:7" x14ac:dyDescent="0.35">
      <c r="A358">
        <v>21</v>
      </c>
      <c r="B358">
        <v>-10</v>
      </c>
      <c r="C358">
        <v>13.06</v>
      </c>
      <c r="E358">
        <f t="shared" si="15"/>
        <v>144789.96</v>
      </c>
      <c r="F358">
        <f t="shared" si="16"/>
        <v>249.81666666666663</v>
      </c>
      <c r="G358">
        <f t="shared" si="17"/>
        <v>1.2265278145599841</v>
      </c>
    </row>
    <row r="359" spans="1:7" x14ac:dyDescent="0.35">
      <c r="A359">
        <v>21</v>
      </c>
      <c r="B359">
        <v>0</v>
      </c>
      <c r="C359">
        <v>13.4</v>
      </c>
      <c r="E359">
        <f t="shared" si="15"/>
        <v>144789.96</v>
      </c>
      <c r="F359">
        <f t="shared" si="16"/>
        <v>255.37222222222221</v>
      </c>
      <c r="G359">
        <f t="shared" si="17"/>
        <v>1.195406959563686</v>
      </c>
    </row>
    <row r="360" spans="1:7" x14ac:dyDescent="0.35">
      <c r="A360">
        <v>21</v>
      </c>
      <c r="B360">
        <v>10</v>
      </c>
      <c r="C360">
        <v>13.73</v>
      </c>
      <c r="E360">
        <f t="shared" si="15"/>
        <v>144789.96</v>
      </c>
      <c r="F360">
        <f t="shared" si="16"/>
        <v>260.92777777777775</v>
      </c>
      <c r="G360">
        <f t="shared" si="17"/>
        <v>1.1666754011765035</v>
      </c>
    </row>
    <row r="361" spans="1:7" x14ac:dyDescent="0.35">
      <c r="A361">
        <v>21</v>
      </c>
      <c r="B361">
        <v>20</v>
      </c>
      <c r="C361">
        <v>14.06</v>
      </c>
      <c r="E361">
        <f t="shared" si="15"/>
        <v>144789.96</v>
      </c>
      <c r="F361">
        <f t="shared" si="16"/>
        <v>266.48333333333329</v>
      </c>
      <c r="G361">
        <f t="shared" si="17"/>
        <v>1.1392925503665288</v>
      </c>
    </row>
    <row r="362" spans="1:7" x14ac:dyDescent="0.35">
      <c r="A362">
        <v>21</v>
      </c>
      <c r="B362">
        <v>30</v>
      </c>
      <c r="C362">
        <v>14.38</v>
      </c>
      <c r="E362">
        <f t="shared" si="15"/>
        <v>144789.96</v>
      </c>
      <c r="F362">
        <f t="shared" si="16"/>
        <v>272.03888888888889</v>
      </c>
      <c r="G362">
        <f t="shared" si="17"/>
        <v>1.11393972587993</v>
      </c>
    </row>
    <row r="363" spans="1:7" x14ac:dyDescent="0.35">
      <c r="A363">
        <v>21</v>
      </c>
      <c r="B363">
        <v>40</v>
      </c>
      <c r="C363">
        <v>14.7</v>
      </c>
      <c r="E363">
        <f t="shared" si="15"/>
        <v>144789.96</v>
      </c>
      <c r="F363">
        <f t="shared" si="16"/>
        <v>277.59444444444443</v>
      </c>
      <c r="G363">
        <f t="shared" si="17"/>
        <v>1.0896906978335641</v>
      </c>
    </row>
    <row r="364" spans="1:7" x14ac:dyDescent="0.35">
      <c r="A364">
        <v>21</v>
      </c>
      <c r="B364">
        <v>50</v>
      </c>
      <c r="C364">
        <v>15.02</v>
      </c>
      <c r="E364">
        <f t="shared" si="15"/>
        <v>144789.96</v>
      </c>
      <c r="F364">
        <f t="shared" si="16"/>
        <v>283.14999999999998</v>
      </c>
      <c r="G364">
        <f t="shared" si="17"/>
        <v>1.0664749173204655</v>
      </c>
    </row>
    <row r="365" spans="1:7" x14ac:dyDescent="0.35">
      <c r="A365">
        <v>21</v>
      </c>
      <c r="B365">
        <v>60</v>
      </c>
      <c r="C365">
        <v>15.34</v>
      </c>
      <c r="E365">
        <f t="shared" si="15"/>
        <v>144789.96</v>
      </c>
      <c r="F365">
        <f t="shared" si="16"/>
        <v>288.70555555555552</v>
      </c>
      <c r="G365">
        <f t="shared" si="17"/>
        <v>1.044227722174276</v>
      </c>
    </row>
    <row r="366" spans="1:7" x14ac:dyDescent="0.35">
      <c r="A366">
        <v>21</v>
      </c>
      <c r="B366">
        <v>70</v>
      </c>
      <c r="C366">
        <v>15.65</v>
      </c>
      <c r="E366">
        <f t="shared" si="15"/>
        <v>144789.96</v>
      </c>
      <c r="F366">
        <f t="shared" si="16"/>
        <v>294.26111111111106</v>
      </c>
      <c r="G366">
        <f t="shared" si="17"/>
        <v>1.0235433391791307</v>
      </c>
    </row>
    <row r="367" spans="1:7" x14ac:dyDescent="0.35">
      <c r="A367">
        <v>21</v>
      </c>
      <c r="B367">
        <v>80</v>
      </c>
      <c r="C367">
        <v>15.97</v>
      </c>
      <c r="E367">
        <f t="shared" si="15"/>
        <v>144789.96</v>
      </c>
      <c r="F367">
        <f t="shared" si="16"/>
        <v>299.81666666666666</v>
      </c>
      <c r="G367">
        <f t="shared" si="17"/>
        <v>1.0030340174172445</v>
      </c>
    </row>
    <row r="368" spans="1:7" x14ac:dyDescent="0.35">
      <c r="A368">
        <v>21</v>
      </c>
      <c r="B368">
        <v>90</v>
      </c>
      <c r="C368">
        <v>16.28</v>
      </c>
      <c r="E368">
        <f t="shared" si="15"/>
        <v>144789.96</v>
      </c>
      <c r="F368">
        <f t="shared" si="16"/>
        <v>305.37222222222221</v>
      </c>
      <c r="G368">
        <f t="shared" si="17"/>
        <v>0.98393447531654743</v>
      </c>
    </row>
    <row r="369" spans="1:7" x14ac:dyDescent="0.35">
      <c r="A369">
        <v>21</v>
      </c>
      <c r="B369">
        <v>100</v>
      </c>
      <c r="C369">
        <v>16.59</v>
      </c>
      <c r="E369">
        <f t="shared" si="15"/>
        <v>144789.96</v>
      </c>
      <c r="F369">
        <f t="shared" si="16"/>
        <v>310.92777777777775</v>
      </c>
      <c r="G369">
        <f t="shared" si="17"/>
        <v>0.96554871959936073</v>
      </c>
    </row>
    <row r="370" spans="1:7" x14ac:dyDescent="0.35">
      <c r="A370">
        <v>21</v>
      </c>
      <c r="B370">
        <v>110</v>
      </c>
      <c r="C370">
        <v>16.899999999999999</v>
      </c>
      <c r="E370">
        <f t="shared" si="15"/>
        <v>144789.96</v>
      </c>
      <c r="F370">
        <f t="shared" si="16"/>
        <v>316.48333333333329</v>
      </c>
      <c r="G370">
        <f t="shared" si="17"/>
        <v>0.9478374708966506</v>
      </c>
    </row>
    <row r="371" spans="1:7" x14ac:dyDescent="0.35">
      <c r="A371">
        <v>21</v>
      </c>
      <c r="B371">
        <v>120</v>
      </c>
      <c r="C371">
        <v>17.21</v>
      </c>
      <c r="E371">
        <f t="shared" si="15"/>
        <v>144789.96</v>
      </c>
      <c r="F371">
        <f t="shared" si="16"/>
        <v>322.03888888888889</v>
      </c>
      <c r="G371">
        <f t="shared" si="17"/>
        <v>0.9307642799624285</v>
      </c>
    </row>
    <row r="372" spans="1:7" x14ac:dyDescent="0.35">
      <c r="A372">
        <v>21</v>
      </c>
      <c r="B372">
        <v>130</v>
      </c>
      <c r="C372">
        <v>17.52</v>
      </c>
      <c r="E372">
        <f t="shared" si="15"/>
        <v>144789.96</v>
      </c>
      <c r="F372">
        <f t="shared" si="16"/>
        <v>327.59444444444443</v>
      </c>
      <c r="G372">
        <f t="shared" si="17"/>
        <v>0.91429527729186033</v>
      </c>
    </row>
    <row r="373" spans="1:7" x14ac:dyDescent="0.35">
      <c r="A373">
        <v>21</v>
      </c>
      <c r="B373">
        <v>140</v>
      </c>
      <c r="C373">
        <v>17.829999999999998</v>
      </c>
      <c r="E373">
        <f t="shared" si="15"/>
        <v>144789.96</v>
      </c>
      <c r="F373">
        <f t="shared" si="16"/>
        <v>333.15</v>
      </c>
      <c r="G373">
        <f t="shared" si="17"/>
        <v>0.89839894885885552</v>
      </c>
    </row>
    <row r="374" spans="1:7" x14ac:dyDescent="0.35">
      <c r="A374">
        <v>21</v>
      </c>
      <c r="B374">
        <v>150</v>
      </c>
      <c r="C374">
        <v>18.14</v>
      </c>
      <c r="E374">
        <f t="shared" si="15"/>
        <v>144789.96</v>
      </c>
      <c r="F374">
        <f t="shared" si="16"/>
        <v>338.70555555555552</v>
      </c>
      <c r="G374">
        <f t="shared" si="17"/>
        <v>0.88304593484858829</v>
      </c>
    </row>
    <row r="375" spans="1:7" x14ac:dyDescent="0.35">
      <c r="A375">
        <v>21</v>
      </c>
      <c r="B375">
        <v>160</v>
      </c>
      <c r="C375">
        <v>18.440000000000001</v>
      </c>
      <c r="E375">
        <f t="shared" si="15"/>
        <v>144789.96</v>
      </c>
      <c r="F375">
        <f t="shared" si="16"/>
        <v>344.26111111111106</v>
      </c>
      <c r="G375">
        <f t="shared" si="17"/>
        <v>0.86867967777404509</v>
      </c>
    </row>
    <row r="376" spans="1:7" x14ac:dyDescent="0.35">
      <c r="A376">
        <v>21</v>
      </c>
      <c r="B376">
        <v>170</v>
      </c>
      <c r="C376">
        <v>18.78</v>
      </c>
      <c r="E376">
        <f t="shared" si="15"/>
        <v>144789.96</v>
      </c>
      <c r="F376">
        <f t="shared" si="16"/>
        <v>349.81666666666666</v>
      </c>
      <c r="G376">
        <f t="shared" si="17"/>
        <v>0.85295278264927554</v>
      </c>
    </row>
    <row r="377" spans="1:7" x14ac:dyDescent="0.35">
      <c r="A377">
        <v>21</v>
      </c>
      <c r="B377">
        <v>180</v>
      </c>
      <c r="C377">
        <v>19.059999999999999</v>
      </c>
      <c r="E377">
        <f t="shared" si="15"/>
        <v>144789.96</v>
      </c>
      <c r="F377">
        <f t="shared" si="16"/>
        <v>355.37222222222221</v>
      </c>
      <c r="G377">
        <f t="shared" si="17"/>
        <v>0.84042252141413398</v>
      </c>
    </row>
    <row r="378" spans="1:7" x14ac:dyDescent="0.35">
      <c r="A378">
        <v>21</v>
      </c>
      <c r="B378">
        <v>190</v>
      </c>
      <c r="C378">
        <v>19.36</v>
      </c>
      <c r="E378">
        <f t="shared" si="15"/>
        <v>144789.96</v>
      </c>
      <c r="F378">
        <f t="shared" si="16"/>
        <v>360.92777777777775</v>
      </c>
      <c r="G378">
        <f t="shared" si="17"/>
        <v>0.82739944515255137</v>
      </c>
    </row>
    <row r="379" spans="1:7" x14ac:dyDescent="0.35">
      <c r="A379">
        <v>21</v>
      </c>
      <c r="B379">
        <v>200</v>
      </c>
      <c r="C379">
        <v>19.670000000000002</v>
      </c>
      <c r="E379">
        <f t="shared" si="15"/>
        <v>144789.96</v>
      </c>
      <c r="F379">
        <f t="shared" si="16"/>
        <v>366.48333333333329</v>
      </c>
      <c r="G379">
        <f t="shared" si="17"/>
        <v>0.81435959624572396</v>
      </c>
    </row>
    <row r="380" spans="1:7" x14ac:dyDescent="0.35">
      <c r="A380">
        <v>21</v>
      </c>
      <c r="B380">
        <v>220</v>
      </c>
      <c r="C380">
        <v>20.28</v>
      </c>
      <c r="E380">
        <f t="shared" si="15"/>
        <v>144789.96</v>
      </c>
      <c r="F380">
        <f t="shared" si="16"/>
        <v>377.59444444444443</v>
      </c>
      <c r="G380">
        <f t="shared" si="17"/>
        <v>0.78986455908054209</v>
      </c>
    </row>
    <row r="381" spans="1:7" x14ac:dyDescent="0.35">
      <c r="A381">
        <v>21</v>
      </c>
      <c r="B381">
        <v>240</v>
      </c>
      <c r="C381">
        <v>20.89</v>
      </c>
      <c r="E381">
        <f t="shared" si="15"/>
        <v>144789.96</v>
      </c>
      <c r="F381">
        <f t="shared" si="16"/>
        <v>388.70555555555552</v>
      </c>
      <c r="G381">
        <f t="shared" si="17"/>
        <v>0.76680006022754399</v>
      </c>
    </row>
    <row r="382" spans="1:7" x14ac:dyDescent="0.35">
      <c r="A382">
        <v>22</v>
      </c>
      <c r="B382">
        <v>-10</v>
      </c>
      <c r="C382">
        <v>12.45</v>
      </c>
      <c r="E382">
        <f t="shared" si="15"/>
        <v>151684.72</v>
      </c>
      <c r="F382">
        <f t="shared" si="16"/>
        <v>249.81666666666663</v>
      </c>
      <c r="G382">
        <f t="shared" si="17"/>
        <v>1.286622751658907</v>
      </c>
    </row>
    <row r="383" spans="1:7" x14ac:dyDescent="0.35">
      <c r="A383">
        <v>22</v>
      </c>
      <c r="B383">
        <v>0</v>
      </c>
      <c r="C383">
        <v>12.77</v>
      </c>
      <c r="E383">
        <f t="shared" si="15"/>
        <v>151684.72</v>
      </c>
      <c r="F383">
        <f t="shared" si="16"/>
        <v>255.37222222222221</v>
      </c>
      <c r="G383">
        <f t="shared" si="17"/>
        <v>1.2543816177097411</v>
      </c>
    </row>
    <row r="384" spans="1:7" x14ac:dyDescent="0.35">
      <c r="A384">
        <v>22</v>
      </c>
      <c r="B384">
        <v>10</v>
      </c>
      <c r="C384">
        <v>13.09</v>
      </c>
      <c r="E384">
        <f t="shared" si="15"/>
        <v>151684.72</v>
      </c>
      <c r="F384">
        <f t="shared" si="16"/>
        <v>260.92777777777775</v>
      </c>
      <c r="G384">
        <f t="shared" si="17"/>
        <v>1.2237168264441096</v>
      </c>
    </row>
    <row r="385" spans="1:7" x14ac:dyDescent="0.35">
      <c r="A385">
        <v>22</v>
      </c>
      <c r="B385">
        <v>20</v>
      </c>
      <c r="C385">
        <v>13.4</v>
      </c>
      <c r="E385">
        <f t="shared" si="15"/>
        <v>151684.72</v>
      </c>
      <c r="F385">
        <f t="shared" si="16"/>
        <v>266.48333333333329</v>
      </c>
      <c r="G385">
        <f t="shared" si="17"/>
        <v>1.195406959563686</v>
      </c>
    </row>
    <row r="386" spans="1:7" x14ac:dyDescent="0.35">
      <c r="A386">
        <v>22</v>
      </c>
      <c r="B386">
        <v>30</v>
      </c>
      <c r="C386">
        <v>13.71</v>
      </c>
      <c r="E386">
        <f t="shared" ref="E386:E449" si="18">A386*6894.76</f>
        <v>151684.72</v>
      </c>
      <c r="F386">
        <f t="shared" si="16"/>
        <v>272.03888888888889</v>
      </c>
      <c r="G386">
        <f t="shared" si="17"/>
        <v>1.168377334657432</v>
      </c>
    </row>
    <row r="387" spans="1:7" x14ac:dyDescent="0.35">
      <c r="A387">
        <v>22</v>
      </c>
      <c r="B387">
        <v>40</v>
      </c>
      <c r="C387">
        <v>14.02</v>
      </c>
      <c r="E387">
        <f t="shared" si="18"/>
        <v>151684.72</v>
      </c>
      <c r="F387">
        <f t="shared" ref="F387:F450" si="19">(B387-32)*5/9+273.15</f>
        <v>277.59444444444443</v>
      </c>
      <c r="G387">
        <f t="shared" ref="G387:G450" si="20">1/(C387*0.062428)</f>
        <v>1.1425430283989582</v>
      </c>
    </row>
    <row r="388" spans="1:7" x14ac:dyDescent="0.35">
      <c r="A388">
        <v>22</v>
      </c>
      <c r="B388">
        <v>50</v>
      </c>
      <c r="C388">
        <v>14.32</v>
      </c>
      <c r="E388">
        <f t="shared" si="18"/>
        <v>151684.72</v>
      </c>
      <c r="F388">
        <f t="shared" si="19"/>
        <v>283.14999999999998</v>
      </c>
      <c r="G388">
        <f t="shared" si="20"/>
        <v>1.1186070711000973</v>
      </c>
    </row>
    <row r="389" spans="1:7" x14ac:dyDescent="0.35">
      <c r="A389">
        <v>22</v>
      </c>
      <c r="B389">
        <v>60</v>
      </c>
      <c r="C389">
        <v>14.63</v>
      </c>
      <c r="E389">
        <f t="shared" si="18"/>
        <v>151684.72</v>
      </c>
      <c r="F389">
        <f t="shared" si="19"/>
        <v>288.70555555555552</v>
      </c>
      <c r="G389">
        <f t="shared" si="20"/>
        <v>1.0949045289236767</v>
      </c>
    </row>
    <row r="390" spans="1:7" x14ac:dyDescent="0.35">
      <c r="A390">
        <v>22</v>
      </c>
      <c r="B390">
        <v>70</v>
      </c>
      <c r="C390">
        <v>14.93</v>
      </c>
      <c r="E390">
        <f t="shared" si="18"/>
        <v>151684.72</v>
      </c>
      <c r="F390">
        <f t="shared" si="19"/>
        <v>294.26111111111106</v>
      </c>
      <c r="G390">
        <f t="shared" si="20"/>
        <v>1.0729037681281577</v>
      </c>
    </row>
    <row r="391" spans="1:7" x14ac:dyDescent="0.35">
      <c r="A391">
        <v>22</v>
      </c>
      <c r="B391">
        <v>80</v>
      </c>
      <c r="C391">
        <v>15.23</v>
      </c>
      <c r="E391">
        <f t="shared" si="18"/>
        <v>151684.72</v>
      </c>
      <c r="F391">
        <f t="shared" si="19"/>
        <v>299.81666666666666</v>
      </c>
      <c r="G391">
        <f t="shared" si="20"/>
        <v>1.0517697477448058</v>
      </c>
    </row>
    <row r="392" spans="1:7" x14ac:dyDescent="0.35">
      <c r="A392">
        <v>22</v>
      </c>
      <c r="B392">
        <v>90</v>
      </c>
      <c r="C392">
        <v>15.53</v>
      </c>
      <c r="E392">
        <f t="shared" si="18"/>
        <v>151684.72</v>
      </c>
      <c r="F392">
        <f t="shared" si="19"/>
        <v>305.37222222222221</v>
      </c>
      <c r="G392">
        <f t="shared" si="20"/>
        <v>1.0314522381296456</v>
      </c>
    </row>
    <row r="393" spans="1:7" x14ac:dyDescent="0.35">
      <c r="A393">
        <v>22</v>
      </c>
      <c r="B393">
        <v>100</v>
      </c>
      <c r="C393">
        <v>15.83</v>
      </c>
      <c r="E393">
        <f t="shared" si="18"/>
        <v>151684.72</v>
      </c>
      <c r="F393">
        <f t="shared" si="19"/>
        <v>310.92777777777775</v>
      </c>
      <c r="G393">
        <f t="shared" si="20"/>
        <v>1.0119048173185972</v>
      </c>
    </row>
    <row r="394" spans="1:7" x14ac:dyDescent="0.35">
      <c r="A394">
        <v>22</v>
      </c>
      <c r="B394">
        <v>110</v>
      </c>
      <c r="C394">
        <v>16.12</v>
      </c>
      <c r="E394">
        <f t="shared" si="18"/>
        <v>151684.72</v>
      </c>
      <c r="F394">
        <f t="shared" si="19"/>
        <v>316.48333333333329</v>
      </c>
      <c r="G394">
        <f t="shared" si="20"/>
        <v>0.99370057432713343</v>
      </c>
    </row>
    <row r="395" spans="1:7" x14ac:dyDescent="0.35">
      <c r="A395">
        <v>22</v>
      </c>
      <c r="B395">
        <v>120</v>
      </c>
      <c r="C395">
        <v>16.420000000000002</v>
      </c>
      <c r="E395">
        <f t="shared" si="18"/>
        <v>151684.72</v>
      </c>
      <c r="F395">
        <f t="shared" si="19"/>
        <v>322.03888888888889</v>
      </c>
      <c r="G395">
        <f t="shared" si="20"/>
        <v>0.97554526541738085</v>
      </c>
    </row>
    <row r="396" spans="1:7" x14ac:dyDescent="0.35">
      <c r="A396">
        <v>22</v>
      </c>
      <c r="B396">
        <v>130</v>
      </c>
      <c r="C396">
        <v>16.72</v>
      </c>
      <c r="E396">
        <f t="shared" si="18"/>
        <v>151684.72</v>
      </c>
      <c r="F396">
        <f t="shared" si="19"/>
        <v>327.59444444444443</v>
      </c>
      <c r="G396">
        <f t="shared" si="20"/>
        <v>0.95804146280821745</v>
      </c>
    </row>
    <row r="397" spans="1:7" x14ac:dyDescent="0.35">
      <c r="A397">
        <v>22</v>
      </c>
      <c r="B397">
        <v>140</v>
      </c>
      <c r="C397">
        <v>17.010000000000002</v>
      </c>
      <c r="E397">
        <f t="shared" si="18"/>
        <v>151684.72</v>
      </c>
      <c r="F397">
        <f t="shared" si="19"/>
        <v>333.15</v>
      </c>
      <c r="G397">
        <f t="shared" si="20"/>
        <v>0.94170801047345032</v>
      </c>
    </row>
    <row r="398" spans="1:7" x14ac:dyDescent="0.35">
      <c r="A398">
        <v>22</v>
      </c>
      <c r="B398">
        <v>150</v>
      </c>
      <c r="C398">
        <v>17.309999999999999</v>
      </c>
      <c r="E398">
        <f t="shared" si="18"/>
        <v>151684.72</v>
      </c>
      <c r="F398">
        <f t="shared" si="19"/>
        <v>338.70555555555552</v>
      </c>
      <c r="G398">
        <f t="shared" si="20"/>
        <v>0.9253872477269437</v>
      </c>
    </row>
    <row r="399" spans="1:7" x14ac:dyDescent="0.35">
      <c r="A399">
        <v>22</v>
      </c>
      <c r="B399">
        <v>160</v>
      </c>
      <c r="C399">
        <v>17.600000000000001</v>
      </c>
      <c r="E399">
        <f t="shared" si="18"/>
        <v>151684.72</v>
      </c>
      <c r="F399">
        <f t="shared" si="19"/>
        <v>344.26111111111106</v>
      </c>
      <c r="G399">
        <f t="shared" si="20"/>
        <v>0.91013938966780639</v>
      </c>
    </row>
    <row r="400" spans="1:7" x14ac:dyDescent="0.35">
      <c r="A400">
        <v>22</v>
      </c>
      <c r="B400">
        <v>170</v>
      </c>
      <c r="C400">
        <v>17.89</v>
      </c>
      <c r="E400">
        <f t="shared" si="18"/>
        <v>151684.72</v>
      </c>
      <c r="F400">
        <f t="shared" si="19"/>
        <v>349.81666666666666</v>
      </c>
      <c r="G400">
        <f t="shared" si="20"/>
        <v>0.89538587245127976</v>
      </c>
    </row>
    <row r="401" spans="1:7" x14ac:dyDescent="0.35">
      <c r="A401">
        <v>22</v>
      </c>
      <c r="B401">
        <v>180</v>
      </c>
      <c r="C401">
        <v>18.190000000000001</v>
      </c>
      <c r="E401">
        <f t="shared" si="18"/>
        <v>151684.72</v>
      </c>
      <c r="F401">
        <f t="shared" si="19"/>
        <v>355.37222222222221</v>
      </c>
      <c r="G401">
        <f t="shared" si="20"/>
        <v>0.88061865080557411</v>
      </c>
    </row>
    <row r="402" spans="1:7" x14ac:dyDescent="0.35">
      <c r="A402">
        <v>22</v>
      </c>
      <c r="B402">
        <v>190</v>
      </c>
      <c r="C402">
        <v>18.489999999999998</v>
      </c>
      <c r="E402">
        <f t="shared" si="18"/>
        <v>151684.72</v>
      </c>
      <c r="F402">
        <f t="shared" si="19"/>
        <v>360.92777777777775</v>
      </c>
      <c r="G402">
        <f t="shared" si="20"/>
        <v>0.8663306251029419</v>
      </c>
    </row>
    <row r="403" spans="1:7" x14ac:dyDescent="0.35">
      <c r="A403">
        <v>22</v>
      </c>
      <c r="B403">
        <v>200</v>
      </c>
      <c r="C403">
        <v>18.77</v>
      </c>
      <c r="E403">
        <f t="shared" si="18"/>
        <v>151684.72</v>
      </c>
      <c r="F403">
        <f t="shared" si="19"/>
        <v>366.48333333333329</v>
      </c>
      <c r="G403">
        <f t="shared" si="20"/>
        <v>0.85340720608169385</v>
      </c>
    </row>
    <row r="404" spans="1:7" x14ac:dyDescent="0.35">
      <c r="A404">
        <v>22</v>
      </c>
      <c r="B404">
        <v>220</v>
      </c>
      <c r="C404">
        <v>19.350000000000001</v>
      </c>
      <c r="E404">
        <f t="shared" si="18"/>
        <v>151684.72</v>
      </c>
      <c r="F404">
        <f t="shared" si="19"/>
        <v>377.59444444444443</v>
      </c>
      <c r="G404">
        <f t="shared" si="20"/>
        <v>0.82782704176503319</v>
      </c>
    </row>
    <row r="405" spans="1:7" x14ac:dyDescent="0.35">
      <c r="A405">
        <v>22</v>
      </c>
      <c r="B405">
        <v>240</v>
      </c>
      <c r="C405">
        <v>19.940000000000001</v>
      </c>
      <c r="E405">
        <f t="shared" si="18"/>
        <v>151684.72</v>
      </c>
      <c r="F405">
        <f t="shared" si="19"/>
        <v>388.70555555555552</v>
      </c>
      <c r="G405">
        <f t="shared" si="20"/>
        <v>0.80333266089034072</v>
      </c>
    </row>
    <row r="406" spans="1:7" x14ac:dyDescent="0.35">
      <c r="A406">
        <v>18</v>
      </c>
      <c r="B406">
        <v>-20</v>
      </c>
      <c r="C406">
        <v>14.93</v>
      </c>
      <c r="E406">
        <f t="shared" si="18"/>
        <v>124105.68000000001</v>
      </c>
      <c r="F406">
        <f t="shared" si="19"/>
        <v>244.26111111111109</v>
      </c>
      <c r="G406">
        <f t="shared" si="20"/>
        <v>1.0729037681281577</v>
      </c>
    </row>
    <row r="407" spans="1:7" x14ac:dyDescent="0.35">
      <c r="A407">
        <v>18</v>
      </c>
      <c r="B407">
        <v>-10</v>
      </c>
      <c r="C407">
        <v>15.32</v>
      </c>
      <c r="E407">
        <f t="shared" si="18"/>
        <v>124105.68000000001</v>
      </c>
      <c r="F407">
        <f t="shared" si="19"/>
        <v>249.81666666666663</v>
      </c>
      <c r="G407">
        <f t="shared" si="20"/>
        <v>1.0455909437436941</v>
      </c>
    </row>
    <row r="408" spans="1:7" x14ac:dyDescent="0.35">
      <c r="A408">
        <v>18</v>
      </c>
      <c r="B408">
        <v>0</v>
      </c>
      <c r="C408">
        <v>15.7</v>
      </c>
      <c r="E408">
        <f t="shared" si="18"/>
        <v>124105.68000000001</v>
      </c>
      <c r="F408">
        <f t="shared" si="19"/>
        <v>255.37222222222221</v>
      </c>
      <c r="G408">
        <f t="shared" si="20"/>
        <v>1.0202836470161398</v>
      </c>
    </row>
    <row r="409" spans="1:7" x14ac:dyDescent="0.35">
      <c r="A409">
        <v>18</v>
      </c>
      <c r="B409">
        <v>10</v>
      </c>
      <c r="C409">
        <v>16.079999999999998</v>
      </c>
      <c r="E409">
        <f t="shared" si="18"/>
        <v>124105.68000000001</v>
      </c>
      <c r="F409">
        <f t="shared" si="19"/>
        <v>260.92777777777775</v>
      </c>
      <c r="G409">
        <f t="shared" si="20"/>
        <v>0.99617246630307188</v>
      </c>
    </row>
    <row r="410" spans="1:7" x14ac:dyDescent="0.35">
      <c r="A410">
        <v>18</v>
      </c>
      <c r="B410">
        <v>20</v>
      </c>
      <c r="C410">
        <v>16.46</v>
      </c>
      <c r="E410">
        <f t="shared" si="18"/>
        <v>124105.68000000001</v>
      </c>
      <c r="F410">
        <f t="shared" si="19"/>
        <v>266.48333333333329</v>
      </c>
      <c r="G410">
        <f t="shared" si="20"/>
        <v>0.97317456003362057</v>
      </c>
    </row>
    <row r="411" spans="1:7" x14ac:dyDescent="0.35">
      <c r="A411">
        <v>18</v>
      </c>
      <c r="B411">
        <v>30</v>
      </c>
      <c r="C411">
        <v>16.829999999999998</v>
      </c>
      <c r="E411">
        <f t="shared" si="18"/>
        <v>124105.68000000001</v>
      </c>
      <c r="F411">
        <f t="shared" si="19"/>
        <v>272.03888888888889</v>
      </c>
      <c r="G411">
        <f t="shared" si="20"/>
        <v>0.95177975390097425</v>
      </c>
    </row>
    <row r="412" spans="1:7" x14ac:dyDescent="0.35">
      <c r="A412">
        <v>18</v>
      </c>
      <c r="B412">
        <v>40</v>
      </c>
      <c r="C412">
        <v>17.2</v>
      </c>
      <c r="E412">
        <f t="shared" si="18"/>
        <v>124105.68000000001</v>
      </c>
      <c r="F412">
        <f t="shared" si="19"/>
        <v>277.59444444444443</v>
      </c>
      <c r="G412">
        <f t="shared" si="20"/>
        <v>0.93130542198566246</v>
      </c>
    </row>
    <row r="413" spans="1:7" x14ac:dyDescent="0.35">
      <c r="A413">
        <v>18</v>
      </c>
      <c r="B413">
        <v>50</v>
      </c>
      <c r="C413">
        <v>17.57</v>
      </c>
      <c r="E413">
        <f t="shared" si="18"/>
        <v>124105.68000000001</v>
      </c>
      <c r="F413">
        <f t="shared" si="19"/>
        <v>283.14999999999998</v>
      </c>
      <c r="G413">
        <f t="shared" si="20"/>
        <v>0.91169341253007363</v>
      </c>
    </row>
    <row r="414" spans="1:7" x14ac:dyDescent="0.35">
      <c r="A414">
        <v>18</v>
      </c>
      <c r="B414">
        <v>60</v>
      </c>
      <c r="C414">
        <v>17.940000000000001</v>
      </c>
      <c r="E414">
        <f t="shared" si="18"/>
        <v>124105.68000000001</v>
      </c>
      <c r="F414">
        <f t="shared" si="19"/>
        <v>288.70555555555552</v>
      </c>
      <c r="G414">
        <f t="shared" si="20"/>
        <v>0.89289037113452574</v>
      </c>
    </row>
    <row r="415" spans="1:7" x14ac:dyDescent="0.35">
      <c r="A415">
        <v>18</v>
      </c>
      <c r="B415">
        <v>70</v>
      </c>
      <c r="C415">
        <v>18.3</v>
      </c>
      <c r="E415">
        <f t="shared" si="18"/>
        <v>124105.68000000001</v>
      </c>
      <c r="F415">
        <f t="shared" si="19"/>
        <v>294.26111111111106</v>
      </c>
      <c r="G415">
        <f t="shared" si="20"/>
        <v>0.87532531465319097</v>
      </c>
    </row>
    <row r="416" spans="1:7" x14ac:dyDescent="0.35">
      <c r="A416">
        <v>18</v>
      </c>
      <c r="B416">
        <v>80</v>
      </c>
      <c r="C416">
        <v>18.670000000000002</v>
      </c>
      <c r="E416">
        <f t="shared" si="18"/>
        <v>124105.68000000001</v>
      </c>
      <c r="F416">
        <f t="shared" si="19"/>
        <v>299.81666666666666</v>
      </c>
      <c r="G416">
        <f t="shared" si="20"/>
        <v>0.85797821414854814</v>
      </c>
    </row>
    <row r="417" spans="1:7" x14ac:dyDescent="0.35">
      <c r="A417">
        <v>18</v>
      </c>
      <c r="B417">
        <v>90</v>
      </c>
      <c r="C417">
        <v>19.03</v>
      </c>
      <c r="E417">
        <f t="shared" si="18"/>
        <v>124105.68000000001</v>
      </c>
      <c r="F417">
        <f t="shared" si="19"/>
        <v>305.37222222222221</v>
      </c>
      <c r="G417">
        <f t="shared" si="20"/>
        <v>0.84174741240953188</v>
      </c>
    </row>
    <row r="418" spans="1:7" x14ac:dyDescent="0.35">
      <c r="A418">
        <v>18</v>
      </c>
      <c r="B418">
        <v>100</v>
      </c>
      <c r="C418">
        <v>19.39</v>
      </c>
      <c r="E418">
        <f t="shared" si="18"/>
        <v>124105.68000000001</v>
      </c>
      <c r="F418">
        <f t="shared" si="19"/>
        <v>310.92777777777775</v>
      </c>
      <c r="G418">
        <f t="shared" si="20"/>
        <v>0.82611930160667324</v>
      </c>
    </row>
    <row r="419" spans="1:7" x14ac:dyDescent="0.35">
      <c r="A419">
        <v>18</v>
      </c>
      <c r="B419">
        <v>110</v>
      </c>
      <c r="C419">
        <v>19.75</v>
      </c>
      <c r="E419">
        <f t="shared" si="18"/>
        <v>124105.68000000001</v>
      </c>
      <c r="F419">
        <f t="shared" si="19"/>
        <v>316.48333333333329</v>
      </c>
      <c r="G419">
        <f t="shared" si="20"/>
        <v>0.8110609244634629</v>
      </c>
    </row>
    <row r="420" spans="1:7" x14ac:dyDescent="0.35">
      <c r="A420">
        <v>18</v>
      </c>
      <c r="B420">
        <v>120</v>
      </c>
      <c r="C420">
        <v>20.11</v>
      </c>
      <c r="E420">
        <f t="shared" si="18"/>
        <v>124105.68000000001</v>
      </c>
      <c r="F420">
        <f t="shared" si="19"/>
        <v>322.03888888888889</v>
      </c>
      <c r="G420">
        <f t="shared" si="20"/>
        <v>0.79654168364760791</v>
      </c>
    </row>
    <row r="421" spans="1:7" x14ac:dyDescent="0.35">
      <c r="A421">
        <v>18</v>
      </c>
      <c r="B421">
        <v>130</v>
      </c>
      <c r="C421">
        <v>20.47</v>
      </c>
      <c r="E421">
        <f t="shared" si="18"/>
        <v>124105.68000000001</v>
      </c>
      <c r="F421">
        <f t="shared" si="19"/>
        <v>327.59444444444443</v>
      </c>
      <c r="G421">
        <f t="shared" si="20"/>
        <v>0.78253313425273052</v>
      </c>
    </row>
    <row r="422" spans="1:7" x14ac:dyDescent="0.35">
      <c r="A422">
        <v>18</v>
      </c>
      <c r="B422">
        <v>140</v>
      </c>
      <c r="C422">
        <v>20.83</v>
      </c>
      <c r="E422">
        <f t="shared" si="18"/>
        <v>124105.68000000001</v>
      </c>
      <c r="F422">
        <f t="shared" si="19"/>
        <v>333.15</v>
      </c>
      <c r="G422">
        <f t="shared" si="20"/>
        <v>0.76900879779901077</v>
      </c>
    </row>
    <row r="423" spans="1:7" x14ac:dyDescent="0.35">
      <c r="A423">
        <v>18</v>
      </c>
      <c r="B423">
        <v>150</v>
      </c>
      <c r="C423">
        <v>21.19</v>
      </c>
      <c r="E423">
        <f t="shared" si="18"/>
        <v>124105.68000000001</v>
      </c>
      <c r="F423">
        <f t="shared" si="19"/>
        <v>338.70555555555552</v>
      </c>
      <c r="G423">
        <f t="shared" si="20"/>
        <v>0.75594399519364763</v>
      </c>
    </row>
    <row r="424" spans="1:7" x14ac:dyDescent="0.35">
      <c r="A424">
        <v>18</v>
      </c>
      <c r="B424">
        <v>160</v>
      </c>
      <c r="C424">
        <v>21.54</v>
      </c>
      <c r="E424">
        <f t="shared" si="18"/>
        <v>124105.68000000001</v>
      </c>
      <c r="F424">
        <f t="shared" si="19"/>
        <v>344.26111111111106</v>
      </c>
      <c r="G424">
        <f t="shared" si="20"/>
        <v>0.74366078264407587</v>
      </c>
    </row>
    <row r="425" spans="1:7" x14ac:dyDescent="0.35">
      <c r="A425">
        <v>18</v>
      </c>
      <c r="B425">
        <v>170</v>
      </c>
      <c r="C425">
        <v>21.9</v>
      </c>
      <c r="E425">
        <f t="shared" si="18"/>
        <v>124105.68000000001</v>
      </c>
      <c r="F425">
        <f t="shared" si="19"/>
        <v>349.81666666666666</v>
      </c>
      <c r="G425">
        <f t="shared" si="20"/>
        <v>0.73143622183348833</v>
      </c>
    </row>
    <row r="426" spans="1:7" x14ac:dyDescent="0.35">
      <c r="A426">
        <v>18</v>
      </c>
      <c r="B426">
        <v>180</v>
      </c>
      <c r="C426">
        <v>22.26</v>
      </c>
      <c r="E426">
        <f t="shared" si="18"/>
        <v>124105.68000000001</v>
      </c>
      <c r="F426">
        <f t="shared" si="19"/>
        <v>355.37222222222221</v>
      </c>
      <c r="G426">
        <f t="shared" si="20"/>
        <v>0.71960706460707069</v>
      </c>
    </row>
    <row r="427" spans="1:7" x14ac:dyDescent="0.35">
      <c r="A427">
        <v>18</v>
      </c>
      <c r="B427">
        <v>190</v>
      </c>
      <c r="C427">
        <v>22.61</v>
      </c>
      <c r="E427">
        <f t="shared" si="18"/>
        <v>124105.68000000001</v>
      </c>
      <c r="F427">
        <f t="shared" si="19"/>
        <v>360.92777777777775</v>
      </c>
      <c r="G427">
        <f t="shared" si="20"/>
        <v>0.70846763636237919</v>
      </c>
    </row>
    <row r="428" spans="1:7" x14ac:dyDescent="0.35">
      <c r="A428">
        <v>18</v>
      </c>
      <c r="B428">
        <v>200</v>
      </c>
      <c r="C428">
        <v>22.97</v>
      </c>
      <c r="E428">
        <f t="shared" si="18"/>
        <v>124105.68000000001</v>
      </c>
      <c r="F428">
        <f t="shared" si="19"/>
        <v>366.48333333333329</v>
      </c>
      <c r="G428">
        <f t="shared" si="20"/>
        <v>0.69736409482600759</v>
      </c>
    </row>
    <row r="429" spans="1:7" x14ac:dyDescent="0.35">
      <c r="A429">
        <v>18</v>
      </c>
      <c r="B429">
        <v>220</v>
      </c>
      <c r="C429">
        <v>23.68</v>
      </c>
      <c r="E429">
        <f t="shared" si="18"/>
        <v>124105.68000000001</v>
      </c>
      <c r="F429">
        <f t="shared" si="19"/>
        <v>377.59444444444443</v>
      </c>
      <c r="G429">
        <f t="shared" si="20"/>
        <v>0.67645495178012638</v>
      </c>
    </row>
    <row r="430" spans="1:7" x14ac:dyDescent="0.35">
      <c r="A430">
        <v>19</v>
      </c>
      <c r="B430">
        <v>-10</v>
      </c>
      <c r="C430">
        <v>14.49</v>
      </c>
      <c r="E430">
        <f t="shared" si="18"/>
        <v>131000.44</v>
      </c>
      <c r="F430">
        <f t="shared" si="19"/>
        <v>249.81666666666663</v>
      </c>
      <c r="G430">
        <f t="shared" si="20"/>
        <v>1.1054833166427462</v>
      </c>
    </row>
    <row r="431" spans="1:7" x14ac:dyDescent="0.35">
      <c r="A431">
        <v>19</v>
      </c>
      <c r="B431">
        <v>0</v>
      </c>
      <c r="C431">
        <v>14.85</v>
      </c>
      <c r="E431">
        <f t="shared" si="18"/>
        <v>131000.44</v>
      </c>
      <c r="F431">
        <f t="shared" si="19"/>
        <v>255.37222222222221</v>
      </c>
      <c r="G431">
        <f t="shared" si="20"/>
        <v>1.0786837210877707</v>
      </c>
    </row>
    <row r="432" spans="1:7" x14ac:dyDescent="0.35">
      <c r="A432">
        <v>19</v>
      </c>
      <c r="B432">
        <v>10</v>
      </c>
      <c r="C432">
        <v>15.21</v>
      </c>
      <c r="E432">
        <f t="shared" si="18"/>
        <v>131000.44</v>
      </c>
      <c r="F432">
        <f t="shared" si="19"/>
        <v>260.92777777777775</v>
      </c>
      <c r="G432">
        <f t="shared" si="20"/>
        <v>1.0531527454407226</v>
      </c>
    </row>
    <row r="433" spans="1:7" x14ac:dyDescent="0.35">
      <c r="A433">
        <v>19</v>
      </c>
      <c r="B433">
        <v>20</v>
      </c>
      <c r="C433">
        <v>15.57</v>
      </c>
      <c r="E433">
        <f t="shared" si="18"/>
        <v>131000.44</v>
      </c>
      <c r="F433">
        <f t="shared" si="19"/>
        <v>266.48333333333329</v>
      </c>
      <c r="G433">
        <f t="shared" si="20"/>
        <v>1.0288023929449834</v>
      </c>
    </row>
    <row r="434" spans="1:7" x14ac:dyDescent="0.35">
      <c r="A434">
        <v>19</v>
      </c>
      <c r="B434">
        <v>30</v>
      </c>
      <c r="C434">
        <v>15.93</v>
      </c>
      <c r="E434">
        <f t="shared" si="18"/>
        <v>131000.44</v>
      </c>
      <c r="F434">
        <f t="shared" si="19"/>
        <v>272.03888888888889</v>
      </c>
      <c r="G434">
        <f t="shared" si="20"/>
        <v>1.0055526213530066</v>
      </c>
    </row>
    <row r="435" spans="1:7" x14ac:dyDescent="0.35">
      <c r="A435">
        <v>19</v>
      </c>
      <c r="B435">
        <v>40</v>
      </c>
      <c r="C435">
        <v>16.28</v>
      </c>
      <c r="E435">
        <f t="shared" si="18"/>
        <v>131000.44</v>
      </c>
      <c r="F435">
        <f t="shared" si="19"/>
        <v>277.59444444444443</v>
      </c>
      <c r="G435">
        <f t="shared" si="20"/>
        <v>0.98393447531654743</v>
      </c>
    </row>
    <row r="436" spans="1:7" x14ac:dyDescent="0.35">
      <c r="A436">
        <v>19</v>
      </c>
      <c r="B436">
        <v>50</v>
      </c>
      <c r="C436">
        <v>16.63</v>
      </c>
      <c r="E436">
        <f t="shared" si="18"/>
        <v>131000.44</v>
      </c>
      <c r="F436">
        <f t="shared" si="19"/>
        <v>283.14999999999998</v>
      </c>
      <c r="G436">
        <f t="shared" si="20"/>
        <v>0.9632262933345398</v>
      </c>
    </row>
    <row r="437" spans="1:7" x14ac:dyDescent="0.35">
      <c r="A437">
        <v>19</v>
      </c>
      <c r="B437">
        <v>60</v>
      </c>
      <c r="C437">
        <v>16.98</v>
      </c>
      <c r="E437">
        <f t="shared" si="18"/>
        <v>131000.44</v>
      </c>
      <c r="F437">
        <f t="shared" si="19"/>
        <v>288.70555555555552</v>
      </c>
      <c r="G437">
        <f t="shared" si="20"/>
        <v>0.94337180554495825</v>
      </c>
    </row>
    <row r="438" spans="1:7" x14ac:dyDescent="0.35">
      <c r="A438">
        <v>19</v>
      </c>
      <c r="B438">
        <v>70</v>
      </c>
      <c r="C438">
        <v>17.329999999999998</v>
      </c>
      <c r="E438">
        <f t="shared" si="18"/>
        <v>131000.44</v>
      </c>
      <c r="F438">
        <f t="shared" si="19"/>
        <v>294.26111111111106</v>
      </c>
      <c r="G438">
        <f t="shared" si="20"/>
        <v>0.92431928783343309</v>
      </c>
    </row>
    <row r="439" spans="1:7" x14ac:dyDescent="0.35">
      <c r="A439">
        <v>19</v>
      </c>
      <c r="B439">
        <v>80</v>
      </c>
      <c r="C439">
        <v>17.670000000000002</v>
      </c>
      <c r="E439">
        <f t="shared" si="18"/>
        <v>131000.44</v>
      </c>
      <c r="F439">
        <f t="shared" si="19"/>
        <v>299.81666666666666</v>
      </c>
      <c r="G439">
        <f t="shared" si="20"/>
        <v>0.90653385728089375</v>
      </c>
    </row>
    <row r="440" spans="1:7" x14ac:dyDescent="0.35">
      <c r="A440">
        <v>19</v>
      </c>
      <c r="B440">
        <v>90</v>
      </c>
      <c r="C440">
        <v>18.02</v>
      </c>
      <c r="E440">
        <f t="shared" si="18"/>
        <v>131000.44</v>
      </c>
      <c r="F440">
        <f t="shared" si="19"/>
        <v>305.37222222222221</v>
      </c>
      <c r="G440">
        <f t="shared" si="20"/>
        <v>0.88892637392638152</v>
      </c>
    </row>
    <row r="441" spans="1:7" x14ac:dyDescent="0.35">
      <c r="A441">
        <v>19</v>
      </c>
      <c r="B441">
        <v>100</v>
      </c>
      <c r="C441">
        <v>18.36</v>
      </c>
      <c r="E441">
        <f t="shared" si="18"/>
        <v>131000.44</v>
      </c>
      <c r="F441">
        <f t="shared" si="19"/>
        <v>310.92777777777775</v>
      </c>
      <c r="G441">
        <f t="shared" si="20"/>
        <v>0.87246477440922632</v>
      </c>
    </row>
    <row r="442" spans="1:7" x14ac:dyDescent="0.35">
      <c r="A442">
        <v>19</v>
      </c>
      <c r="B442">
        <v>110</v>
      </c>
      <c r="C442">
        <v>18.7</v>
      </c>
      <c r="E442">
        <f t="shared" si="18"/>
        <v>131000.44</v>
      </c>
      <c r="F442">
        <f t="shared" si="19"/>
        <v>316.48333333333329</v>
      </c>
      <c r="G442">
        <f t="shared" si="20"/>
        <v>0.85660177851087671</v>
      </c>
    </row>
    <row r="443" spans="1:7" x14ac:dyDescent="0.35">
      <c r="A443">
        <v>19</v>
      </c>
      <c r="B443">
        <v>120</v>
      </c>
      <c r="C443">
        <v>19.010000000000002</v>
      </c>
      <c r="E443">
        <f t="shared" si="18"/>
        <v>131000.44</v>
      </c>
      <c r="F443">
        <f t="shared" si="19"/>
        <v>322.03888888888889</v>
      </c>
      <c r="G443">
        <f t="shared" si="20"/>
        <v>0.84263299622058874</v>
      </c>
    </row>
    <row r="444" spans="1:7" x14ac:dyDescent="0.35">
      <c r="A444">
        <v>19</v>
      </c>
      <c r="B444">
        <v>130</v>
      </c>
      <c r="C444">
        <v>19.38</v>
      </c>
      <c r="E444">
        <f t="shared" si="18"/>
        <v>131000.44</v>
      </c>
      <c r="F444">
        <f t="shared" si="19"/>
        <v>327.59444444444443</v>
      </c>
      <c r="G444">
        <f t="shared" si="20"/>
        <v>0.8265455757561091</v>
      </c>
    </row>
    <row r="445" spans="1:7" x14ac:dyDescent="0.35">
      <c r="A445">
        <v>19</v>
      </c>
      <c r="B445">
        <v>140</v>
      </c>
      <c r="C445">
        <v>19.72</v>
      </c>
      <c r="E445">
        <f t="shared" si="18"/>
        <v>131000.44</v>
      </c>
      <c r="F445">
        <f t="shared" si="19"/>
        <v>333.15</v>
      </c>
      <c r="G445">
        <f t="shared" si="20"/>
        <v>0.81229478996721072</v>
      </c>
    </row>
    <row r="446" spans="1:7" x14ac:dyDescent="0.35">
      <c r="A446">
        <v>19</v>
      </c>
      <c r="B446">
        <v>150</v>
      </c>
      <c r="C446">
        <v>20.059999999999999</v>
      </c>
      <c r="E446">
        <f t="shared" si="18"/>
        <v>131000.44</v>
      </c>
      <c r="F446">
        <f t="shared" si="19"/>
        <v>338.70555555555552</v>
      </c>
      <c r="G446">
        <f t="shared" si="20"/>
        <v>0.79852708166268171</v>
      </c>
    </row>
    <row r="447" spans="1:7" x14ac:dyDescent="0.35">
      <c r="A447">
        <v>19</v>
      </c>
      <c r="B447">
        <v>160</v>
      </c>
      <c r="C447">
        <v>20.399999999999999</v>
      </c>
      <c r="E447">
        <f t="shared" si="18"/>
        <v>131000.44</v>
      </c>
      <c r="F447">
        <f t="shared" si="19"/>
        <v>344.26111111111106</v>
      </c>
      <c r="G447">
        <f t="shared" si="20"/>
        <v>0.7852182969683037</v>
      </c>
    </row>
    <row r="448" spans="1:7" x14ac:dyDescent="0.35">
      <c r="A448">
        <v>19</v>
      </c>
      <c r="B448">
        <v>170</v>
      </c>
      <c r="C448">
        <v>20.74</v>
      </c>
      <c r="E448">
        <f t="shared" si="18"/>
        <v>131000.44</v>
      </c>
      <c r="F448">
        <f t="shared" si="19"/>
        <v>349.81666666666666</v>
      </c>
      <c r="G448">
        <f t="shared" si="20"/>
        <v>0.77234586587046261</v>
      </c>
    </row>
    <row r="449" spans="1:7" x14ac:dyDescent="0.35">
      <c r="A449">
        <v>19</v>
      </c>
      <c r="B449">
        <v>180</v>
      </c>
      <c r="C449">
        <v>21.08</v>
      </c>
      <c r="E449">
        <f t="shared" si="18"/>
        <v>131000.44</v>
      </c>
      <c r="F449">
        <f t="shared" si="19"/>
        <v>355.37222222222221</v>
      </c>
      <c r="G449">
        <f t="shared" si="20"/>
        <v>0.75988867448545516</v>
      </c>
    </row>
    <row r="450" spans="1:7" x14ac:dyDescent="0.35">
      <c r="A450">
        <v>19</v>
      </c>
      <c r="B450">
        <v>190</v>
      </c>
      <c r="C450">
        <v>21.42</v>
      </c>
      <c r="E450">
        <f t="shared" ref="E450:E513" si="21">A450*6894.76</f>
        <v>131000.44</v>
      </c>
      <c r="F450">
        <f t="shared" si="19"/>
        <v>360.92777777777775</v>
      </c>
      <c r="G450">
        <f t="shared" si="20"/>
        <v>0.74782694949362238</v>
      </c>
    </row>
    <row r="451" spans="1:7" x14ac:dyDescent="0.35">
      <c r="A451">
        <v>19</v>
      </c>
      <c r="B451">
        <v>200</v>
      </c>
      <c r="C451">
        <v>21.72</v>
      </c>
      <c r="E451">
        <f t="shared" si="21"/>
        <v>131000.44</v>
      </c>
      <c r="F451">
        <f t="shared" ref="F451:F514" si="22">(B451-32)*5/9+273.15</f>
        <v>366.48333333333329</v>
      </c>
      <c r="G451">
        <f t="shared" ref="G451:G514" si="23">1/(C451*0.062428)</f>
        <v>0.7374978479812796</v>
      </c>
    </row>
    <row r="452" spans="1:7" x14ac:dyDescent="0.35">
      <c r="A452">
        <v>19</v>
      </c>
      <c r="B452">
        <v>220</v>
      </c>
      <c r="C452">
        <v>22.43</v>
      </c>
      <c r="E452">
        <f t="shared" si="21"/>
        <v>131000.44</v>
      </c>
      <c r="F452">
        <f t="shared" si="22"/>
        <v>377.59444444444443</v>
      </c>
      <c r="G452">
        <f t="shared" si="23"/>
        <v>0.71415306545489943</v>
      </c>
    </row>
    <row r="453" spans="1:7" x14ac:dyDescent="0.35">
      <c r="A453">
        <v>23</v>
      </c>
      <c r="B453">
        <v>-10</v>
      </c>
      <c r="C453">
        <v>11.89</v>
      </c>
      <c r="E453">
        <f t="shared" si="21"/>
        <v>158579.48000000001</v>
      </c>
      <c r="F453">
        <f t="shared" si="22"/>
        <v>249.81666666666663</v>
      </c>
      <c r="G453">
        <f t="shared" si="23"/>
        <v>1.3472206272626908</v>
      </c>
    </row>
    <row r="454" spans="1:7" x14ac:dyDescent="0.35">
      <c r="A454">
        <v>23</v>
      </c>
      <c r="B454">
        <v>0</v>
      </c>
      <c r="C454">
        <v>12.2</v>
      </c>
      <c r="E454">
        <f t="shared" si="21"/>
        <v>158579.48000000001</v>
      </c>
      <c r="F454">
        <f t="shared" si="22"/>
        <v>255.37222222222221</v>
      </c>
      <c r="G454">
        <f t="shared" si="23"/>
        <v>1.3129879719797866</v>
      </c>
    </row>
    <row r="455" spans="1:7" x14ac:dyDescent="0.35">
      <c r="A455">
        <v>23</v>
      </c>
      <c r="B455">
        <v>10</v>
      </c>
      <c r="C455">
        <v>12.5</v>
      </c>
      <c r="E455">
        <f t="shared" si="21"/>
        <v>158579.48000000001</v>
      </c>
      <c r="F455">
        <f t="shared" si="22"/>
        <v>260.92777777777775</v>
      </c>
      <c r="G455">
        <f t="shared" si="23"/>
        <v>1.2814762606522714</v>
      </c>
    </row>
    <row r="456" spans="1:7" x14ac:dyDescent="0.35">
      <c r="A456">
        <v>23</v>
      </c>
      <c r="B456">
        <v>20</v>
      </c>
      <c r="C456">
        <v>12.8</v>
      </c>
      <c r="E456">
        <f t="shared" si="21"/>
        <v>158579.48000000001</v>
      </c>
      <c r="F456">
        <f t="shared" si="22"/>
        <v>266.48333333333329</v>
      </c>
      <c r="G456">
        <f t="shared" si="23"/>
        <v>1.2514416607932339</v>
      </c>
    </row>
    <row r="457" spans="1:7" x14ac:dyDescent="0.35">
      <c r="A457">
        <v>23</v>
      </c>
      <c r="B457">
        <v>30</v>
      </c>
      <c r="C457">
        <v>13.1</v>
      </c>
      <c r="E457">
        <f t="shared" si="21"/>
        <v>158579.48000000001</v>
      </c>
      <c r="F457">
        <f t="shared" si="22"/>
        <v>272.03888888888889</v>
      </c>
      <c r="G457">
        <f t="shared" si="23"/>
        <v>1.2227826914620912</v>
      </c>
    </row>
    <row r="458" spans="1:7" x14ac:dyDescent="0.35">
      <c r="A458">
        <v>23</v>
      </c>
      <c r="B458">
        <v>40</v>
      </c>
      <c r="C458">
        <v>13.4</v>
      </c>
      <c r="E458">
        <f t="shared" si="21"/>
        <v>158579.48000000001</v>
      </c>
      <c r="F458">
        <f t="shared" si="22"/>
        <v>277.59444444444443</v>
      </c>
      <c r="G458">
        <f t="shared" si="23"/>
        <v>1.195406959563686</v>
      </c>
    </row>
    <row r="459" spans="1:7" x14ac:dyDescent="0.35">
      <c r="A459">
        <v>23</v>
      </c>
      <c r="B459">
        <v>50</v>
      </c>
      <c r="C459">
        <v>13.69</v>
      </c>
      <c r="E459">
        <f t="shared" si="21"/>
        <v>158579.48000000001</v>
      </c>
      <c r="F459">
        <f t="shared" si="22"/>
        <v>283.14999999999998</v>
      </c>
      <c r="G459">
        <f t="shared" si="23"/>
        <v>1.1700842409169754</v>
      </c>
    </row>
    <row r="460" spans="1:7" x14ac:dyDescent="0.35">
      <c r="A460">
        <v>23</v>
      </c>
      <c r="B460">
        <v>60</v>
      </c>
      <c r="C460">
        <v>13.98</v>
      </c>
      <c r="E460">
        <f t="shared" si="21"/>
        <v>158579.48000000001</v>
      </c>
      <c r="F460">
        <f t="shared" si="22"/>
        <v>288.70555555555552</v>
      </c>
      <c r="G460">
        <f t="shared" si="23"/>
        <v>1.1458121071640481</v>
      </c>
    </row>
    <row r="461" spans="1:7" x14ac:dyDescent="0.35">
      <c r="A461">
        <v>23</v>
      </c>
      <c r="B461">
        <v>70</v>
      </c>
      <c r="C461">
        <v>14.27</v>
      </c>
      <c r="E461">
        <f t="shared" si="21"/>
        <v>158579.48000000001</v>
      </c>
      <c r="F461">
        <f t="shared" si="22"/>
        <v>294.26111111111106</v>
      </c>
      <c r="G461">
        <f t="shared" si="23"/>
        <v>1.122526507228689</v>
      </c>
    </row>
    <row r="462" spans="1:7" x14ac:dyDescent="0.35">
      <c r="A462">
        <v>23</v>
      </c>
      <c r="B462">
        <v>80</v>
      </c>
      <c r="C462">
        <v>14.56</v>
      </c>
      <c r="E462">
        <f t="shared" si="21"/>
        <v>158579.48000000001</v>
      </c>
      <c r="F462">
        <f t="shared" si="22"/>
        <v>299.81666666666666</v>
      </c>
      <c r="G462">
        <f t="shared" si="23"/>
        <v>1.1001684930050406</v>
      </c>
    </row>
    <row r="463" spans="1:7" x14ac:dyDescent="0.35">
      <c r="A463">
        <v>23</v>
      </c>
      <c r="B463">
        <v>90</v>
      </c>
      <c r="C463">
        <v>14.84</v>
      </c>
      <c r="E463">
        <f t="shared" si="21"/>
        <v>158579.48000000001</v>
      </c>
      <c r="F463">
        <f t="shared" si="22"/>
        <v>305.37222222222221</v>
      </c>
      <c r="G463">
        <f t="shared" si="23"/>
        <v>1.079410596910606</v>
      </c>
    </row>
    <row r="464" spans="1:7" x14ac:dyDescent="0.35">
      <c r="A464">
        <v>23</v>
      </c>
      <c r="B464">
        <v>100</v>
      </c>
      <c r="C464">
        <v>15.13</v>
      </c>
      <c r="E464">
        <f t="shared" si="21"/>
        <v>158579.48000000001</v>
      </c>
      <c r="F464">
        <f t="shared" si="22"/>
        <v>310.92777777777775</v>
      </c>
      <c r="G464">
        <f t="shared" si="23"/>
        <v>1.0587212992831059</v>
      </c>
    </row>
    <row r="465" spans="1:7" x14ac:dyDescent="0.35">
      <c r="A465">
        <v>23</v>
      </c>
      <c r="B465">
        <v>110</v>
      </c>
      <c r="C465">
        <v>15.41</v>
      </c>
      <c r="E465">
        <f t="shared" si="21"/>
        <v>158579.48000000001</v>
      </c>
      <c r="F465">
        <f t="shared" si="22"/>
        <v>316.48333333333329</v>
      </c>
      <c r="G465">
        <f t="shared" si="23"/>
        <v>1.0394843126640749</v>
      </c>
    </row>
    <row r="466" spans="1:7" x14ac:dyDescent="0.35">
      <c r="A466">
        <v>23</v>
      </c>
      <c r="B466">
        <v>120</v>
      </c>
      <c r="C466">
        <v>15.7</v>
      </c>
      <c r="E466">
        <f t="shared" si="21"/>
        <v>158579.48000000001</v>
      </c>
      <c r="F466">
        <f t="shared" si="22"/>
        <v>322.03888888888889</v>
      </c>
      <c r="G466">
        <f t="shared" si="23"/>
        <v>1.0202836470161398</v>
      </c>
    </row>
    <row r="467" spans="1:7" x14ac:dyDescent="0.35">
      <c r="A467">
        <v>23</v>
      </c>
      <c r="B467">
        <v>130</v>
      </c>
      <c r="C467">
        <v>15.98</v>
      </c>
      <c r="E467">
        <f t="shared" si="21"/>
        <v>158579.48000000001</v>
      </c>
      <c r="F467">
        <f t="shared" si="22"/>
        <v>327.59444444444443</v>
      </c>
      <c r="G467">
        <f t="shared" si="23"/>
        <v>1.0024063365552811</v>
      </c>
    </row>
    <row r="468" spans="1:7" x14ac:dyDescent="0.35">
      <c r="A468">
        <v>23</v>
      </c>
      <c r="B468">
        <v>140</v>
      </c>
      <c r="C468">
        <v>16.260000000000002</v>
      </c>
      <c r="E468">
        <f t="shared" si="21"/>
        <v>158579.48000000001</v>
      </c>
      <c r="F468">
        <f t="shared" si="22"/>
        <v>333.15</v>
      </c>
      <c r="G468">
        <f t="shared" si="23"/>
        <v>0.9851447268237018</v>
      </c>
    </row>
    <row r="469" spans="1:7" x14ac:dyDescent="0.35">
      <c r="A469">
        <v>23</v>
      </c>
      <c r="B469">
        <v>150</v>
      </c>
      <c r="C469">
        <v>16.55</v>
      </c>
      <c r="E469">
        <f t="shared" si="21"/>
        <v>158579.48000000001</v>
      </c>
      <c r="F469">
        <f t="shared" si="22"/>
        <v>338.70555555555552</v>
      </c>
      <c r="G469">
        <f t="shared" si="23"/>
        <v>0.96788237209386063</v>
      </c>
    </row>
    <row r="470" spans="1:7" x14ac:dyDescent="0.35">
      <c r="A470">
        <v>23</v>
      </c>
      <c r="B470">
        <v>160</v>
      </c>
      <c r="C470">
        <v>16.829999999999998</v>
      </c>
      <c r="E470">
        <f t="shared" si="21"/>
        <v>158579.48000000001</v>
      </c>
      <c r="F470">
        <f t="shared" si="22"/>
        <v>344.26111111111106</v>
      </c>
      <c r="G470">
        <f t="shared" si="23"/>
        <v>0.95177975390097425</v>
      </c>
    </row>
    <row r="471" spans="1:7" x14ac:dyDescent="0.35">
      <c r="A471">
        <v>23</v>
      </c>
      <c r="B471">
        <v>170</v>
      </c>
      <c r="C471">
        <v>17.11</v>
      </c>
      <c r="E471">
        <f t="shared" si="21"/>
        <v>158579.48000000001</v>
      </c>
      <c r="F471">
        <f t="shared" si="22"/>
        <v>349.81666666666666</v>
      </c>
      <c r="G471">
        <f t="shared" si="23"/>
        <v>0.93620416470797152</v>
      </c>
    </row>
    <row r="472" spans="1:7" x14ac:dyDescent="0.35">
      <c r="A472">
        <v>23</v>
      </c>
      <c r="B472">
        <v>180</v>
      </c>
      <c r="C472">
        <v>17.39</v>
      </c>
      <c r="E472">
        <f t="shared" si="21"/>
        <v>158579.48000000001</v>
      </c>
      <c r="F472">
        <f t="shared" si="22"/>
        <v>355.37222222222221</v>
      </c>
      <c r="G472">
        <f t="shared" si="23"/>
        <v>0.92113014710485286</v>
      </c>
    </row>
    <row r="473" spans="1:7" x14ac:dyDescent="0.35">
      <c r="A473">
        <v>23</v>
      </c>
      <c r="B473">
        <v>190</v>
      </c>
      <c r="C473">
        <v>17.670000000000002</v>
      </c>
      <c r="E473">
        <f t="shared" si="21"/>
        <v>158579.48000000001</v>
      </c>
      <c r="F473">
        <f t="shared" si="22"/>
        <v>360.92777777777775</v>
      </c>
      <c r="G473">
        <f t="shared" si="23"/>
        <v>0.90653385728089375</v>
      </c>
    </row>
    <row r="474" spans="1:7" x14ac:dyDescent="0.35">
      <c r="A474">
        <v>23</v>
      </c>
      <c r="B474">
        <v>200</v>
      </c>
      <c r="C474">
        <v>17.95</v>
      </c>
      <c r="E474">
        <f t="shared" si="21"/>
        <v>158579.48000000001</v>
      </c>
      <c r="F474">
        <f t="shared" si="22"/>
        <v>366.48333333333329</v>
      </c>
      <c r="G474">
        <f t="shared" si="23"/>
        <v>0.89239293917289109</v>
      </c>
    </row>
    <row r="475" spans="1:7" x14ac:dyDescent="0.35">
      <c r="A475">
        <v>23</v>
      </c>
      <c r="B475">
        <v>220</v>
      </c>
      <c r="C475">
        <v>18.510000000000002</v>
      </c>
      <c r="E475">
        <f t="shared" si="21"/>
        <v>158579.48000000001</v>
      </c>
      <c r="F475">
        <f t="shared" si="22"/>
        <v>377.59444444444443</v>
      </c>
      <c r="G475">
        <f t="shared" si="23"/>
        <v>0.86539455743670401</v>
      </c>
    </row>
    <row r="476" spans="1:7" x14ac:dyDescent="0.35">
      <c r="A476">
        <v>23</v>
      </c>
      <c r="B476">
        <v>240</v>
      </c>
      <c r="C476">
        <v>19.07</v>
      </c>
      <c r="E476">
        <f t="shared" si="21"/>
        <v>158579.48000000001</v>
      </c>
      <c r="F476">
        <f t="shared" si="22"/>
        <v>388.70555555555552</v>
      </c>
      <c r="G476">
        <f t="shared" si="23"/>
        <v>0.83998181741758748</v>
      </c>
    </row>
    <row r="477" spans="1:7" x14ac:dyDescent="0.35">
      <c r="A477">
        <v>24</v>
      </c>
      <c r="B477">
        <v>0</v>
      </c>
      <c r="C477">
        <v>11.67</v>
      </c>
      <c r="E477">
        <f t="shared" si="21"/>
        <v>165474.23999999999</v>
      </c>
      <c r="F477">
        <f t="shared" si="22"/>
        <v>255.37222222222221</v>
      </c>
      <c r="G477">
        <f t="shared" si="23"/>
        <v>1.3726181026695281</v>
      </c>
    </row>
    <row r="478" spans="1:7" x14ac:dyDescent="0.35">
      <c r="A478">
        <v>24</v>
      </c>
      <c r="B478">
        <v>10</v>
      </c>
      <c r="C478">
        <v>11.96</v>
      </c>
      <c r="E478">
        <f t="shared" si="21"/>
        <v>165474.23999999999</v>
      </c>
      <c r="F478">
        <f t="shared" si="22"/>
        <v>260.92777777777775</v>
      </c>
      <c r="G478">
        <f t="shared" si="23"/>
        <v>1.3393355567017886</v>
      </c>
    </row>
    <row r="479" spans="1:7" x14ac:dyDescent="0.35">
      <c r="A479">
        <v>24</v>
      </c>
      <c r="B479">
        <v>20</v>
      </c>
      <c r="C479">
        <v>12.25</v>
      </c>
      <c r="E479">
        <f t="shared" si="21"/>
        <v>165474.23999999999</v>
      </c>
      <c r="F479">
        <f t="shared" si="22"/>
        <v>266.48333333333329</v>
      </c>
      <c r="G479">
        <f t="shared" si="23"/>
        <v>1.3076288374002771</v>
      </c>
    </row>
    <row r="480" spans="1:7" x14ac:dyDescent="0.35">
      <c r="A480">
        <v>24</v>
      </c>
      <c r="B480">
        <v>30</v>
      </c>
      <c r="C480">
        <v>12.54</v>
      </c>
      <c r="E480">
        <f t="shared" si="21"/>
        <v>165474.23999999999</v>
      </c>
      <c r="F480">
        <f t="shared" si="22"/>
        <v>272.03888888888889</v>
      </c>
      <c r="G480">
        <f t="shared" si="23"/>
        <v>1.2773886170776232</v>
      </c>
    </row>
    <row r="481" spans="1:7" x14ac:dyDescent="0.35">
      <c r="A481">
        <v>24</v>
      </c>
      <c r="B481">
        <v>40</v>
      </c>
      <c r="C481">
        <v>12.82</v>
      </c>
      <c r="E481">
        <f t="shared" si="21"/>
        <v>165474.23999999999</v>
      </c>
      <c r="F481">
        <f t="shared" si="22"/>
        <v>277.59444444444443</v>
      </c>
      <c r="G481">
        <f t="shared" si="23"/>
        <v>1.2494893337093129</v>
      </c>
    </row>
    <row r="482" spans="1:7" x14ac:dyDescent="0.35">
      <c r="A482">
        <v>24</v>
      </c>
      <c r="B482">
        <v>50</v>
      </c>
      <c r="C482">
        <v>13.11</v>
      </c>
      <c r="E482">
        <f t="shared" si="21"/>
        <v>165474.23999999999</v>
      </c>
      <c r="F482">
        <f t="shared" si="22"/>
        <v>283.14999999999998</v>
      </c>
      <c r="G482">
        <f t="shared" si="23"/>
        <v>1.221849981552509</v>
      </c>
    </row>
    <row r="483" spans="1:7" x14ac:dyDescent="0.35">
      <c r="A483">
        <v>24</v>
      </c>
      <c r="B483">
        <v>60</v>
      </c>
      <c r="C483">
        <v>13.39</v>
      </c>
      <c r="E483">
        <f t="shared" si="21"/>
        <v>165474.23999999999</v>
      </c>
      <c r="F483">
        <f t="shared" si="22"/>
        <v>288.70555555555552</v>
      </c>
      <c r="G483">
        <f t="shared" si="23"/>
        <v>1.1962997205491706</v>
      </c>
    </row>
    <row r="484" spans="1:7" x14ac:dyDescent="0.35">
      <c r="A484">
        <v>24</v>
      </c>
      <c r="B484">
        <v>70</v>
      </c>
      <c r="C484">
        <v>13.66</v>
      </c>
      <c r="E484">
        <f t="shared" si="21"/>
        <v>165474.23999999999</v>
      </c>
      <c r="F484">
        <f t="shared" si="22"/>
        <v>294.26111111111106</v>
      </c>
      <c r="G484">
        <f t="shared" si="23"/>
        <v>1.1726539720463685</v>
      </c>
    </row>
    <row r="485" spans="1:7" x14ac:dyDescent="0.35">
      <c r="A485">
        <v>24</v>
      </c>
      <c r="B485">
        <v>80</v>
      </c>
      <c r="C485">
        <v>13.94</v>
      </c>
      <c r="E485">
        <f t="shared" si="21"/>
        <v>165474.23999999999</v>
      </c>
      <c r="F485">
        <f t="shared" si="22"/>
        <v>299.81666666666666</v>
      </c>
      <c r="G485">
        <f t="shared" si="23"/>
        <v>1.1490999467828833</v>
      </c>
    </row>
    <row r="486" spans="1:7" x14ac:dyDescent="0.35">
      <c r="A486">
        <v>24</v>
      </c>
      <c r="B486">
        <v>90</v>
      </c>
      <c r="C486">
        <v>14.22</v>
      </c>
      <c r="E486">
        <f t="shared" si="21"/>
        <v>165474.23999999999</v>
      </c>
      <c r="F486">
        <f t="shared" si="22"/>
        <v>305.37222222222221</v>
      </c>
      <c r="G486">
        <f t="shared" si="23"/>
        <v>1.1264735061992539</v>
      </c>
    </row>
    <row r="487" spans="1:7" x14ac:dyDescent="0.35">
      <c r="A487">
        <v>24</v>
      </c>
      <c r="B487">
        <v>100</v>
      </c>
      <c r="C487">
        <v>14.49</v>
      </c>
      <c r="E487">
        <f t="shared" si="21"/>
        <v>165474.23999999999</v>
      </c>
      <c r="F487">
        <f t="shared" si="22"/>
        <v>310.92777777777775</v>
      </c>
      <c r="G487">
        <f t="shared" si="23"/>
        <v>1.1054833166427462</v>
      </c>
    </row>
    <row r="488" spans="1:7" x14ac:dyDescent="0.35">
      <c r="A488">
        <v>24</v>
      </c>
      <c r="B488">
        <v>110</v>
      </c>
      <c r="C488">
        <v>14.76</v>
      </c>
      <c r="E488">
        <f t="shared" si="21"/>
        <v>165474.23999999999</v>
      </c>
      <c r="F488">
        <f t="shared" si="22"/>
        <v>316.48333333333329</v>
      </c>
      <c r="G488">
        <f t="shared" si="23"/>
        <v>1.0852610608505009</v>
      </c>
    </row>
    <row r="489" spans="1:7" x14ac:dyDescent="0.35">
      <c r="A489">
        <v>24</v>
      </c>
      <c r="B489">
        <v>120</v>
      </c>
      <c r="C489">
        <v>15.04</v>
      </c>
      <c r="E489">
        <f t="shared" si="21"/>
        <v>165474.23999999999</v>
      </c>
      <c r="F489">
        <f t="shared" si="22"/>
        <v>322.03888888888889</v>
      </c>
      <c r="G489">
        <f t="shared" si="23"/>
        <v>1.0650567325899862</v>
      </c>
    </row>
    <row r="490" spans="1:7" x14ac:dyDescent="0.35">
      <c r="A490">
        <v>24</v>
      </c>
      <c r="B490">
        <v>130</v>
      </c>
      <c r="C490">
        <v>15.31</v>
      </c>
      <c r="E490">
        <f t="shared" si="21"/>
        <v>165474.23999999999</v>
      </c>
      <c r="F490">
        <f t="shared" si="22"/>
        <v>327.59444444444443</v>
      </c>
      <c r="G490">
        <f t="shared" si="23"/>
        <v>1.0462738901471844</v>
      </c>
    </row>
    <row r="491" spans="1:7" x14ac:dyDescent="0.35">
      <c r="A491">
        <v>24</v>
      </c>
      <c r="B491">
        <v>140</v>
      </c>
      <c r="C491">
        <v>15.58</v>
      </c>
      <c r="E491">
        <f t="shared" si="21"/>
        <v>165474.23999999999</v>
      </c>
      <c r="F491">
        <f t="shared" si="22"/>
        <v>333.15</v>
      </c>
      <c r="G491">
        <f t="shared" si="23"/>
        <v>1.0281420576478431</v>
      </c>
    </row>
    <row r="492" spans="1:7" x14ac:dyDescent="0.35">
      <c r="A492">
        <v>24</v>
      </c>
      <c r="B492">
        <v>150</v>
      </c>
      <c r="C492">
        <v>15.85</v>
      </c>
      <c r="E492">
        <f t="shared" si="21"/>
        <v>165474.23999999999</v>
      </c>
      <c r="F492">
        <f t="shared" si="22"/>
        <v>338.70555555555552</v>
      </c>
      <c r="G492">
        <f t="shared" si="23"/>
        <v>1.0106279658140942</v>
      </c>
    </row>
    <row r="493" spans="1:7" x14ac:dyDescent="0.35">
      <c r="A493">
        <v>24</v>
      </c>
      <c r="B493">
        <v>160</v>
      </c>
      <c r="C493">
        <v>16.12</v>
      </c>
      <c r="E493">
        <f t="shared" si="21"/>
        <v>165474.23999999999</v>
      </c>
      <c r="F493">
        <f t="shared" si="22"/>
        <v>344.26111111111106</v>
      </c>
      <c r="G493">
        <f t="shared" si="23"/>
        <v>0.99370057432713343</v>
      </c>
    </row>
    <row r="494" spans="1:7" x14ac:dyDescent="0.35">
      <c r="A494">
        <v>24</v>
      </c>
      <c r="B494">
        <v>170</v>
      </c>
      <c r="C494">
        <v>16.39</v>
      </c>
      <c r="E494">
        <f t="shared" si="21"/>
        <v>165474.23999999999</v>
      </c>
      <c r="F494">
        <f t="shared" si="22"/>
        <v>349.81666666666666</v>
      </c>
      <c r="G494">
        <f t="shared" si="23"/>
        <v>0.97733088823388614</v>
      </c>
    </row>
    <row r="495" spans="1:7" x14ac:dyDescent="0.35">
      <c r="A495">
        <v>24</v>
      </c>
      <c r="B495">
        <v>180</v>
      </c>
      <c r="C495">
        <v>16.66</v>
      </c>
      <c r="E495">
        <f t="shared" si="21"/>
        <v>165474.23999999999</v>
      </c>
      <c r="F495">
        <f t="shared" si="22"/>
        <v>355.37222222222221</v>
      </c>
      <c r="G495">
        <f t="shared" si="23"/>
        <v>0.96149179220608605</v>
      </c>
    </row>
    <row r="496" spans="1:7" x14ac:dyDescent="0.35">
      <c r="A496">
        <v>24</v>
      </c>
      <c r="B496">
        <v>190</v>
      </c>
      <c r="C496">
        <v>16.93</v>
      </c>
      <c r="E496">
        <f t="shared" si="21"/>
        <v>165474.23999999999</v>
      </c>
      <c r="F496">
        <f t="shared" si="22"/>
        <v>360.92777777777775</v>
      </c>
      <c r="G496">
        <f t="shared" si="23"/>
        <v>0.94615790065879468</v>
      </c>
    </row>
    <row r="497" spans="1:7" x14ac:dyDescent="0.35">
      <c r="A497">
        <v>24</v>
      </c>
      <c r="B497">
        <v>200</v>
      </c>
      <c r="C497">
        <v>17.2</v>
      </c>
      <c r="E497">
        <f t="shared" si="21"/>
        <v>165474.23999999999</v>
      </c>
      <c r="F497">
        <f t="shared" si="22"/>
        <v>366.48333333333329</v>
      </c>
      <c r="G497">
        <f t="shared" si="23"/>
        <v>0.93130542198566246</v>
      </c>
    </row>
    <row r="498" spans="1:7" x14ac:dyDescent="0.35">
      <c r="A498">
        <v>24</v>
      </c>
      <c r="B498">
        <v>220</v>
      </c>
      <c r="C498">
        <v>17.73</v>
      </c>
      <c r="E498">
        <f t="shared" si="21"/>
        <v>165474.23999999999</v>
      </c>
      <c r="F498">
        <f t="shared" si="22"/>
        <v>377.59444444444443</v>
      </c>
      <c r="G498">
        <f t="shared" si="23"/>
        <v>0.90346606080955394</v>
      </c>
    </row>
    <row r="499" spans="1:7" x14ac:dyDescent="0.35">
      <c r="A499">
        <v>24</v>
      </c>
      <c r="B499">
        <v>240</v>
      </c>
      <c r="C499">
        <v>18.27</v>
      </c>
      <c r="E499">
        <f t="shared" si="21"/>
        <v>165474.23999999999</v>
      </c>
      <c r="F499">
        <f t="shared" si="22"/>
        <v>388.70555555555552</v>
      </c>
      <c r="G499">
        <f t="shared" si="23"/>
        <v>0.87676263044079872</v>
      </c>
    </row>
    <row r="500" spans="1:7" x14ac:dyDescent="0.35">
      <c r="A500">
        <v>25</v>
      </c>
      <c r="B500">
        <v>0</v>
      </c>
      <c r="C500">
        <v>11.19</v>
      </c>
      <c r="E500">
        <f t="shared" si="21"/>
        <v>172369</v>
      </c>
      <c r="F500">
        <f t="shared" si="22"/>
        <v>255.37222222222221</v>
      </c>
      <c r="G500">
        <f t="shared" si="23"/>
        <v>1.4314971633738511</v>
      </c>
    </row>
    <row r="501" spans="1:7" x14ac:dyDescent="0.35">
      <c r="A501">
        <v>25</v>
      </c>
      <c r="B501">
        <v>10</v>
      </c>
      <c r="C501">
        <v>11.47</v>
      </c>
      <c r="E501">
        <f t="shared" si="21"/>
        <v>172369</v>
      </c>
      <c r="F501">
        <f t="shared" si="22"/>
        <v>260.92777777777775</v>
      </c>
      <c r="G501">
        <f t="shared" si="23"/>
        <v>1.3965521585138094</v>
      </c>
    </row>
    <row r="502" spans="1:7" x14ac:dyDescent="0.35">
      <c r="A502">
        <v>25</v>
      </c>
      <c r="B502">
        <v>20</v>
      </c>
      <c r="C502">
        <v>11.75</v>
      </c>
      <c r="E502">
        <f t="shared" si="21"/>
        <v>172369</v>
      </c>
      <c r="F502">
        <f t="shared" si="22"/>
        <v>266.48333333333329</v>
      </c>
      <c r="G502">
        <f t="shared" si="23"/>
        <v>1.3632726177151824</v>
      </c>
    </row>
    <row r="503" spans="1:7" x14ac:dyDescent="0.35">
      <c r="A503">
        <v>25</v>
      </c>
      <c r="B503">
        <v>30</v>
      </c>
      <c r="C503">
        <v>12.03</v>
      </c>
      <c r="E503">
        <f t="shared" si="21"/>
        <v>172369</v>
      </c>
      <c r="F503">
        <f t="shared" si="22"/>
        <v>272.03888888888889</v>
      </c>
      <c r="G503">
        <f t="shared" si="23"/>
        <v>1.3315422492230586</v>
      </c>
    </row>
    <row r="504" spans="1:7" x14ac:dyDescent="0.35">
      <c r="A504">
        <v>25</v>
      </c>
      <c r="B504">
        <v>40</v>
      </c>
      <c r="C504">
        <v>12.3</v>
      </c>
      <c r="E504">
        <f t="shared" si="21"/>
        <v>172369</v>
      </c>
      <c r="F504">
        <f t="shared" si="22"/>
        <v>277.59444444444443</v>
      </c>
      <c r="G504">
        <f t="shared" si="23"/>
        <v>1.3023132730206011</v>
      </c>
    </row>
    <row r="505" spans="1:7" x14ac:dyDescent="0.35">
      <c r="A505">
        <v>25</v>
      </c>
      <c r="B505">
        <v>50</v>
      </c>
      <c r="C505">
        <v>12.57</v>
      </c>
      <c r="E505">
        <f t="shared" si="21"/>
        <v>172369</v>
      </c>
      <c r="F505">
        <f t="shared" si="22"/>
        <v>283.14999999999998</v>
      </c>
      <c r="G505">
        <f t="shared" si="23"/>
        <v>1.2743399568936669</v>
      </c>
    </row>
    <row r="506" spans="1:7" x14ac:dyDescent="0.35">
      <c r="A506">
        <v>25</v>
      </c>
      <c r="B506">
        <v>60</v>
      </c>
      <c r="C506">
        <v>12.84</v>
      </c>
      <c r="E506">
        <f t="shared" si="21"/>
        <v>172369</v>
      </c>
      <c r="F506">
        <f t="shared" si="22"/>
        <v>288.70555555555552</v>
      </c>
      <c r="G506">
        <f t="shared" si="23"/>
        <v>1.24754308864123</v>
      </c>
    </row>
    <row r="507" spans="1:7" x14ac:dyDescent="0.35">
      <c r="A507">
        <v>25</v>
      </c>
      <c r="B507">
        <v>70</v>
      </c>
      <c r="C507">
        <v>13.11</v>
      </c>
      <c r="E507">
        <f t="shared" si="21"/>
        <v>172369</v>
      </c>
      <c r="F507">
        <f t="shared" si="22"/>
        <v>294.26111111111106</v>
      </c>
      <c r="G507">
        <f t="shared" si="23"/>
        <v>1.221849981552509</v>
      </c>
    </row>
    <row r="508" spans="1:7" x14ac:dyDescent="0.35">
      <c r="A508">
        <v>25</v>
      </c>
      <c r="B508">
        <v>80</v>
      </c>
      <c r="C508">
        <v>13.37</v>
      </c>
      <c r="E508">
        <f t="shared" si="21"/>
        <v>172369</v>
      </c>
      <c r="F508">
        <f t="shared" si="22"/>
        <v>299.81666666666666</v>
      </c>
      <c r="G508">
        <f t="shared" si="23"/>
        <v>1.1980892489269555</v>
      </c>
    </row>
    <row r="509" spans="1:7" x14ac:dyDescent="0.35">
      <c r="A509">
        <v>25</v>
      </c>
      <c r="B509">
        <v>90</v>
      </c>
      <c r="C509">
        <v>13.64</v>
      </c>
      <c r="E509">
        <f t="shared" si="21"/>
        <v>172369</v>
      </c>
      <c r="F509">
        <f t="shared" si="22"/>
        <v>305.37222222222221</v>
      </c>
      <c r="G509">
        <f t="shared" si="23"/>
        <v>1.174373406022976</v>
      </c>
    </row>
    <row r="510" spans="1:7" x14ac:dyDescent="0.35">
      <c r="A510">
        <v>25</v>
      </c>
      <c r="B510">
        <v>100</v>
      </c>
      <c r="C510">
        <v>13.9</v>
      </c>
      <c r="E510">
        <f t="shared" si="21"/>
        <v>172369</v>
      </c>
      <c r="F510">
        <f t="shared" si="22"/>
        <v>310.92777777777775</v>
      </c>
      <c r="G510">
        <f t="shared" si="23"/>
        <v>1.1524067092196686</v>
      </c>
    </row>
    <row r="511" spans="1:7" x14ac:dyDescent="0.35">
      <c r="A511">
        <v>25</v>
      </c>
      <c r="B511">
        <v>110</v>
      </c>
      <c r="C511">
        <v>14.17</v>
      </c>
      <c r="E511">
        <f t="shared" si="21"/>
        <v>172369</v>
      </c>
      <c r="F511">
        <f t="shared" si="22"/>
        <v>316.48333333333329</v>
      </c>
      <c r="G511">
        <f t="shared" si="23"/>
        <v>1.1304483597849959</v>
      </c>
    </row>
    <row r="512" spans="1:7" x14ac:dyDescent="0.35">
      <c r="A512">
        <v>25</v>
      </c>
      <c r="B512">
        <v>120</v>
      </c>
      <c r="C512">
        <v>14.43</v>
      </c>
      <c r="E512">
        <f t="shared" si="21"/>
        <v>172369</v>
      </c>
      <c r="F512">
        <f t="shared" si="22"/>
        <v>322.03888888888889</v>
      </c>
      <c r="G512">
        <f t="shared" si="23"/>
        <v>1.110079920869951</v>
      </c>
    </row>
    <row r="513" spans="1:7" x14ac:dyDescent="0.35">
      <c r="A513">
        <v>25</v>
      </c>
      <c r="B513">
        <v>130</v>
      </c>
      <c r="C513">
        <v>14.69</v>
      </c>
      <c r="E513">
        <f t="shared" si="21"/>
        <v>172369</v>
      </c>
      <c r="F513">
        <f t="shared" si="22"/>
        <v>327.59444444444443</v>
      </c>
      <c r="G513">
        <f t="shared" si="23"/>
        <v>1.0904324886421644</v>
      </c>
    </row>
    <row r="514" spans="1:7" x14ac:dyDescent="0.35">
      <c r="A514">
        <v>25</v>
      </c>
      <c r="B514">
        <v>140</v>
      </c>
      <c r="C514">
        <v>14.95</v>
      </c>
      <c r="E514">
        <f t="shared" ref="E514:E577" si="24">A514*6894.76</f>
        <v>172369</v>
      </c>
      <c r="F514">
        <f t="shared" si="22"/>
        <v>333.15</v>
      </c>
      <c r="G514">
        <f t="shared" si="23"/>
        <v>1.0714684453614312</v>
      </c>
    </row>
    <row r="515" spans="1:7" x14ac:dyDescent="0.35">
      <c r="A515">
        <v>25</v>
      </c>
      <c r="B515">
        <v>150</v>
      </c>
      <c r="C515">
        <v>15.21</v>
      </c>
      <c r="E515">
        <f t="shared" si="24"/>
        <v>172369</v>
      </c>
      <c r="F515">
        <f t="shared" ref="F515:F578" si="25">(B515-32)*5/9+273.15</f>
        <v>338.70555555555552</v>
      </c>
      <c r="G515">
        <f t="shared" ref="G515:G578" si="26">1/(C515*0.062428)</f>
        <v>1.0531527454407226</v>
      </c>
    </row>
    <row r="516" spans="1:7" x14ac:dyDescent="0.35">
      <c r="A516">
        <v>25</v>
      </c>
      <c r="B516">
        <v>160</v>
      </c>
      <c r="C516">
        <v>15.47</v>
      </c>
      <c r="E516">
        <f t="shared" si="24"/>
        <v>172369</v>
      </c>
      <c r="F516">
        <f t="shared" si="25"/>
        <v>344.26111111111106</v>
      </c>
      <c r="G516">
        <f t="shared" si="26"/>
        <v>1.0354526992988617</v>
      </c>
    </row>
    <row r="517" spans="1:7" x14ac:dyDescent="0.35">
      <c r="A517">
        <v>25</v>
      </c>
      <c r="B517">
        <v>170</v>
      </c>
      <c r="C517">
        <v>15.73</v>
      </c>
      <c r="E517">
        <f t="shared" si="24"/>
        <v>172369</v>
      </c>
      <c r="F517">
        <f t="shared" si="25"/>
        <v>349.81666666666666</v>
      </c>
      <c r="G517">
        <f t="shared" si="26"/>
        <v>1.018337778649294</v>
      </c>
    </row>
    <row r="518" spans="1:7" x14ac:dyDescent="0.35">
      <c r="A518">
        <v>25</v>
      </c>
      <c r="B518">
        <v>180</v>
      </c>
      <c r="C518">
        <v>15.99</v>
      </c>
      <c r="E518">
        <f t="shared" si="24"/>
        <v>172369</v>
      </c>
      <c r="F518">
        <f t="shared" si="25"/>
        <v>355.37222222222221</v>
      </c>
      <c r="G518">
        <f t="shared" si="26"/>
        <v>1.0017794407850777</v>
      </c>
    </row>
    <row r="519" spans="1:7" x14ac:dyDescent="0.35">
      <c r="A519">
        <v>25</v>
      </c>
      <c r="B519">
        <v>190</v>
      </c>
      <c r="C519">
        <v>16.25</v>
      </c>
      <c r="E519">
        <f t="shared" si="24"/>
        <v>172369</v>
      </c>
      <c r="F519">
        <f t="shared" si="25"/>
        <v>360.92777777777775</v>
      </c>
      <c r="G519">
        <f t="shared" si="26"/>
        <v>0.98575096973251664</v>
      </c>
    </row>
    <row r="520" spans="1:7" x14ac:dyDescent="0.35">
      <c r="A520">
        <v>25</v>
      </c>
      <c r="B520">
        <v>200</v>
      </c>
      <c r="C520">
        <v>16.5</v>
      </c>
      <c r="E520">
        <f t="shared" si="24"/>
        <v>172369</v>
      </c>
      <c r="F520">
        <f t="shared" si="25"/>
        <v>366.48333333333329</v>
      </c>
      <c r="G520">
        <f t="shared" si="26"/>
        <v>0.97081534897899346</v>
      </c>
    </row>
    <row r="521" spans="1:7" x14ac:dyDescent="0.35">
      <c r="A521">
        <v>25</v>
      </c>
      <c r="B521">
        <v>220</v>
      </c>
      <c r="C521">
        <v>17.02</v>
      </c>
      <c r="E521">
        <f t="shared" si="24"/>
        <v>172369</v>
      </c>
      <c r="F521">
        <f t="shared" si="25"/>
        <v>377.59444444444443</v>
      </c>
      <c r="G521">
        <f t="shared" si="26"/>
        <v>0.94115471552017593</v>
      </c>
    </row>
    <row r="522" spans="1:7" x14ac:dyDescent="0.35">
      <c r="A522">
        <v>25</v>
      </c>
      <c r="B522">
        <v>240</v>
      </c>
      <c r="C522">
        <v>17.53</v>
      </c>
      <c r="E522">
        <f t="shared" si="24"/>
        <v>172369</v>
      </c>
      <c r="F522">
        <f t="shared" si="25"/>
        <v>388.70555555555552</v>
      </c>
      <c r="G522">
        <f t="shared" si="26"/>
        <v>0.91377371695113474</v>
      </c>
    </row>
    <row r="523" spans="1:7" x14ac:dyDescent="0.35">
      <c r="A523">
        <v>26</v>
      </c>
      <c r="B523">
        <v>0</v>
      </c>
      <c r="C523">
        <v>10.74</v>
      </c>
      <c r="E523">
        <f t="shared" si="24"/>
        <v>179263.76</v>
      </c>
      <c r="F523">
        <f t="shared" si="25"/>
        <v>255.37222222222221</v>
      </c>
      <c r="G523">
        <f t="shared" si="26"/>
        <v>1.4914760948001295</v>
      </c>
    </row>
    <row r="524" spans="1:7" x14ac:dyDescent="0.35">
      <c r="A524">
        <v>26</v>
      </c>
      <c r="B524">
        <v>10</v>
      </c>
      <c r="C524">
        <v>11.01</v>
      </c>
      <c r="E524">
        <f t="shared" si="24"/>
        <v>179263.76</v>
      </c>
      <c r="F524">
        <f t="shared" si="25"/>
        <v>260.92777777777775</v>
      </c>
      <c r="G524">
        <f t="shared" si="26"/>
        <v>1.4549003867532602</v>
      </c>
    </row>
    <row r="525" spans="1:7" x14ac:dyDescent="0.35">
      <c r="A525">
        <v>26</v>
      </c>
      <c r="B525">
        <v>20</v>
      </c>
      <c r="C525">
        <v>11.28</v>
      </c>
      <c r="E525">
        <f t="shared" si="24"/>
        <v>179263.76</v>
      </c>
      <c r="F525">
        <f t="shared" si="25"/>
        <v>266.48333333333329</v>
      </c>
      <c r="G525">
        <f t="shared" si="26"/>
        <v>1.4200756434533151</v>
      </c>
    </row>
    <row r="526" spans="1:7" x14ac:dyDescent="0.35">
      <c r="A526">
        <v>26</v>
      </c>
      <c r="B526">
        <v>30</v>
      </c>
      <c r="C526">
        <v>11.55</v>
      </c>
      <c r="E526">
        <f t="shared" si="24"/>
        <v>179263.76</v>
      </c>
      <c r="F526">
        <f t="shared" si="25"/>
        <v>272.03888888888889</v>
      </c>
      <c r="G526">
        <f t="shared" si="26"/>
        <v>1.3868790699699907</v>
      </c>
    </row>
    <row r="527" spans="1:7" x14ac:dyDescent="0.35">
      <c r="A527">
        <v>26</v>
      </c>
      <c r="B527">
        <v>40</v>
      </c>
      <c r="C527">
        <v>11.81</v>
      </c>
      <c r="E527">
        <f t="shared" si="24"/>
        <v>179263.76</v>
      </c>
      <c r="F527">
        <f t="shared" si="25"/>
        <v>277.59444444444443</v>
      </c>
      <c r="G527">
        <f t="shared" si="26"/>
        <v>1.356346592561676</v>
      </c>
    </row>
    <row r="528" spans="1:7" x14ac:dyDescent="0.35">
      <c r="A528">
        <v>26</v>
      </c>
      <c r="B528">
        <v>50</v>
      </c>
      <c r="C528">
        <v>12.08</v>
      </c>
      <c r="E528">
        <f t="shared" si="24"/>
        <v>179263.76</v>
      </c>
      <c r="F528">
        <f t="shared" si="25"/>
        <v>283.14999999999998</v>
      </c>
      <c r="G528">
        <f t="shared" si="26"/>
        <v>1.3260308988537577</v>
      </c>
    </row>
    <row r="529" spans="1:7" x14ac:dyDescent="0.35">
      <c r="A529">
        <v>26</v>
      </c>
      <c r="B529">
        <v>60</v>
      </c>
      <c r="C529">
        <v>12.34</v>
      </c>
      <c r="E529">
        <f t="shared" si="24"/>
        <v>179263.76</v>
      </c>
      <c r="F529">
        <f t="shared" si="25"/>
        <v>288.70555555555552</v>
      </c>
      <c r="G529">
        <f t="shared" si="26"/>
        <v>1.2980918361550562</v>
      </c>
    </row>
    <row r="530" spans="1:7" x14ac:dyDescent="0.35">
      <c r="A530">
        <v>26</v>
      </c>
      <c r="B530">
        <v>70</v>
      </c>
      <c r="C530">
        <v>12.59</v>
      </c>
      <c r="E530">
        <f t="shared" si="24"/>
        <v>179263.76</v>
      </c>
      <c r="F530">
        <f t="shared" si="25"/>
        <v>294.26111111111106</v>
      </c>
      <c r="G530">
        <f t="shared" si="26"/>
        <v>1.2723155884156787</v>
      </c>
    </row>
    <row r="531" spans="1:7" x14ac:dyDescent="0.35">
      <c r="A531">
        <v>26</v>
      </c>
      <c r="B531">
        <v>80</v>
      </c>
      <c r="C531">
        <v>12.85</v>
      </c>
      <c r="E531">
        <f t="shared" si="24"/>
        <v>179263.76</v>
      </c>
      <c r="F531">
        <f t="shared" si="25"/>
        <v>299.81666666666666</v>
      </c>
      <c r="G531">
        <f t="shared" si="26"/>
        <v>1.2465722379885911</v>
      </c>
    </row>
    <row r="532" spans="1:7" x14ac:dyDescent="0.35">
      <c r="A532">
        <v>26</v>
      </c>
      <c r="B532">
        <v>90</v>
      </c>
      <c r="C532">
        <v>13.11</v>
      </c>
      <c r="E532">
        <f t="shared" si="24"/>
        <v>179263.76</v>
      </c>
      <c r="F532">
        <f t="shared" si="25"/>
        <v>305.37222222222221</v>
      </c>
      <c r="G532">
        <f t="shared" si="26"/>
        <v>1.221849981552509</v>
      </c>
    </row>
    <row r="533" spans="1:7" x14ac:dyDescent="0.35">
      <c r="A533">
        <v>26</v>
      </c>
      <c r="B533">
        <v>100</v>
      </c>
      <c r="C533">
        <v>13.36</v>
      </c>
      <c r="E533">
        <f t="shared" si="24"/>
        <v>179263.76</v>
      </c>
      <c r="F533">
        <f t="shared" si="25"/>
        <v>310.92777777777775</v>
      </c>
      <c r="G533">
        <f t="shared" si="26"/>
        <v>1.1989860223168709</v>
      </c>
    </row>
    <row r="534" spans="1:7" x14ac:dyDescent="0.35">
      <c r="A534">
        <v>26</v>
      </c>
      <c r="B534">
        <v>110</v>
      </c>
      <c r="C534">
        <v>13.61</v>
      </c>
      <c r="E534">
        <f t="shared" si="24"/>
        <v>179263.76</v>
      </c>
      <c r="F534">
        <f t="shared" si="25"/>
        <v>316.48333333333329</v>
      </c>
      <c r="G534">
        <f t="shared" si="26"/>
        <v>1.1769620321934897</v>
      </c>
    </row>
    <row r="535" spans="1:7" x14ac:dyDescent="0.35">
      <c r="A535">
        <v>26</v>
      </c>
      <c r="B535">
        <v>120</v>
      </c>
      <c r="C535">
        <v>13.87</v>
      </c>
      <c r="E535">
        <f t="shared" si="24"/>
        <v>179263.76</v>
      </c>
      <c r="F535">
        <f t="shared" si="25"/>
        <v>322.03888888888889</v>
      </c>
      <c r="G535">
        <f t="shared" si="26"/>
        <v>1.1548992976318238</v>
      </c>
    </row>
    <row r="536" spans="1:7" x14ac:dyDescent="0.35">
      <c r="A536">
        <v>26</v>
      </c>
      <c r="B536">
        <v>130</v>
      </c>
      <c r="C536">
        <v>14.12</v>
      </c>
      <c r="E536">
        <f t="shared" si="24"/>
        <v>179263.76</v>
      </c>
      <c r="F536">
        <f t="shared" si="25"/>
        <v>327.59444444444443</v>
      </c>
      <c r="G536">
        <f t="shared" si="26"/>
        <v>1.1344513638918834</v>
      </c>
    </row>
    <row r="537" spans="1:7" x14ac:dyDescent="0.35">
      <c r="A537">
        <v>26</v>
      </c>
      <c r="B537">
        <v>140</v>
      </c>
      <c r="C537">
        <v>14.37</v>
      </c>
      <c r="E537">
        <f t="shared" si="24"/>
        <v>179263.76</v>
      </c>
      <c r="F537">
        <f t="shared" si="25"/>
        <v>333.15</v>
      </c>
      <c r="G537">
        <f t="shared" si="26"/>
        <v>1.1147149101011409</v>
      </c>
    </row>
    <row r="538" spans="1:7" x14ac:dyDescent="0.35">
      <c r="A538">
        <v>26</v>
      </c>
      <c r="B538">
        <v>150</v>
      </c>
      <c r="C538">
        <v>14.62</v>
      </c>
      <c r="E538">
        <f t="shared" si="24"/>
        <v>179263.76</v>
      </c>
      <c r="F538">
        <f t="shared" si="25"/>
        <v>338.70555555555552</v>
      </c>
      <c r="G538">
        <f t="shared" si="26"/>
        <v>1.0956534376301912</v>
      </c>
    </row>
    <row r="539" spans="1:7" x14ac:dyDescent="0.35">
      <c r="A539">
        <v>26</v>
      </c>
      <c r="B539">
        <v>160</v>
      </c>
      <c r="C539">
        <v>14.87</v>
      </c>
      <c r="E539">
        <f t="shared" si="24"/>
        <v>179263.76</v>
      </c>
      <c r="F539">
        <f t="shared" si="25"/>
        <v>344.26111111111106</v>
      </c>
      <c r="G539">
        <f t="shared" si="26"/>
        <v>1.0772329023640479</v>
      </c>
    </row>
    <row r="540" spans="1:7" x14ac:dyDescent="0.35">
      <c r="A540">
        <v>26</v>
      </c>
      <c r="B540">
        <v>170</v>
      </c>
      <c r="C540">
        <v>15.12</v>
      </c>
      <c r="E540">
        <f t="shared" si="24"/>
        <v>179263.76</v>
      </c>
      <c r="F540">
        <f t="shared" si="25"/>
        <v>349.81666666666666</v>
      </c>
      <c r="G540">
        <f t="shared" si="26"/>
        <v>1.059421511782632</v>
      </c>
    </row>
    <row r="541" spans="1:7" x14ac:dyDescent="0.35">
      <c r="A541">
        <v>26</v>
      </c>
      <c r="B541">
        <v>180</v>
      </c>
      <c r="C541">
        <v>15.37</v>
      </c>
      <c r="E541">
        <f t="shared" si="24"/>
        <v>179263.76</v>
      </c>
      <c r="F541">
        <f t="shared" si="25"/>
        <v>355.37222222222221</v>
      </c>
      <c r="G541">
        <f t="shared" si="26"/>
        <v>1.0421895418447231</v>
      </c>
    </row>
    <row r="542" spans="1:7" x14ac:dyDescent="0.35">
      <c r="A542">
        <v>26</v>
      </c>
      <c r="B542">
        <v>190</v>
      </c>
      <c r="C542">
        <v>15.62</v>
      </c>
      <c r="E542">
        <f t="shared" si="24"/>
        <v>179263.76</v>
      </c>
      <c r="F542">
        <f t="shared" si="25"/>
        <v>360.92777777777775</v>
      </c>
      <c r="G542">
        <f t="shared" si="26"/>
        <v>1.0255091714566833</v>
      </c>
    </row>
    <row r="543" spans="1:7" x14ac:dyDescent="0.35">
      <c r="A543">
        <v>26</v>
      </c>
      <c r="B543">
        <v>200</v>
      </c>
      <c r="C543">
        <v>15.83</v>
      </c>
      <c r="E543">
        <f t="shared" si="24"/>
        <v>179263.76</v>
      </c>
      <c r="F543">
        <f t="shared" si="25"/>
        <v>366.48333333333329</v>
      </c>
      <c r="G543">
        <f t="shared" si="26"/>
        <v>1.0119048173185972</v>
      </c>
    </row>
    <row r="544" spans="1:7" x14ac:dyDescent="0.35">
      <c r="A544">
        <v>26</v>
      </c>
      <c r="B544">
        <v>220</v>
      </c>
      <c r="C544">
        <v>16.36</v>
      </c>
      <c r="E544">
        <f t="shared" si="24"/>
        <v>179263.76</v>
      </c>
      <c r="F544">
        <f t="shared" si="25"/>
        <v>377.59444444444443</v>
      </c>
      <c r="G544">
        <f t="shared" si="26"/>
        <v>0.97912305978932712</v>
      </c>
    </row>
    <row r="545" spans="1:7" x14ac:dyDescent="0.35">
      <c r="A545">
        <v>26</v>
      </c>
      <c r="B545">
        <v>240</v>
      </c>
      <c r="C545">
        <v>16.850000000000001</v>
      </c>
      <c r="E545">
        <f t="shared" si="24"/>
        <v>179263.76</v>
      </c>
      <c r="F545">
        <f t="shared" si="25"/>
        <v>388.70555555555552</v>
      </c>
      <c r="G545">
        <f t="shared" si="26"/>
        <v>0.95065004499426653</v>
      </c>
    </row>
    <row r="546" spans="1:7" x14ac:dyDescent="0.35">
      <c r="A546">
        <v>26</v>
      </c>
      <c r="B546">
        <v>260</v>
      </c>
      <c r="C546">
        <v>17.350000000000001</v>
      </c>
      <c r="E546">
        <f t="shared" si="24"/>
        <v>179263.76</v>
      </c>
      <c r="F546">
        <f t="shared" si="25"/>
        <v>399.81666666666666</v>
      </c>
      <c r="G546">
        <f t="shared" si="26"/>
        <v>0.92325379009529629</v>
      </c>
    </row>
    <row r="547" spans="1:7" x14ac:dyDescent="0.35">
      <c r="A547">
        <v>27</v>
      </c>
      <c r="B547">
        <v>0</v>
      </c>
      <c r="C547">
        <v>10.33</v>
      </c>
      <c r="E547">
        <f t="shared" si="24"/>
        <v>186158.52000000002</v>
      </c>
      <c r="F547">
        <f t="shared" si="25"/>
        <v>255.37222222222221</v>
      </c>
      <c r="G547">
        <f t="shared" si="26"/>
        <v>1.5506731130835811</v>
      </c>
    </row>
    <row r="548" spans="1:7" x14ac:dyDescent="0.35">
      <c r="A548">
        <v>27</v>
      </c>
      <c r="B548">
        <v>10</v>
      </c>
      <c r="C548">
        <v>10.59</v>
      </c>
      <c r="E548">
        <f t="shared" si="24"/>
        <v>186158.52000000002</v>
      </c>
      <c r="F548">
        <f t="shared" si="25"/>
        <v>260.92777777777775</v>
      </c>
      <c r="G548">
        <f t="shared" si="26"/>
        <v>1.5126018185225112</v>
      </c>
    </row>
    <row r="549" spans="1:7" x14ac:dyDescent="0.35">
      <c r="A549">
        <v>27</v>
      </c>
      <c r="B549">
        <v>20</v>
      </c>
      <c r="C549">
        <v>10.85</v>
      </c>
      <c r="E549">
        <f t="shared" si="24"/>
        <v>186158.52000000002</v>
      </c>
      <c r="F549">
        <f t="shared" si="25"/>
        <v>266.48333333333329</v>
      </c>
      <c r="G549">
        <f t="shared" si="26"/>
        <v>1.4763551390003129</v>
      </c>
    </row>
    <row r="550" spans="1:7" x14ac:dyDescent="0.35">
      <c r="A550">
        <v>27</v>
      </c>
      <c r="B550">
        <v>30</v>
      </c>
      <c r="C550">
        <v>11.11</v>
      </c>
      <c r="E550">
        <f t="shared" si="24"/>
        <v>186158.52000000002</v>
      </c>
      <c r="F550">
        <f t="shared" si="25"/>
        <v>272.03888888888889</v>
      </c>
      <c r="G550">
        <f t="shared" si="26"/>
        <v>1.4418049737311787</v>
      </c>
    </row>
    <row r="551" spans="1:7" x14ac:dyDescent="0.35">
      <c r="A551">
        <v>27</v>
      </c>
      <c r="B551">
        <v>40</v>
      </c>
      <c r="C551">
        <v>11.37</v>
      </c>
      <c r="E551">
        <f t="shared" si="24"/>
        <v>186158.52000000002</v>
      </c>
      <c r="F551">
        <f t="shared" si="25"/>
        <v>277.59444444444443</v>
      </c>
      <c r="G551">
        <f t="shared" si="26"/>
        <v>1.4088349391515738</v>
      </c>
    </row>
    <row r="552" spans="1:7" x14ac:dyDescent="0.35">
      <c r="A552">
        <v>27</v>
      </c>
      <c r="B552">
        <v>50</v>
      </c>
      <c r="C552">
        <v>11.62</v>
      </c>
      <c r="E552">
        <f t="shared" si="24"/>
        <v>186158.52000000002</v>
      </c>
      <c r="F552">
        <f t="shared" si="25"/>
        <v>283.14999999999998</v>
      </c>
      <c r="G552">
        <f t="shared" si="26"/>
        <v>1.3785243767774007</v>
      </c>
    </row>
    <row r="553" spans="1:7" x14ac:dyDescent="0.35">
      <c r="A553">
        <v>27</v>
      </c>
      <c r="B553">
        <v>60</v>
      </c>
      <c r="C553">
        <v>11.87</v>
      </c>
      <c r="E553">
        <f t="shared" si="24"/>
        <v>186158.52000000002</v>
      </c>
      <c r="F553">
        <f t="shared" si="25"/>
        <v>288.70555555555552</v>
      </c>
      <c r="G553">
        <f t="shared" si="26"/>
        <v>1.3494905861965791</v>
      </c>
    </row>
    <row r="554" spans="1:7" x14ac:dyDescent="0.35">
      <c r="A554">
        <v>27</v>
      </c>
      <c r="B554">
        <v>70</v>
      </c>
      <c r="C554">
        <v>12.12</v>
      </c>
      <c r="E554">
        <f t="shared" si="24"/>
        <v>186158.52000000002</v>
      </c>
      <c r="F554">
        <f t="shared" si="25"/>
        <v>294.26111111111106</v>
      </c>
      <c r="G554">
        <f t="shared" si="26"/>
        <v>1.3216545592535802</v>
      </c>
    </row>
    <row r="555" spans="1:7" x14ac:dyDescent="0.35">
      <c r="A555">
        <v>27</v>
      </c>
      <c r="B555">
        <v>80</v>
      </c>
      <c r="C555">
        <v>12.37</v>
      </c>
      <c r="E555">
        <f t="shared" si="24"/>
        <v>186158.52000000002</v>
      </c>
      <c r="F555">
        <f t="shared" si="25"/>
        <v>299.81666666666666</v>
      </c>
      <c r="G555">
        <f t="shared" si="26"/>
        <v>1.2949436748709293</v>
      </c>
    </row>
    <row r="556" spans="1:7" x14ac:dyDescent="0.35">
      <c r="A556">
        <v>27</v>
      </c>
      <c r="B556">
        <v>90</v>
      </c>
      <c r="C556">
        <v>12.61</v>
      </c>
      <c r="E556">
        <f t="shared" si="24"/>
        <v>186158.52000000002</v>
      </c>
      <c r="F556">
        <f t="shared" si="25"/>
        <v>305.37222222222221</v>
      </c>
      <c r="G556">
        <f t="shared" si="26"/>
        <v>1.2702976414078821</v>
      </c>
    </row>
    <row r="557" spans="1:7" x14ac:dyDescent="0.35">
      <c r="A557">
        <v>27</v>
      </c>
      <c r="B557">
        <v>100</v>
      </c>
      <c r="C557">
        <v>12.86</v>
      </c>
      <c r="E557">
        <f t="shared" si="24"/>
        <v>186158.52000000002</v>
      </c>
      <c r="F557">
        <f t="shared" si="25"/>
        <v>310.92777777777775</v>
      </c>
      <c r="G557">
        <f t="shared" si="26"/>
        <v>1.2456028972125501</v>
      </c>
    </row>
    <row r="558" spans="1:7" x14ac:dyDescent="0.35">
      <c r="A558">
        <v>27</v>
      </c>
      <c r="B558">
        <v>110</v>
      </c>
      <c r="C558">
        <v>13.1</v>
      </c>
      <c r="E558">
        <f t="shared" si="24"/>
        <v>186158.52000000002</v>
      </c>
      <c r="F558">
        <f t="shared" si="25"/>
        <v>316.48333333333329</v>
      </c>
      <c r="G558">
        <f t="shared" si="26"/>
        <v>1.2227826914620912</v>
      </c>
    </row>
    <row r="559" spans="1:7" x14ac:dyDescent="0.35">
      <c r="A559">
        <v>27</v>
      </c>
      <c r="B559">
        <v>120</v>
      </c>
      <c r="C559">
        <v>13.34</v>
      </c>
      <c r="E559">
        <f t="shared" si="24"/>
        <v>186158.52000000002</v>
      </c>
      <c r="F559">
        <f t="shared" si="25"/>
        <v>322.03888888888889</v>
      </c>
      <c r="G559">
        <f t="shared" si="26"/>
        <v>1.2007836025602243</v>
      </c>
    </row>
    <row r="560" spans="1:7" x14ac:dyDescent="0.35">
      <c r="A560">
        <v>27</v>
      </c>
      <c r="B560">
        <v>130</v>
      </c>
      <c r="C560">
        <v>13.59</v>
      </c>
      <c r="E560">
        <f t="shared" si="24"/>
        <v>186158.52000000002</v>
      </c>
      <c r="F560">
        <f t="shared" si="25"/>
        <v>327.59444444444443</v>
      </c>
      <c r="G560">
        <f t="shared" si="26"/>
        <v>1.1786941323144513</v>
      </c>
    </row>
    <row r="561" spans="1:7" x14ac:dyDescent="0.35">
      <c r="A561">
        <v>27</v>
      </c>
      <c r="B561">
        <v>140</v>
      </c>
      <c r="C561">
        <v>13.83</v>
      </c>
      <c r="E561">
        <f t="shared" si="24"/>
        <v>186158.52000000002</v>
      </c>
      <c r="F561">
        <f t="shared" si="25"/>
        <v>333.15</v>
      </c>
      <c r="G561">
        <f t="shared" si="26"/>
        <v>1.1582395703653936</v>
      </c>
    </row>
    <row r="562" spans="1:7" x14ac:dyDescent="0.35">
      <c r="A562">
        <v>27</v>
      </c>
      <c r="B562">
        <v>150</v>
      </c>
      <c r="C562">
        <v>14.07</v>
      </c>
      <c r="E562">
        <f t="shared" si="24"/>
        <v>186158.52000000002</v>
      </c>
      <c r="F562">
        <f t="shared" si="25"/>
        <v>338.70555555555552</v>
      </c>
      <c r="G562">
        <f t="shared" si="26"/>
        <v>1.1384828186320819</v>
      </c>
    </row>
    <row r="563" spans="1:7" x14ac:dyDescent="0.35">
      <c r="A563">
        <v>27</v>
      </c>
      <c r="B563">
        <v>160</v>
      </c>
      <c r="C563">
        <v>14.31</v>
      </c>
      <c r="E563">
        <f t="shared" si="24"/>
        <v>186158.52000000002</v>
      </c>
      <c r="F563">
        <f t="shared" si="25"/>
        <v>344.26111111111106</v>
      </c>
      <c r="G563">
        <f t="shared" si="26"/>
        <v>1.1193887671665543</v>
      </c>
    </row>
    <row r="564" spans="1:7" x14ac:dyDescent="0.35">
      <c r="A564">
        <v>27</v>
      </c>
      <c r="B564">
        <v>170</v>
      </c>
      <c r="C564">
        <v>14.55</v>
      </c>
      <c r="E564">
        <f t="shared" si="24"/>
        <v>186158.52000000002</v>
      </c>
      <c r="F564">
        <f t="shared" si="25"/>
        <v>349.81666666666666</v>
      </c>
      <c r="G564">
        <f t="shared" si="26"/>
        <v>1.1009246225534979</v>
      </c>
    </row>
    <row r="565" spans="1:7" x14ac:dyDescent="0.35">
      <c r="A565">
        <v>27</v>
      </c>
      <c r="B565">
        <v>180</v>
      </c>
      <c r="C565">
        <v>14.79</v>
      </c>
      <c r="E565">
        <f t="shared" si="24"/>
        <v>186158.52000000002</v>
      </c>
      <c r="F565">
        <f t="shared" si="25"/>
        <v>355.37222222222221</v>
      </c>
      <c r="G565">
        <f t="shared" si="26"/>
        <v>1.0830597199562808</v>
      </c>
    </row>
    <row r="566" spans="1:7" x14ac:dyDescent="0.35">
      <c r="A566">
        <v>27</v>
      </c>
      <c r="B566">
        <v>190</v>
      </c>
      <c r="C566">
        <v>15.03</v>
      </c>
      <c r="E566">
        <f t="shared" si="24"/>
        <v>186158.52000000002</v>
      </c>
      <c r="F566">
        <f t="shared" si="25"/>
        <v>360.92777777777775</v>
      </c>
      <c r="G566">
        <f t="shared" si="26"/>
        <v>1.0657653531705518</v>
      </c>
    </row>
    <row r="567" spans="1:7" x14ac:dyDescent="0.35">
      <c r="A567">
        <v>27</v>
      </c>
      <c r="B567">
        <v>200</v>
      </c>
      <c r="C567">
        <v>15.27</v>
      </c>
      <c r="E567">
        <f t="shared" si="24"/>
        <v>186158.52000000002</v>
      </c>
      <c r="F567">
        <f t="shared" si="25"/>
        <v>366.48333333333329</v>
      </c>
      <c r="G567">
        <f t="shared" si="26"/>
        <v>1.049014620704217</v>
      </c>
    </row>
    <row r="568" spans="1:7" x14ac:dyDescent="0.35">
      <c r="A568">
        <v>27</v>
      </c>
      <c r="B568">
        <v>220</v>
      </c>
      <c r="C568">
        <v>15.75</v>
      </c>
      <c r="E568">
        <f t="shared" si="24"/>
        <v>186158.52000000002</v>
      </c>
      <c r="F568">
        <f t="shared" si="25"/>
        <v>377.59444444444443</v>
      </c>
      <c r="G568">
        <f t="shared" si="26"/>
        <v>1.0170446513113267</v>
      </c>
    </row>
    <row r="569" spans="1:7" x14ac:dyDescent="0.35">
      <c r="A569">
        <v>27</v>
      </c>
      <c r="B569">
        <v>240</v>
      </c>
      <c r="C569">
        <v>16.23</v>
      </c>
      <c r="E569">
        <f t="shared" si="24"/>
        <v>186158.52000000002</v>
      </c>
      <c r="F569">
        <f t="shared" si="25"/>
        <v>388.70555555555552</v>
      </c>
      <c r="G569">
        <f t="shared" si="26"/>
        <v>0.98696569674389356</v>
      </c>
    </row>
    <row r="570" spans="1:7" x14ac:dyDescent="0.35">
      <c r="A570">
        <v>27</v>
      </c>
      <c r="B570">
        <v>260</v>
      </c>
      <c r="C570">
        <v>16.7</v>
      </c>
      <c r="E570">
        <f t="shared" si="24"/>
        <v>186158.52000000002</v>
      </c>
      <c r="F570">
        <f t="shared" si="25"/>
        <v>399.81666666666666</v>
      </c>
      <c r="G570">
        <f t="shared" si="26"/>
        <v>0.95918881785349652</v>
      </c>
    </row>
    <row r="571" spans="1:7" x14ac:dyDescent="0.35">
      <c r="A571">
        <v>28</v>
      </c>
      <c r="B571">
        <v>0</v>
      </c>
      <c r="C571">
        <v>9.9420000000000002</v>
      </c>
      <c r="E571">
        <f t="shared" si="24"/>
        <v>193053.28</v>
      </c>
      <c r="F571">
        <f t="shared" si="25"/>
        <v>255.37222222222221</v>
      </c>
      <c r="G571">
        <f t="shared" si="26"/>
        <v>1.6111902291443767</v>
      </c>
    </row>
    <row r="572" spans="1:7" x14ac:dyDescent="0.35">
      <c r="A572">
        <v>28</v>
      </c>
      <c r="B572">
        <v>10</v>
      </c>
      <c r="C572">
        <v>10.199999999999999</v>
      </c>
      <c r="E572">
        <f t="shared" si="24"/>
        <v>193053.28</v>
      </c>
      <c r="F572">
        <f t="shared" si="25"/>
        <v>260.92777777777775</v>
      </c>
      <c r="G572">
        <f t="shared" si="26"/>
        <v>1.5704365939366074</v>
      </c>
    </row>
    <row r="573" spans="1:7" x14ac:dyDescent="0.35">
      <c r="A573">
        <v>28</v>
      </c>
      <c r="B573">
        <v>20</v>
      </c>
      <c r="C573">
        <v>10.45</v>
      </c>
      <c r="E573">
        <f t="shared" si="24"/>
        <v>193053.28</v>
      </c>
      <c r="F573">
        <f t="shared" si="25"/>
        <v>266.48333333333329</v>
      </c>
      <c r="G573">
        <f t="shared" si="26"/>
        <v>1.5328663404931477</v>
      </c>
    </row>
    <row r="574" spans="1:7" x14ac:dyDescent="0.35">
      <c r="A574">
        <v>28</v>
      </c>
      <c r="B574">
        <v>30</v>
      </c>
      <c r="C574">
        <v>10.7</v>
      </c>
      <c r="E574">
        <f t="shared" si="24"/>
        <v>193053.28</v>
      </c>
      <c r="F574">
        <f t="shared" si="25"/>
        <v>272.03888888888889</v>
      </c>
      <c r="G574">
        <f t="shared" si="26"/>
        <v>1.4970517063694762</v>
      </c>
    </row>
    <row r="575" spans="1:7" x14ac:dyDescent="0.35">
      <c r="A575">
        <v>28</v>
      </c>
      <c r="B575">
        <v>40</v>
      </c>
      <c r="C575">
        <v>10.95</v>
      </c>
      <c r="E575">
        <f t="shared" si="24"/>
        <v>193053.28</v>
      </c>
      <c r="F575">
        <f t="shared" si="25"/>
        <v>277.59444444444443</v>
      </c>
      <c r="G575">
        <f t="shared" si="26"/>
        <v>1.4628724436669767</v>
      </c>
    </row>
    <row r="576" spans="1:7" x14ac:dyDescent="0.35">
      <c r="A576">
        <v>28</v>
      </c>
      <c r="B576">
        <v>50</v>
      </c>
      <c r="C576">
        <v>11.19</v>
      </c>
      <c r="E576">
        <f t="shared" si="24"/>
        <v>193053.28</v>
      </c>
      <c r="F576">
        <f t="shared" si="25"/>
        <v>283.14999999999998</v>
      </c>
      <c r="G576">
        <f t="shared" si="26"/>
        <v>1.4314971633738511</v>
      </c>
    </row>
    <row r="577" spans="1:7" x14ac:dyDescent="0.35">
      <c r="A577">
        <v>28</v>
      </c>
      <c r="B577">
        <v>60</v>
      </c>
      <c r="C577">
        <v>11.44</v>
      </c>
      <c r="E577">
        <f t="shared" si="24"/>
        <v>193053.28</v>
      </c>
      <c r="F577">
        <f t="shared" si="25"/>
        <v>288.70555555555552</v>
      </c>
      <c r="G577">
        <f t="shared" si="26"/>
        <v>1.4002144456427792</v>
      </c>
    </row>
    <row r="578" spans="1:7" x14ac:dyDescent="0.35">
      <c r="A578">
        <v>28</v>
      </c>
      <c r="B578">
        <v>70</v>
      </c>
      <c r="C578">
        <v>11.68</v>
      </c>
      <c r="E578">
        <f t="shared" ref="E578:E641" si="27">A578*6894.76</f>
        <v>193053.28</v>
      </c>
      <c r="F578">
        <f t="shared" si="25"/>
        <v>294.26111111111106</v>
      </c>
      <c r="G578">
        <f t="shared" si="26"/>
        <v>1.3714429159377906</v>
      </c>
    </row>
    <row r="579" spans="1:7" x14ac:dyDescent="0.35">
      <c r="A579">
        <v>28</v>
      </c>
      <c r="B579">
        <v>80</v>
      </c>
      <c r="C579">
        <v>11.92</v>
      </c>
      <c r="E579">
        <f t="shared" si="27"/>
        <v>193053.28</v>
      </c>
      <c r="F579">
        <f t="shared" ref="F579:F642" si="28">(B579-32)*5/9+273.15</f>
        <v>299.81666666666666</v>
      </c>
      <c r="G579">
        <f t="shared" ref="G579:G642" si="29">1/(C579*0.062428)</f>
        <v>1.3438299713215933</v>
      </c>
    </row>
    <row r="580" spans="1:7" x14ac:dyDescent="0.35">
      <c r="A580">
        <v>28</v>
      </c>
      <c r="B580">
        <v>90</v>
      </c>
      <c r="C580">
        <v>12.15</v>
      </c>
      <c r="E580">
        <f t="shared" si="27"/>
        <v>193053.28</v>
      </c>
      <c r="F580">
        <f t="shared" si="28"/>
        <v>305.37222222222221</v>
      </c>
      <c r="G580">
        <f t="shared" si="29"/>
        <v>1.3183912146628307</v>
      </c>
    </row>
    <row r="581" spans="1:7" x14ac:dyDescent="0.35">
      <c r="A581">
        <v>28</v>
      </c>
      <c r="B581">
        <v>100</v>
      </c>
      <c r="C581">
        <v>12.39</v>
      </c>
      <c r="E581">
        <f t="shared" si="27"/>
        <v>193053.28</v>
      </c>
      <c r="F581">
        <f t="shared" si="28"/>
        <v>310.92777777777775</v>
      </c>
      <c r="G581">
        <f t="shared" si="29"/>
        <v>1.2928533703110083</v>
      </c>
    </row>
    <row r="582" spans="1:7" x14ac:dyDescent="0.35">
      <c r="A582">
        <v>28</v>
      </c>
      <c r="B582">
        <v>110</v>
      </c>
      <c r="C582">
        <v>12.63</v>
      </c>
      <c r="E582">
        <f t="shared" si="27"/>
        <v>193053.28</v>
      </c>
      <c r="F582">
        <f t="shared" si="28"/>
        <v>316.48333333333329</v>
      </c>
      <c r="G582">
        <f t="shared" si="29"/>
        <v>1.2682860853644808</v>
      </c>
    </row>
    <row r="583" spans="1:7" x14ac:dyDescent="0.35">
      <c r="A583">
        <v>28</v>
      </c>
      <c r="B583">
        <v>120</v>
      </c>
      <c r="C583">
        <v>12.86</v>
      </c>
      <c r="E583">
        <f t="shared" si="27"/>
        <v>193053.28</v>
      </c>
      <c r="F583">
        <f t="shared" si="28"/>
        <v>322.03888888888889</v>
      </c>
      <c r="G583">
        <f t="shared" si="29"/>
        <v>1.2456028972125501</v>
      </c>
    </row>
    <row r="584" spans="1:7" x14ac:dyDescent="0.35">
      <c r="A584">
        <v>28</v>
      </c>
      <c r="B584">
        <v>130</v>
      </c>
      <c r="C584">
        <v>13.1</v>
      </c>
      <c r="E584">
        <f t="shared" si="27"/>
        <v>193053.28</v>
      </c>
      <c r="F584">
        <f t="shared" si="28"/>
        <v>327.59444444444443</v>
      </c>
      <c r="G584">
        <f t="shared" si="29"/>
        <v>1.2227826914620912</v>
      </c>
    </row>
    <row r="585" spans="1:7" x14ac:dyDescent="0.35">
      <c r="A585">
        <v>28</v>
      </c>
      <c r="B585">
        <v>140</v>
      </c>
      <c r="C585">
        <v>13.33</v>
      </c>
      <c r="E585">
        <f t="shared" si="27"/>
        <v>193053.28</v>
      </c>
      <c r="F585">
        <f t="shared" si="28"/>
        <v>333.15</v>
      </c>
      <c r="G585">
        <f t="shared" si="29"/>
        <v>1.201684415465371</v>
      </c>
    </row>
    <row r="586" spans="1:7" x14ac:dyDescent="0.35">
      <c r="A586">
        <v>28</v>
      </c>
      <c r="B586">
        <v>150</v>
      </c>
      <c r="C586">
        <v>13.56</v>
      </c>
      <c r="E586">
        <f t="shared" si="27"/>
        <v>193053.28</v>
      </c>
      <c r="F586">
        <f t="shared" si="28"/>
        <v>338.70555555555552</v>
      </c>
      <c r="G586">
        <f t="shared" si="29"/>
        <v>1.1813018626956779</v>
      </c>
    </row>
    <row r="587" spans="1:7" x14ac:dyDescent="0.35">
      <c r="A587">
        <v>28</v>
      </c>
      <c r="B587">
        <v>160</v>
      </c>
      <c r="C587">
        <v>13.8</v>
      </c>
      <c r="E587">
        <f t="shared" si="27"/>
        <v>193053.28</v>
      </c>
      <c r="F587">
        <f t="shared" si="28"/>
        <v>344.26111111111106</v>
      </c>
      <c r="G587">
        <f t="shared" si="29"/>
        <v>1.1607574824748834</v>
      </c>
    </row>
    <row r="588" spans="1:7" x14ac:dyDescent="0.35">
      <c r="A588">
        <v>28</v>
      </c>
      <c r="B588">
        <v>170</v>
      </c>
      <c r="C588">
        <v>14.03</v>
      </c>
      <c r="E588">
        <f t="shared" si="27"/>
        <v>193053.28</v>
      </c>
      <c r="F588">
        <f t="shared" si="28"/>
        <v>349.81666666666666</v>
      </c>
      <c r="G588">
        <f t="shared" si="29"/>
        <v>1.1417286712867707</v>
      </c>
    </row>
    <row r="589" spans="1:7" x14ac:dyDescent="0.35">
      <c r="A589">
        <v>28</v>
      </c>
      <c r="B589">
        <v>180</v>
      </c>
      <c r="C589">
        <v>14.26</v>
      </c>
      <c r="E589">
        <f t="shared" si="27"/>
        <v>193053.28</v>
      </c>
      <c r="F589">
        <f t="shared" si="28"/>
        <v>355.37222222222221</v>
      </c>
      <c r="G589">
        <f t="shared" si="29"/>
        <v>1.1233136927176293</v>
      </c>
    </row>
    <row r="590" spans="1:7" x14ac:dyDescent="0.35">
      <c r="A590">
        <v>28</v>
      </c>
      <c r="B590">
        <v>190</v>
      </c>
      <c r="C590">
        <v>14.49</v>
      </c>
      <c r="E590">
        <f t="shared" si="27"/>
        <v>193053.28</v>
      </c>
      <c r="F590">
        <f t="shared" si="28"/>
        <v>360.92777777777775</v>
      </c>
      <c r="G590">
        <f t="shared" si="29"/>
        <v>1.1054833166427462</v>
      </c>
    </row>
    <row r="591" spans="1:7" x14ac:dyDescent="0.35">
      <c r="A591">
        <v>28</v>
      </c>
      <c r="B591">
        <v>200</v>
      </c>
      <c r="C591">
        <v>14.72</v>
      </c>
      <c r="E591">
        <f t="shared" si="27"/>
        <v>193053.28</v>
      </c>
      <c r="F591">
        <f t="shared" si="28"/>
        <v>366.48333333333329</v>
      </c>
      <c r="G591">
        <f t="shared" si="29"/>
        <v>1.0882101398202033</v>
      </c>
    </row>
    <row r="592" spans="1:7" x14ac:dyDescent="0.35">
      <c r="A592">
        <v>28</v>
      </c>
      <c r="B592">
        <v>220</v>
      </c>
      <c r="C592">
        <v>15.18</v>
      </c>
      <c r="E592">
        <f t="shared" si="27"/>
        <v>193053.28</v>
      </c>
      <c r="F592">
        <f t="shared" si="28"/>
        <v>377.59444444444443</v>
      </c>
      <c r="G592">
        <f t="shared" si="29"/>
        <v>1.0552340749771669</v>
      </c>
    </row>
    <row r="593" spans="1:7" x14ac:dyDescent="0.35">
      <c r="A593">
        <v>28</v>
      </c>
      <c r="B593">
        <v>240</v>
      </c>
      <c r="C593">
        <v>15.64</v>
      </c>
      <c r="E593">
        <f t="shared" si="27"/>
        <v>193053.28</v>
      </c>
      <c r="F593">
        <f t="shared" si="28"/>
        <v>388.70555555555552</v>
      </c>
      <c r="G593">
        <f t="shared" si="29"/>
        <v>1.0241977786543091</v>
      </c>
    </row>
    <row r="594" spans="1:7" x14ac:dyDescent="0.35">
      <c r="A594">
        <v>28</v>
      </c>
      <c r="B594">
        <v>260</v>
      </c>
      <c r="C594">
        <v>16.100000000000001</v>
      </c>
      <c r="E594">
        <f t="shared" si="27"/>
        <v>193053.28</v>
      </c>
      <c r="F594">
        <f t="shared" si="28"/>
        <v>399.81666666666666</v>
      </c>
      <c r="G594">
        <f t="shared" si="29"/>
        <v>0.99493498497847155</v>
      </c>
    </row>
    <row r="595" spans="1:7" x14ac:dyDescent="0.35">
      <c r="A595">
        <v>29</v>
      </c>
      <c r="B595">
        <v>0</v>
      </c>
      <c r="C595">
        <v>9.5839999999999996</v>
      </c>
      <c r="E595">
        <f t="shared" si="27"/>
        <v>199948.04</v>
      </c>
      <c r="F595">
        <f t="shared" si="28"/>
        <v>255.37222222222221</v>
      </c>
      <c r="G595">
        <f t="shared" si="29"/>
        <v>1.6713745052330338</v>
      </c>
    </row>
    <row r="596" spans="1:7" x14ac:dyDescent="0.35">
      <c r="A596">
        <v>29</v>
      </c>
      <c r="B596">
        <v>10</v>
      </c>
      <c r="C596">
        <v>9.8339999999999996</v>
      </c>
      <c r="E596">
        <f t="shared" si="27"/>
        <v>199948.04</v>
      </c>
      <c r="F596">
        <f t="shared" si="28"/>
        <v>260.92777777777775</v>
      </c>
      <c r="G596">
        <f t="shared" si="29"/>
        <v>1.6288848137231435</v>
      </c>
    </row>
    <row r="597" spans="1:7" x14ac:dyDescent="0.35">
      <c r="A597">
        <v>29</v>
      </c>
      <c r="B597">
        <v>20</v>
      </c>
      <c r="C597">
        <v>10.08</v>
      </c>
      <c r="E597">
        <f t="shared" si="27"/>
        <v>199948.04</v>
      </c>
      <c r="F597">
        <f t="shared" si="28"/>
        <v>266.48333333333329</v>
      </c>
      <c r="G597">
        <f t="shared" si="29"/>
        <v>1.5891322676739477</v>
      </c>
    </row>
    <row r="598" spans="1:7" x14ac:dyDescent="0.35">
      <c r="A598">
        <v>29</v>
      </c>
      <c r="B598">
        <v>30</v>
      </c>
      <c r="C598">
        <v>10.32</v>
      </c>
      <c r="E598">
        <f t="shared" si="27"/>
        <v>199948.04</v>
      </c>
      <c r="F598">
        <f t="shared" si="28"/>
        <v>272.03888888888889</v>
      </c>
      <c r="G598">
        <f t="shared" si="29"/>
        <v>1.5521757033094372</v>
      </c>
    </row>
    <row r="599" spans="1:7" x14ac:dyDescent="0.35">
      <c r="A599">
        <v>29</v>
      </c>
      <c r="B599">
        <v>40</v>
      </c>
      <c r="C599">
        <v>10.56</v>
      </c>
      <c r="E599">
        <f t="shared" si="27"/>
        <v>199948.04</v>
      </c>
      <c r="F599">
        <f t="shared" si="28"/>
        <v>277.59444444444443</v>
      </c>
      <c r="G599">
        <f t="shared" si="29"/>
        <v>1.5168989827796773</v>
      </c>
    </row>
    <row r="600" spans="1:7" x14ac:dyDescent="0.35">
      <c r="A600">
        <v>29</v>
      </c>
      <c r="B600">
        <v>50</v>
      </c>
      <c r="C600">
        <v>10.8</v>
      </c>
      <c r="E600">
        <f t="shared" si="27"/>
        <v>199948.04</v>
      </c>
      <c r="F600">
        <f t="shared" si="28"/>
        <v>283.14999999999998</v>
      </c>
      <c r="G600">
        <f t="shared" si="29"/>
        <v>1.4831901164956844</v>
      </c>
    </row>
    <row r="601" spans="1:7" x14ac:dyDescent="0.35">
      <c r="A601">
        <v>29</v>
      </c>
      <c r="B601">
        <v>60</v>
      </c>
      <c r="C601">
        <v>11.03</v>
      </c>
      <c r="E601">
        <f t="shared" si="27"/>
        <v>199948.04</v>
      </c>
      <c r="F601">
        <f t="shared" si="28"/>
        <v>288.70555555555552</v>
      </c>
      <c r="G601">
        <f t="shared" si="29"/>
        <v>1.4522623080828099</v>
      </c>
    </row>
    <row r="602" spans="1:7" x14ac:dyDescent="0.35">
      <c r="A602">
        <v>29</v>
      </c>
      <c r="B602">
        <v>70</v>
      </c>
      <c r="C602">
        <v>11.26</v>
      </c>
      <c r="E602">
        <f t="shared" si="27"/>
        <v>199948.04</v>
      </c>
      <c r="F602">
        <f t="shared" si="28"/>
        <v>294.26111111111106</v>
      </c>
      <c r="G602">
        <f t="shared" si="29"/>
        <v>1.4225979802978148</v>
      </c>
    </row>
    <row r="603" spans="1:7" x14ac:dyDescent="0.35">
      <c r="A603">
        <v>29</v>
      </c>
      <c r="B603">
        <v>80</v>
      </c>
      <c r="C603">
        <v>11.5</v>
      </c>
      <c r="E603">
        <f t="shared" si="27"/>
        <v>199948.04</v>
      </c>
      <c r="F603">
        <f t="shared" si="28"/>
        <v>299.81666666666666</v>
      </c>
      <c r="G603">
        <f t="shared" si="29"/>
        <v>1.3929089789698603</v>
      </c>
    </row>
    <row r="604" spans="1:7" x14ac:dyDescent="0.35">
      <c r="A604">
        <v>29</v>
      </c>
      <c r="B604">
        <v>90</v>
      </c>
      <c r="C604">
        <v>11.73</v>
      </c>
      <c r="E604">
        <f t="shared" si="27"/>
        <v>199948.04</v>
      </c>
      <c r="F604">
        <f t="shared" si="28"/>
        <v>305.37222222222221</v>
      </c>
      <c r="G604">
        <f t="shared" si="29"/>
        <v>1.3655970382057452</v>
      </c>
    </row>
    <row r="605" spans="1:7" x14ac:dyDescent="0.35">
      <c r="A605">
        <v>29</v>
      </c>
      <c r="B605">
        <v>100</v>
      </c>
      <c r="C605">
        <v>11.96</v>
      </c>
      <c r="E605">
        <f t="shared" si="27"/>
        <v>199948.04</v>
      </c>
      <c r="F605">
        <f t="shared" si="28"/>
        <v>310.92777777777775</v>
      </c>
      <c r="G605">
        <f t="shared" si="29"/>
        <v>1.3393355567017886</v>
      </c>
    </row>
    <row r="606" spans="1:7" x14ac:dyDescent="0.35">
      <c r="A606">
        <v>29</v>
      </c>
      <c r="B606">
        <v>110</v>
      </c>
      <c r="C606">
        <v>12.18</v>
      </c>
      <c r="E606">
        <f t="shared" si="27"/>
        <v>199948.04</v>
      </c>
      <c r="F606">
        <f t="shared" si="28"/>
        <v>316.48333333333329</v>
      </c>
      <c r="G606">
        <f t="shared" si="29"/>
        <v>1.3151439456611982</v>
      </c>
    </row>
    <row r="607" spans="1:7" x14ac:dyDescent="0.35">
      <c r="A607">
        <v>29</v>
      </c>
      <c r="B607">
        <v>120</v>
      </c>
      <c r="C607">
        <v>12.41</v>
      </c>
      <c r="E607">
        <f t="shared" si="27"/>
        <v>199948.04</v>
      </c>
      <c r="F607">
        <f t="shared" si="28"/>
        <v>322.03888888888889</v>
      </c>
      <c r="G607">
        <f t="shared" si="29"/>
        <v>1.2907698032355674</v>
      </c>
    </row>
    <row r="608" spans="1:7" x14ac:dyDescent="0.35">
      <c r="A608">
        <v>29</v>
      </c>
      <c r="B608">
        <v>130</v>
      </c>
      <c r="C608">
        <v>12.64</v>
      </c>
      <c r="E608">
        <f t="shared" si="27"/>
        <v>199948.04</v>
      </c>
      <c r="F608">
        <f t="shared" si="28"/>
        <v>327.59444444444443</v>
      </c>
      <c r="G608">
        <f t="shared" si="29"/>
        <v>1.2672826944741609</v>
      </c>
    </row>
    <row r="609" spans="1:7" x14ac:dyDescent="0.35">
      <c r="A609">
        <v>29</v>
      </c>
      <c r="B609">
        <v>140</v>
      </c>
      <c r="C609">
        <v>12.86</v>
      </c>
      <c r="E609">
        <f t="shared" si="27"/>
        <v>199948.04</v>
      </c>
      <c r="F609">
        <f t="shared" si="28"/>
        <v>333.15</v>
      </c>
      <c r="G609">
        <f t="shared" si="29"/>
        <v>1.2456028972125501</v>
      </c>
    </row>
    <row r="610" spans="1:7" x14ac:dyDescent="0.35">
      <c r="A610">
        <v>29</v>
      </c>
      <c r="B610">
        <v>150</v>
      </c>
      <c r="C610">
        <v>13.09</v>
      </c>
      <c r="E610">
        <f t="shared" si="27"/>
        <v>199948.04</v>
      </c>
      <c r="F610">
        <f t="shared" si="28"/>
        <v>338.70555555555552</v>
      </c>
      <c r="G610">
        <f t="shared" si="29"/>
        <v>1.2237168264441096</v>
      </c>
    </row>
    <row r="611" spans="1:7" x14ac:dyDescent="0.35">
      <c r="A611">
        <v>29</v>
      </c>
      <c r="B611">
        <v>160</v>
      </c>
      <c r="C611">
        <v>13.31</v>
      </c>
      <c r="E611">
        <f t="shared" si="27"/>
        <v>199948.04</v>
      </c>
      <c r="F611">
        <f t="shared" si="28"/>
        <v>344.26111111111106</v>
      </c>
      <c r="G611">
        <f t="shared" si="29"/>
        <v>1.2034901020400746</v>
      </c>
    </row>
    <row r="612" spans="1:7" x14ac:dyDescent="0.35">
      <c r="A612">
        <v>29</v>
      </c>
      <c r="B612">
        <v>170</v>
      </c>
      <c r="C612">
        <v>13.54</v>
      </c>
      <c r="E612">
        <f t="shared" si="27"/>
        <v>199948.04</v>
      </c>
      <c r="F612">
        <f t="shared" si="28"/>
        <v>349.81666666666666</v>
      </c>
      <c r="G612">
        <f t="shared" si="29"/>
        <v>1.183046769435258</v>
      </c>
    </row>
    <row r="613" spans="1:7" x14ac:dyDescent="0.35">
      <c r="A613">
        <v>29</v>
      </c>
      <c r="B613">
        <v>180</v>
      </c>
      <c r="C613">
        <v>13.76</v>
      </c>
      <c r="E613">
        <f t="shared" si="27"/>
        <v>199948.04</v>
      </c>
      <c r="F613">
        <f t="shared" si="28"/>
        <v>355.37222222222221</v>
      </c>
      <c r="G613">
        <f t="shared" si="29"/>
        <v>1.1641317774820781</v>
      </c>
    </row>
    <row r="614" spans="1:7" x14ac:dyDescent="0.35">
      <c r="A614">
        <v>29</v>
      </c>
      <c r="B614">
        <v>190</v>
      </c>
      <c r="C614">
        <v>13.99</v>
      </c>
      <c r="E614">
        <f t="shared" si="27"/>
        <v>199948.04</v>
      </c>
      <c r="F614">
        <f t="shared" si="28"/>
        <v>360.92777777777775</v>
      </c>
      <c r="G614">
        <f t="shared" si="29"/>
        <v>1.1449930849287628</v>
      </c>
    </row>
    <row r="615" spans="1:7" x14ac:dyDescent="0.35">
      <c r="A615">
        <v>29</v>
      </c>
      <c r="B615">
        <v>200</v>
      </c>
      <c r="C615">
        <v>14.21</v>
      </c>
      <c r="E615">
        <f t="shared" si="27"/>
        <v>199948.04</v>
      </c>
      <c r="F615">
        <f t="shared" si="28"/>
        <v>366.48333333333329</v>
      </c>
      <c r="G615">
        <f t="shared" si="29"/>
        <v>1.1272662391381698</v>
      </c>
    </row>
    <row r="616" spans="1:7" x14ac:dyDescent="0.35">
      <c r="A616">
        <v>29</v>
      </c>
      <c r="B616">
        <v>220</v>
      </c>
      <c r="C616">
        <v>14.65</v>
      </c>
      <c r="E616">
        <f t="shared" si="27"/>
        <v>199948.04</v>
      </c>
      <c r="F616">
        <f t="shared" si="28"/>
        <v>377.59444444444443</v>
      </c>
      <c r="G616">
        <f t="shared" si="29"/>
        <v>1.0934097787135422</v>
      </c>
    </row>
    <row r="617" spans="1:7" x14ac:dyDescent="0.35">
      <c r="A617">
        <v>29</v>
      </c>
      <c r="B617">
        <v>240</v>
      </c>
      <c r="C617">
        <v>15.1</v>
      </c>
      <c r="E617">
        <f t="shared" si="27"/>
        <v>199948.04</v>
      </c>
      <c r="F617">
        <f t="shared" si="28"/>
        <v>388.70555555555552</v>
      </c>
      <c r="G617">
        <f t="shared" si="29"/>
        <v>1.0608247190830062</v>
      </c>
    </row>
    <row r="618" spans="1:7" x14ac:dyDescent="0.35">
      <c r="A618">
        <v>29</v>
      </c>
      <c r="B618">
        <v>260</v>
      </c>
      <c r="C618">
        <v>15.54</v>
      </c>
      <c r="E618">
        <f t="shared" si="27"/>
        <v>199948.04</v>
      </c>
      <c r="F618">
        <f t="shared" si="28"/>
        <v>399.81666666666666</v>
      </c>
      <c r="G618">
        <f t="shared" si="29"/>
        <v>1.030788497950669</v>
      </c>
    </row>
    <row r="619" spans="1:7" x14ac:dyDescent="0.35">
      <c r="A619">
        <v>30</v>
      </c>
      <c r="B619">
        <v>0</v>
      </c>
      <c r="C619">
        <v>9.25</v>
      </c>
      <c r="E619">
        <f t="shared" si="27"/>
        <v>206842.80000000002</v>
      </c>
      <c r="F619">
        <f t="shared" si="28"/>
        <v>255.37222222222221</v>
      </c>
      <c r="G619">
        <f t="shared" si="29"/>
        <v>1.7317246765571237</v>
      </c>
    </row>
    <row r="620" spans="1:7" x14ac:dyDescent="0.35">
      <c r="A620">
        <v>30</v>
      </c>
      <c r="B620">
        <v>10</v>
      </c>
      <c r="C620">
        <v>9.4920000000000009</v>
      </c>
      <c r="E620">
        <f t="shared" si="27"/>
        <v>206842.80000000002</v>
      </c>
      <c r="F620">
        <f t="shared" si="28"/>
        <v>260.92777777777775</v>
      </c>
      <c r="G620">
        <f t="shared" si="29"/>
        <v>1.687574089565254</v>
      </c>
    </row>
    <row r="621" spans="1:7" x14ac:dyDescent="0.35">
      <c r="A621">
        <v>30</v>
      </c>
      <c r="B621">
        <v>20</v>
      </c>
      <c r="C621">
        <v>9.7309999999999999</v>
      </c>
      <c r="E621">
        <f t="shared" si="27"/>
        <v>206842.80000000002</v>
      </c>
      <c r="F621">
        <f t="shared" si="28"/>
        <v>266.48333333333329</v>
      </c>
      <c r="G621">
        <f t="shared" si="29"/>
        <v>1.6461261184003078</v>
      </c>
    </row>
    <row r="622" spans="1:7" x14ac:dyDescent="0.35">
      <c r="A622">
        <v>30</v>
      </c>
      <c r="B622">
        <v>30</v>
      </c>
      <c r="C622">
        <v>9.9659999999999993</v>
      </c>
      <c r="E622">
        <f t="shared" si="27"/>
        <v>206842.80000000002</v>
      </c>
      <c r="F622">
        <f t="shared" si="28"/>
        <v>272.03888888888889</v>
      </c>
      <c r="G622">
        <f t="shared" si="29"/>
        <v>1.6073101804287973</v>
      </c>
    </row>
    <row r="623" spans="1:7" x14ac:dyDescent="0.35">
      <c r="A623">
        <v>30</v>
      </c>
      <c r="B623">
        <v>40</v>
      </c>
      <c r="C623">
        <v>10.199999999999999</v>
      </c>
      <c r="E623">
        <f t="shared" si="27"/>
        <v>206842.80000000002</v>
      </c>
      <c r="F623">
        <f t="shared" si="28"/>
        <v>277.59444444444443</v>
      </c>
      <c r="G623">
        <f t="shared" si="29"/>
        <v>1.5704365939366074</v>
      </c>
    </row>
    <row r="624" spans="1:7" x14ac:dyDescent="0.35">
      <c r="A624">
        <v>30</v>
      </c>
      <c r="B624">
        <v>50</v>
      </c>
      <c r="C624">
        <v>10.43</v>
      </c>
      <c r="E624">
        <f t="shared" si="27"/>
        <v>206842.80000000002</v>
      </c>
      <c r="F624">
        <f t="shared" si="28"/>
        <v>283.14999999999998</v>
      </c>
      <c r="G624">
        <f t="shared" si="29"/>
        <v>1.5358056815103927</v>
      </c>
    </row>
    <row r="625" spans="1:7" x14ac:dyDescent="0.35">
      <c r="A625">
        <v>30</v>
      </c>
      <c r="B625">
        <v>60</v>
      </c>
      <c r="C625">
        <v>10.65</v>
      </c>
      <c r="E625">
        <f t="shared" si="27"/>
        <v>206842.80000000002</v>
      </c>
      <c r="F625">
        <f t="shared" si="28"/>
        <v>288.70555555555552</v>
      </c>
      <c r="G625">
        <f t="shared" si="29"/>
        <v>1.5040801181364689</v>
      </c>
    </row>
    <row r="626" spans="1:7" x14ac:dyDescent="0.35">
      <c r="A626">
        <v>30</v>
      </c>
      <c r="B626">
        <v>70</v>
      </c>
      <c r="C626">
        <v>10.88</v>
      </c>
      <c r="E626">
        <f t="shared" si="27"/>
        <v>206842.80000000002</v>
      </c>
      <c r="F626">
        <f t="shared" si="28"/>
        <v>294.26111111111106</v>
      </c>
      <c r="G626">
        <f t="shared" si="29"/>
        <v>1.4722843068155691</v>
      </c>
    </row>
    <row r="627" spans="1:7" x14ac:dyDescent="0.35">
      <c r="A627">
        <v>30</v>
      </c>
      <c r="B627">
        <v>80</v>
      </c>
      <c r="C627">
        <v>11.1</v>
      </c>
      <c r="E627">
        <f t="shared" si="27"/>
        <v>206842.80000000002</v>
      </c>
      <c r="F627">
        <f t="shared" si="28"/>
        <v>299.81666666666666</v>
      </c>
      <c r="G627">
        <f t="shared" si="29"/>
        <v>1.4431038971309362</v>
      </c>
    </row>
    <row r="628" spans="1:7" x14ac:dyDescent="0.35">
      <c r="A628">
        <v>30</v>
      </c>
      <c r="B628">
        <v>90</v>
      </c>
      <c r="C628">
        <v>11.33</v>
      </c>
      <c r="E628">
        <f t="shared" si="27"/>
        <v>206842.80000000002</v>
      </c>
      <c r="F628">
        <f t="shared" si="28"/>
        <v>305.37222222222221</v>
      </c>
      <c r="G628">
        <f t="shared" si="29"/>
        <v>1.4138087606490197</v>
      </c>
    </row>
    <row r="629" spans="1:7" x14ac:dyDescent="0.35">
      <c r="A629">
        <v>30</v>
      </c>
      <c r="B629">
        <v>100</v>
      </c>
      <c r="C629">
        <v>11.55</v>
      </c>
      <c r="E629">
        <f t="shared" si="27"/>
        <v>206842.80000000002</v>
      </c>
      <c r="F629">
        <f t="shared" si="28"/>
        <v>310.92777777777775</v>
      </c>
      <c r="G629">
        <f t="shared" si="29"/>
        <v>1.3868790699699907</v>
      </c>
    </row>
    <row r="630" spans="1:7" x14ac:dyDescent="0.35">
      <c r="A630">
        <v>30</v>
      </c>
      <c r="B630">
        <v>110</v>
      </c>
      <c r="C630">
        <v>11.77</v>
      </c>
      <c r="E630">
        <f t="shared" si="27"/>
        <v>206842.80000000002</v>
      </c>
      <c r="F630">
        <f t="shared" si="28"/>
        <v>316.48333333333329</v>
      </c>
      <c r="G630">
        <f t="shared" si="29"/>
        <v>1.3609560966995238</v>
      </c>
    </row>
    <row r="631" spans="1:7" x14ac:dyDescent="0.35">
      <c r="A631">
        <v>30</v>
      </c>
      <c r="B631">
        <v>120</v>
      </c>
      <c r="C631">
        <v>11.99</v>
      </c>
      <c r="E631">
        <f t="shared" si="27"/>
        <v>206842.80000000002</v>
      </c>
      <c r="F631">
        <f t="shared" si="28"/>
        <v>322.03888888888889</v>
      </c>
      <c r="G631">
        <f t="shared" si="29"/>
        <v>1.3359844252004498</v>
      </c>
    </row>
    <row r="632" spans="1:7" x14ac:dyDescent="0.35">
      <c r="A632">
        <v>30</v>
      </c>
      <c r="B632">
        <v>130</v>
      </c>
      <c r="C632">
        <v>12.21</v>
      </c>
      <c r="E632">
        <f t="shared" si="27"/>
        <v>206842.80000000002</v>
      </c>
      <c r="F632">
        <f t="shared" si="28"/>
        <v>327.59444444444443</v>
      </c>
      <c r="G632">
        <f t="shared" si="29"/>
        <v>1.3119126337553966</v>
      </c>
    </row>
    <row r="633" spans="1:7" x14ac:dyDescent="0.35">
      <c r="A633">
        <v>30</v>
      </c>
      <c r="B633">
        <v>140</v>
      </c>
      <c r="C633">
        <v>12.43</v>
      </c>
      <c r="E633">
        <f t="shared" si="27"/>
        <v>206842.80000000002</v>
      </c>
      <c r="F633">
        <f t="shared" si="28"/>
        <v>333.15</v>
      </c>
      <c r="G633">
        <f t="shared" si="29"/>
        <v>1.2886929411225578</v>
      </c>
    </row>
    <row r="634" spans="1:7" x14ac:dyDescent="0.35">
      <c r="A634">
        <v>30</v>
      </c>
      <c r="B634">
        <v>150</v>
      </c>
      <c r="C634">
        <v>12.65</v>
      </c>
      <c r="E634">
        <f t="shared" si="27"/>
        <v>206842.80000000002</v>
      </c>
      <c r="F634">
        <f t="shared" si="28"/>
        <v>338.70555555555552</v>
      </c>
      <c r="G634">
        <f t="shared" si="29"/>
        <v>1.2662808899726001</v>
      </c>
    </row>
    <row r="635" spans="1:7" x14ac:dyDescent="0.35">
      <c r="A635">
        <v>30</v>
      </c>
      <c r="B635">
        <v>160</v>
      </c>
      <c r="C635">
        <v>12.87</v>
      </c>
      <c r="E635">
        <f t="shared" si="27"/>
        <v>206842.80000000002</v>
      </c>
      <c r="F635">
        <f t="shared" si="28"/>
        <v>344.26111111111106</v>
      </c>
      <c r="G635">
        <f t="shared" si="29"/>
        <v>1.2446350627935814</v>
      </c>
    </row>
    <row r="636" spans="1:7" x14ac:dyDescent="0.35">
      <c r="A636">
        <v>30</v>
      </c>
      <c r="B636">
        <v>170</v>
      </c>
      <c r="C636">
        <v>13.08</v>
      </c>
      <c r="E636">
        <f t="shared" si="27"/>
        <v>206842.80000000002</v>
      </c>
      <c r="F636">
        <f t="shared" si="28"/>
        <v>349.81666666666666</v>
      </c>
      <c r="G636">
        <f t="shared" si="29"/>
        <v>1.2246523897670789</v>
      </c>
    </row>
    <row r="637" spans="1:7" x14ac:dyDescent="0.35">
      <c r="A637">
        <v>30</v>
      </c>
      <c r="B637">
        <v>180</v>
      </c>
      <c r="C637">
        <v>13.3</v>
      </c>
      <c r="E637">
        <f t="shared" si="27"/>
        <v>206842.80000000002</v>
      </c>
      <c r="F637">
        <f t="shared" si="28"/>
        <v>355.37222222222221</v>
      </c>
      <c r="G637">
        <f t="shared" si="29"/>
        <v>1.2043949818160444</v>
      </c>
    </row>
    <row r="638" spans="1:7" x14ac:dyDescent="0.35">
      <c r="A638">
        <v>30</v>
      </c>
      <c r="B638">
        <v>190</v>
      </c>
      <c r="C638">
        <v>13.52</v>
      </c>
      <c r="E638">
        <f t="shared" si="27"/>
        <v>206842.80000000002</v>
      </c>
      <c r="F638">
        <f t="shared" si="28"/>
        <v>360.92777777777775</v>
      </c>
      <c r="G638">
        <f t="shared" si="29"/>
        <v>1.1847968386208132</v>
      </c>
    </row>
    <row r="639" spans="1:7" x14ac:dyDescent="0.35">
      <c r="A639">
        <v>30</v>
      </c>
      <c r="B639">
        <v>200</v>
      </c>
      <c r="C639">
        <v>13.73</v>
      </c>
      <c r="E639">
        <f t="shared" si="27"/>
        <v>206842.80000000002</v>
      </c>
      <c r="F639">
        <f t="shared" si="28"/>
        <v>366.48333333333329</v>
      </c>
      <c r="G639">
        <f t="shared" si="29"/>
        <v>1.1666754011765035</v>
      </c>
    </row>
    <row r="640" spans="1:7" x14ac:dyDescent="0.35">
      <c r="A640">
        <v>30</v>
      </c>
      <c r="B640">
        <v>220</v>
      </c>
      <c r="C640">
        <v>14.16</v>
      </c>
      <c r="E640">
        <f t="shared" si="27"/>
        <v>206842.80000000002</v>
      </c>
      <c r="F640">
        <f t="shared" si="28"/>
        <v>377.59444444444443</v>
      </c>
      <c r="G640">
        <f t="shared" si="29"/>
        <v>1.1312466990221324</v>
      </c>
    </row>
    <row r="641" spans="1:7" x14ac:dyDescent="0.35">
      <c r="A641">
        <v>30</v>
      </c>
      <c r="B641">
        <v>240</v>
      </c>
      <c r="C641">
        <v>14.59</v>
      </c>
      <c r="E641">
        <f t="shared" si="27"/>
        <v>206842.80000000002</v>
      </c>
      <c r="F641">
        <f t="shared" si="28"/>
        <v>388.70555555555552</v>
      </c>
      <c r="G641">
        <f t="shared" si="29"/>
        <v>1.0979063233826865</v>
      </c>
    </row>
    <row r="642" spans="1:7" x14ac:dyDescent="0.35">
      <c r="A642">
        <v>30</v>
      </c>
      <c r="B642">
        <v>260</v>
      </c>
      <c r="C642">
        <v>15.02</v>
      </c>
      <c r="E642">
        <f t="shared" ref="E642:E705" si="30">A642*6894.76</f>
        <v>206842.80000000002</v>
      </c>
      <c r="F642">
        <f t="shared" si="28"/>
        <v>399.81666666666666</v>
      </c>
      <c r="G642">
        <f t="shared" si="29"/>
        <v>1.0664749173204655</v>
      </c>
    </row>
    <row r="643" spans="1:7" x14ac:dyDescent="0.35">
      <c r="A643">
        <v>30</v>
      </c>
      <c r="B643">
        <v>280</v>
      </c>
      <c r="C643">
        <v>15.45</v>
      </c>
      <c r="E643">
        <f t="shared" si="30"/>
        <v>206842.80000000002</v>
      </c>
      <c r="F643">
        <f t="shared" ref="F643:F706" si="31">(B643-32)*5/9+273.15</f>
        <v>410.92777777777775</v>
      </c>
      <c r="G643">
        <f t="shared" ref="G643:G706" si="32">1/(C643*0.062428)</f>
        <v>1.0367930911426144</v>
      </c>
    </row>
    <row r="644" spans="1:7" x14ac:dyDescent="0.35">
      <c r="A644">
        <v>31</v>
      </c>
      <c r="B644">
        <v>10</v>
      </c>
      <c r="C644">
        <v>9.173</v>
      </c>
      <c r="E644">
        <f t="shared" si="30"/>
        <v>213737.56</v>
      </c>
      <c r="F644">
        <f t="shared" si="31"/>
        <v>260.92777777777775</v>
      </c>
      <c r="G644">
        <f t="shared" si="32"/>
        <v>1.7462611204789482</v>
      </c>
    </row>
    <row r="645" spans="1:7" x14ac:dyDescent="0.35">
      <c r="A645">
        <v>31</v>
      </c>
      <c r="B645">
        <v>20</v>
      </c>
      <c r="C645">
        <v>9.4049999999999994</v>
      </c>
      <c r="E645">
        <f t="shared" si="30"/>
        <v>213737.56</v>
      </c>
      <c r="F645">
        <f t="shared" si="31"/>
        <v>266.48333333333329</v>
      </c>
      <c r="G645">
        <f t="shared" si="32"/>
        <v>1.7031848227701643</v>
      </c>
    </row>
    <row r="646" spans="1:7" x14ac:dyDescent="0.35">
      <c r="A646">
        <v>31</v>
      </c>
      <c r="B646">
        <v>30</v>
      </c>
      <c r="C646">
        <v>9.6329999999999991</v>
      </c>
      <c r="E646">
        <f t="shared" si="30"/>
        <v>213737.56</v>
      </c>
      <c r="F646">
        <f t="shared" si="31"/>
        <v>272.03888888888889</v>
      </c>
      <c r="G646">
        <f t="shared" si="32"/>
        <v>1.6628727559590359</v>
      </c>
    </row>
    <row r="647" spans="1:7" x14ac:dyDescent="0.35">
      <c r="A647">
        <v>31</v>
      </c>
      <c r="B647">
        <v>40</v>
      </c>
      <c r="C647">
        <v>9.8580000000000005</v>
      </c>
      <c r="E647">
        <f t="shared" si="30"/>
        <v>213737.56</v>
      </c>
      <c r="F647">
        <f t="shared" si="31"/>
        <v>277.59444444444443</v>
      </c>
      <c r="G647">
        <f t="shared" si="32"/>
        <v>1.6249191781449981</v>
      </c>
    </row>
    <row r="648" spans="1:7" x14ac:dyDescent="0.35">
      <c r="A648">
        <v>31</v>
      </c>
      <c r="B648">
        <v>50</v>
      </c>
      <c r="C648">
        <v>10.08</v>
      </c>
      <c r="E648">
        <f t="shared" si="30"/>
        <v>213737.56</v>
      </c>
      <c r="F648">
        <f t="shared" si="31"/>
        <v>283.14999999999998</v>
      </c>
      <c r="G648">
        <f t="shared" si="32"/>
        <v>1.5891322676739477</v>
      </c>
    </row>
    <row r="649" spans="1:7" x14ac:dyDescent="0.35">
      <c r="A649">
        <v>31</v>
      </c>
      <c r="B649">
        <v>60</v>
      </c>
      <c r="C649">
        <v>10.3</v>
      </c>
      <c r="E649">
        <f t="shared" si="30"/>
        <v>213737.56</v>
      </c>
      <c r="F649">
        <f t="shared" si="31"/>
        <v>288.70555555555552</v>
      </c>
      <c r="G649">
        <f t="shared" si="32"/>
        <v>1.5551896367139215</v>
      </c>
    </row>
    <row r="650" spans="1:7" x14ac:dyDescent="0.35">
      <c r="A650">
        <v>31</v>
      </c>
      <c r="B650">
        <v>70</v>
      </c>
      <c r="C650">
        <v>10.52</v>
      </c>
      <c r="E650">
        <f t="shared" si="30"/>
        <v>213737.56</v>
      </c>
      <c r="F650">
        <f t="shared" si="31"/>
        <v>294.26111111111106</v>
      </c>
      <c r="G650">
        <f t="shared" si="32"/>
        <v>1.5226666595202845</v>
      </c>
    </row>
    <row r="651" spans="1:7" x14ac:dyDescent="0.35">
      <c r="A651">
        <v>31</v>
      </c>
      <c r="B651">
        <v>80</v>
      </c>
      <c r="C651">
        <v>10.74</v>
      </c>
      <c r="E651">
        <f t="shared" si="30"/>
        <v>213737.56</v>
      </c>
      <c r="F651">
        <f t="shared" si="31"/>
        <v>299.81666666666666</v>
      </c>
      <c r="G651">
        <f t="shared" si="32"/>
        <v>1.4914760948001295</v>
      </c>
    </row>
    <row r="652" spans="1:7" x14ac:dyDescent="0.35">
      <c r="A652">
        <v>31</v>
      </c>
      <c r="B652">
        <v>90</v>
      </c>
      <c r="C652">
        <v>10.96</v>
      </c>
      <c r="E652">
        <f t="shared" si="30"/>
        <v>213737.56</v>
      </c>
      <c r="F652">
        <f t="shared" si="31"/>
        <v>305.37222222222221</v>
      </c>
      <c r="G652">
        <f t="shared" si="32"/>
        <v>1.4615377060358934</v>
      </c>
    </row>
    <row r="653" spans="1:7" x14ac:dyDescent="0.35">
      <c r="A653">
        <v>31</v>
      </c>
      <c r="B653">
        <v>100</v>
      </c>
      <c r="C653">
        <v>11.17</v>
      </c>
      <c r="E653">
        <f t="shared" si="30"/>
        <v>213737.56</v>
      </c>
      <c r="F653">
        <f t="shared" si="31"/>
        <v>310.92777777777775</v>
      </c>
      <c r="G653">
        <f t="shared" si="32"/>
        <v>1.4340602737827568</v>
      </c>
    </row>
    <row r="654" spans="1:7" x14ac:dyDescent="0.35">
      <c r="A654">
        <v>31</v>
      </c>
      <c r="B654">
        <v>110</v>
      </c>
      <c r="C654">
        <v>11.38</v>
      </c>
      <c r="E654">
        <f t="shared" si="30"/>
        <v>213737.56</v>
      </c>
      <c r="F654">
        <f t="shared" si="31"/>
        <v>316.48333333333329</v>
      </c>
      <c r="G654">
        <f t="shared" si="32"/>
        <v>1.4075969471136549</v>
      </c>
    </row>
    <row r="655" spans="1:7" x14ac:dyDescent="0.35">
      <c r="A655">
        <v>31</v>
      </c>
      <c r="B655">
        <v>120</v>
      </c>
      <c r="C655">
        <v>11.6</v>
      </c>
      <c r="E655">
        <f t="shared" si="30"/>
        <v>213737.56</v>
      </c>
      <c r="F655">
        <f t="shared" si="31"/>
        <v>322.03888888888889</v>
      </c>
      <c r="G655">
        <f t="shared" si="32"/>
        <v>1.3809011429442581</v>
      </c>
    </row>
    <row r="656" spans="1:7" x14ac:dyDescent="0.35">
      <c r="A656">
        <v>31</v>
      </c>
      <c r="B656">
        <v>130</v>
      </c>
      <c r="C656">
        <v>11.81</v>
      </c>
      <c r="E656">
        <f t="shared" si="30"/>
        <v>213737.56</v>
      </c>
      <c r="F656">
        <f t="shared" si="31"/>
        <v>327.59444444444443</v>
      </c>
      <c r="G656">
        <f t="shared" si="32"/>
        <v>1.356346592561676</v>
      </c>
    </row>
    <row r="657" spans="1:7" x14ac:dyDescent="0.35">
      <c r="A657">
        <v>31</v>
      </c>
      <c r="B657">
        <v>140</v>
      </c>
      <c r="C657">
        <v>12.02</v>
      </c>
      <c r="E657">
        <f t="shared" si="30"/>
        <v>213737.56</v>
      </c>
      <c r="F657">
        <f t="shared" si="31"/>
        <v>333.15</v>
      </c>
      <c r="G657">
        <f t="shared" si="32"/>
        <v>1.3326500214769879</v>
      </c>
    </row>
    <row r="658" spans="1:7" x14ac:dyDescent="0.35">
      <c r="A658">
        <v>31</v>
      </c>
      <c r="B658">
        <v>150</v>
      </c>
      <c r="C658">
        <v>12.23</v>
      </c>
      <c r="E658">
        <f t="shared" si="30"/>
        <v>213737.56</v>
      </c>
      <c r="F658">
        <f t="shared" si="31"/>
        <v>338.70555555555552</v>
      </c>
      <c r="G658">
        <f t="shared" si="32"/>
        <v>1.3097672328825343</v>
      </c>
    </row>
    <row r="659" spans="1:7" x14ac:dyDescent="0.35">
      <c r="A659">
        <v>31</v>
      </c>
      <c r="B659">
        <v>160</v>
      </c>
      <c r="C659">
        <v>12.44</v>
      </c>
      <c r="E659">
        <f t="shared" si="30"/>
        <v>213737.56</v>
      </c>
      <c r="F659">
        <f t="shared" si="31"/>
        <v>344.26111111111106</v>
      </c>
      <c r="G659">
        <f t="shared" si="32"/>
        <v>1.2876570143210124</v>
      </c>
    </row>
    <row r="660" spans="1:7" x14ac:dyDescent="0.35">
      <c r="A660">
        <v>31</v>
      </c>
      <c r="B660">
        <v>170</v>
      </c>
      <c r="C660">
        <v>12.66</v>
      </c>
      <c r="E660">
        <f t="shared" si="30"/>
        <v>213737.56</v>
      </c>
      <c r="F660">
        <f t="shared" si="31"/>
        <v>349.81666666666666</v>
      </c>
      <c r="G660">
        <f t="shared" si="32"/>
        <v>1.2652806681005839</v>
      </c>
    </row>
    <row r="661" spans="1:7" x14ac:dyDescent="0.35">
      <c r="A661">
        <v>31</v>
      </c>
      <c r="B661">
        <v>180</v>
      </c>
      <c r="C661">
        <v>12.87</v>
      </c>
      <c r="E661">
        <f t="shared" si="30"/>
        <v>213737.56</v>
      </c>
      <c r="F661">
        <f t="shared" si="31"/>
        <v>355.37222222222221</v>
      </c>
      <c r="G661">
        <f t="shared" si="32"/>
        <v>1.2446350627935814</v>
      </c>
    </row>
    <row r="662" spans="1:7" x14ac:dyDescent="0.35">
      <c r="A662">
        <v>31</v>
      </c>
      <c r="B662">
        <v>190</v>
      </c>
      <c r="C662">
        <v>13.07</v>
      </c>
      <c r="E662">
        <f t="shared" si="30"/>
        <v>213737.56</v>
      </c>
      <c r="F662">
        <f t="shared" si="31"/>
        <v>360.92777777777775</v>
      </c>
      <c r="G662">
        <f t="shared" si="32"/>
        <v>1.2255893847095174</v>
      </c>
    </row>
    <row r="663" spans="1:7" x14ac:dyDescent="0.35">
      <c r="A663">
        <v>31</v>
      </c>
      <c r="B663">
        <v>200</v>
      </c>
      <c r="C663">
        <v>13.28</v>
      </c>
      <c r="E663">
        <f t="shared" si="30"/>
        <v>213737.56</v>
      </c>
      <c r="F663">
        <f t="shared" si="31"/>
        <v>366.48333333333329</v>
      </c>
      <c r="G663">
        <f t="shared" si="32"/>
        <v>1.2062088296802254</v>
      </c>
    </row>
    <row r="664" spans="1:7" x14ac:dyDescent="0.35">
      <c r="A664">
        <v>31</v>
      </c>
      <c r="B664">
        <v>220</v>
      </c>
      <c r="C664">
        <v>13.7</v>
      </c>
      <c r="E664">
        <f t="shared" si="30"/>
        <v>213737.56</v>
      </c>
      <c r="F664">
        <f t="shared" si="31"/>
        <v>377.59444444444443</v>
      </c>
      <c r="G664">
        <f t="shared" si="32"/>
        <v>1.1692301648287149</v>
      </c>
    </row>
    <row r="665" spans="1:7" x14ac:dyDescent="0.35">
      <c r="A665">
        <v>31</v>
      </c>
      <c r="B665">
        <v>240</v>
      </c>
      <c r="C665">
        <v>14.12</v>
      </c>
      <c r="E665">
        <f t="shared" si="30"/>
        <v>213737.56</v>
      </c>
      <c r="F665">
        <f t="shared" si="31"/>
        <v>388.70555555555552</v>
      </c>
      <c r="G665">
        <f t="shared" si="32"/>
        <v>1.1344513638918834</v>
      </c>
    </row>
    <row r="666" spans="1:7" x14ac:dyDescent="0.35">
      <c r="A666">
        <v>31</v>
      </c>
      <c r="B666">
        <v>260</v>
      </c>
      <c r="C666">
        <v>14.53</v>
      </c>
      <c r="E666">
        <f t="shared" si="30"/>
        <v>213737.56</v>
      </c>
      <c r="F666">
        <f t="shared" si="31"/>
        <v>399.81666666666666</v>
      </c>
      <c r="G666">
        <f t="shared" si="32"/>
        <v>1.1024400040022984</v>
      </c>
    </row>
    <row r="667" spans="1:7" x14ac:dyDescent="0.35">
      <c r="A667">
        <v>31</v>
      </c>
      <c r="B667">
        <v>280</v>
      </c>
      <c r="C667">
        <v>14.95</v>
      </c>
      <c r="E667">
        <f t="shared" si="30"/>
        <v>213737.56</v>
      </c>
      <c r="F667">
        <f t="shared" si="31"/>
        <v>410.92777777777775</v>
      </c>
      <c r="G667">
        <f t="shared" si="32"/>
        <v>1.0714684453614312</v>
      </c>
    </row>
    <row r="668" spans="1:7" x14ac:dyDescent="0.35">
      <c r="A668">
        <v>32</v>
      </c>
      <c r="B668">
        <v>10</v>
      </c>
      <c r="C668">
        <v>8.8740000000000006</v>
      </c>
      <c r="E668">
        <f t="shared" si="30"/>
        <v>220632.32000000001</v>
      </c>
      <c r="F668">
        <f t="shared" si="31"/>
        <v>260.92777777777775</v>
      </c>
      <c r="G668">
        <f t="shared" si="32"/>
        <v>1.8050995332604678</v>
      </c>
    </row>
    <row r="669" spans="1:7" x14ac:dyDescent="0.35">
      <c r="A669">
        <v>32</v>
      </c>
      <c r="B669">
        <v>20</v>
      </c>
      <c r="C669">
        <v>9.0990000000000002</v>
      </c>
      <c r="E669">
        <f t="shared" si="30"/>
        <v>220632.32000000001</v>
      </c>
      <c r="F669">
        <f t="shared" si="31"/>
        <v>266.48333333333329</v>
      </c>
      <c r="G669">
        <f t="shared" si="32"/>
        <v>1.760463046285679</v>
      </c>
    </row>
    <row r="670" spans="1:7" x14ac:dyDescent="0.35">
      <c r="A670">
        <v>32</v>
      </c>
      <c r="B670">
        <v>30</v>
      </c>
      <c r="C670">
        <v>9.3209999999999997</v>
      </c>
      <c r="E670">
        <f t="shared" si="30"/>
        <v>220632.32000000001</v>
      </c>
      <c r="F670">
        <f t="shared" si="31"/>
        <v>272.03888888888889</v>
      </c>
      <c r="G670">
        <f t="shared" si="32"/>
        <v>1.7185337687108029</v>
      </c>
    </row>
    <row r="671" spans="1:7" x14ac:dyDescent="0.35">
      <c r="A671">
        <v>32</v>
      </c>
      <c r="B671">
        <v>40</v>
      </c>
      <c r="C671">
        <v>9.5399999999999991</v>
      </c>
      <c r="E671">
        <f t="shared" si="30"/>
        <v>220632.32000000001</v>
      </c>
      <c r="F671">
        <f t="shared" si="31"/>
        <v>277.59444444444443</v>
      </c>
      <c r="G671">
        <f t="shared" si="32"/>
        <v>1.6790831507498318</v>
      </c>
    </row>
    <row r="672" spans="1:7" x14ac:dyDescent="0.35">
      <c r="A672">
        <v>32</v>
      </c>
      <c r="B672">
        <v>50</v>
      </c>
      <c r="C672">
        <v>9.7569999999999997</v>
      </c>
      <c r="E672">
        <f t="shared" si="30"/>
        <v>220632.32000000001</v>
      </c>
      <c r="F672">
        <f t="shared" si="31"/>
        <v>283.14999999999998</v>
      </c>
      <c r="G672">
        <f t="shared" si="32"/>
        <v>1.6417395980479035</v>
      </c>
    </row>
    <row r="673" spans="1:7" x14ac:dyDescent="0.35">
      <c r="A673">
        <v>32</v>
      </c>
      <c r="B673">
        <v>60</v>
      </c>
      <c r="C673">
        <v>9.9719999999999995</v>
      </c>
      <c r="E673">
        <f t="shared" si="30"/>
        <v>220632.32000000001</v>
      </c>
      <c r="F673">
        <f t="shared" si="31"/>
        <v>288.70555555555552</v>
      </c>
      <c r="G673">
        <f t="shared" si="32"/>
        <v>1.6063430864574202</v>
      </c>
    </row>
    <row r="674" spans="1:7" x14ac:dyDescent="0.35">
      <c r="A674">
        <v>32</v>
      </c>
      <c r="B674">
        <v>70</v>
      </c>
      <c r="C674">
        <v>10.18</v>
      </c>
      <c r="E674">
        <f t="shared" si="30"/>
        <v>220632.32000000001</v>
      </c>
      <c r="F674">
        <f t="shared" si="31"/>
        <v>294.26111111111106</v>
      </c>
      <c r="G674">
        <f t="shared" si="32"/>
        <v>1.5735219310563255</v>
      </c>
    </row>
    <row r="675" spans="1:7" x14ac:dyDescent="0.35">
      <c r="A675">
        <v>32</v>
      </c>
      <c r="B675">
        <v>80</v>
      </c>
      <c r="C675">
        <v>10.4</v>
      </c>
      <c r="E675">
        <f t="shared" si="30"/>
        <v>220632.32000000001</v>
      </c>
      <c r="F675">
        <f t="shared" si="31"/>
        <v>299.81666666666666</v>
      </c>
      <c r="G675">
        <f t="shared" si="32"/>
        <v>1.540235890207057</v>
      </c>
    </row>
    <row r="676" spans="1:7" x14ac:dyDescent="0.35">
      <c r="A676">
        <v>32</v>
      </c>
      <c r="B676">
        <v>90</v>
      </c>
      <c r="C676">
        <v>10.61</v>
      </c>
      <c r="E676">
        <f t="shared" si="30"/>
        <v>220632.32000000001</v>
      </c>
      <c r="F676">
        <f t="shared" si="31"/>
        <v>305.37222222222221</v>
      </c>
      <c r="G676">
        <f t="shared" si="32"/>
        <v>1.5097505427100277</v>
      </c>
    </row>
    <row r="677" spans="1:7" x14ac:dyDescent="0.35">
      <c r="A677">
        <v>32</v>
      </c>
      <c r="B677">
        <v>100</v>
      </c>
      <c r="C677">
        <v>10.81</v>
      </c>
      <c r="E677">
        <f t="shared" si="30"/>
        <v>220632.32000000001</v>
      </c>
      <c r="F677">
        <f t="shared" si="31"/>
        <v>310.92777777777775</v>
      </c>
      <c r="G677">
        <f t="shared" si="32"/>
        <v>1.4818180627338937</v>
      </c>
    </row>
    <row r="678" spans="1:7" x14ac:dyDescent="0.35">
      <c r="A678">
        <v>32</v>
      </c>
      <c r="B678">
        <v>110</v>
      </c>
      <c r="C678">
        <v>11.02</v>
      </c>
      <c r="E678">
        <f t="shared" si="30"/>
        <v>220632.32000000001</v>
      </c>
      <c r="F678">
        <f t="shared" si="31"/>
        <v>316.48333333333329</v>
      </c>
      <c r="G678">
        <f t="shared" si="32"/>
        <v>1.4535801504676402</v>
      </c>
    </row>
    <row r="679" spans="1:7" x14ac:dyDescent="0.35">
      <c r="A679">
        <v>32</v>
      </c>
      <c r="B679">
        <v>120</v>
      </c>
      <c r="C679">
        <v>11.23</v>
      </c>
      <c r="E679">
        <f t="shared" si="30"/>
        <v>220632.32000000001</v>
      </c>
      <c r="F679">
        <f t="shared" si="31"/>
        <v>322.03888888888889</v>
      </c>
      <c r="G679">
        <f t="shared" si="32"/>
        <v>1.4263983310911303</v>
      </c>
    </row>
    <row r="680" spans="1:7" x14ac:dyDescent="0.35">
      <c r="A680">
        <v>32</v>
      </c>
      <c r="B680">
        <v>130</v>
      </c>
      <c r="C680">
        <v>11.44</v>
      </c>
      <c r="E680">
        <f t="shared" si="30"/>
        <v>220632.32000000001</v>
      </c>
      <c r="F680">
        <f t="shared" si="31"/>
        <v>327.59444444444443</v>
      </c>
      <c r="G680">
        <f t="shared" si="32"/>
        <v>1.4002144456427792</v>
      </c>
    </row>
    <row r="681" spans="1:7" x14ac:dyDescent="0.35">
      <c r="A681">
        <v>32</v>
      </c>
      <c r="B681">
        <v>140</v>
      </c>
      <c r="C681">
        <v>11.64</v>
      </c>
      <c r="E681">
        <f t="shared" si="30"/>
        <v>220632.32000000001</v>
      </c>
      <c r="F681">
        <f t="shared" si="31"/>
        <v>333.15</v>
      </c>
      <c r="G681">
        <f t="shared" si="32"/>
        <v>1.3761557781918723</v>
      </c>
    </row>
    <row r="682" spans="1:7" x14ac:dyDescent="0.35">
      <c r="A682">
        <v>32</v>
      </c>
      <c r="B682">
        <v>150</v>
      </c>
      <c r="C682">
        <v>11.85</v>
      </c>
      <c r="E682">
        <f t="shared" si="30"/>
        <v>220632.32000000001</v>
      </c>
      <c r="F682">
        <f t="shared" si="31"/>
        <v>338.70555555555552</v>
      </c>
      <c r="G682">
        <f t="shared" si="32"/>
        <v>1.3517682074391049</v>
      </c>
    </row>
    <row r="683" spans="1:7" x14ac:dyDescent="0.35">
      <c r="A683">
        <v>32</v>
      </c>
      <c r="B683">
        <v>160</v>
      </c>
      <c r="C683">
        <v>12.05</v>
      </c>
      <c r="E683">
        <f t="shared" si="30"/>
        <v>220632.32000000001</v>
      </c>
      <c r="F683">
        <f t="shared" si="31"/>
        <v>344.26111111111106</v>
      </c>
      <c r="G683">
        <f t="shared" si="32"/>
        <v>1.3293322205936426</v>
      </c>
    </row>
    <row r="684" spans="1:7" x14ac:dyDescent="0.35">
      <c r="A684">
        <v>32</v>
      </c>
      <c r="B684">
        <v>170</v>
      </c>
      <c r="C684">
        <v>12.26</v>
      </c>
      <c r="E684">
        <f t="shared" si="30"/>
        <v>220632.32000000001</v>
      </c>
      <c r="F684">
        <f t="shared" si="31"/>
        <v>349.81666666666666</v>
      </c>
      <c r="G684">
        <f t="shared" si="32"/>
        <v>1.3065622559668346</v>
      </c>
    </row>
    <row r="685" spans="1:7" x14ac:dyDescent="0.35">
      <c r="A685">
        <v>32</v>
      </c>
      <c r="B685">
        <v>180</v>
      </c>
      <c r="C685">
        <v>12.46</v>
      </c>
      <c r="E685">
        <f t="shared" si="30"/>
        <v>220632.32000000001</v>
      </c>
      <c r="F685">
        <f t="shared" si="31"/>
        <v>355.37222222222221</v>
      </c>
      <c r="G685">
        <f t="shared" si="32"/>
        <v>1.2855901491294859</v>
      </c>
    </row>
    <row r="686" spans="1:7" x14ac:dyDescent="0.35">
      <c r="A686">
        <v>32</v>
      </c>
      <c r="B686">
        <v>190</v>
      </c>
      <c r="C686">
        <v>12.66</v>
      </c>
      <c r="E686">
        <f t="shared" si="30"/>
        <v>220632.32000000001</v>
      </c>
      <c r="F686">
        <f t="shared" si="31"/>
        <v>360.92777777777775</v>
      </c>
      <c r="G686">
        <f t="shared" si="32"/>
        <v>1.2652806681005839</v>
      </c>
    </row>
    <row r="687" spans="1:7" x14ac:dyDescent="0.35">
      <c r="A687">
        <v>32</v>
      </c>
      <c r="B687">
        <v>200</v>
      </c>
      <c r="C687">
        <v>12.86</v>
      </c>
      <c r="E687">
        <f t="shared" si="30"/>
        <v>220632.32000000001</v>
      </c>
      <c r="F687">
        <f t="shared" si="31"/>
        <v>366.48333333333329</v>
      </c>
      <c r="G687">
        <f t="shared" si="32"/>
        <v>1.2456028972125501</v>
      </c>
    </row>
    <row r="688" spans="1:7" x14ac:dyDescent="0.35">
      <c r="A688">
        <v>32</v>
      </c>
      <c r="B688">
        <v>220</v>
      </c>
      <c r="C688">
        <v>13.27</v>
      </c>
      <c r="E688">
        <f t="shared" si="30"/>
        <v>220632.32000000001</v>
      </c>
      <c r="F688">
        <f t="shared" si="31"/>
        <v>377.59444444444443</v>
      </c>
      <c r="G688">
        <f t="shared" si="32"/>
        <v>1.2071178039301729</v>
      </c>
    </row>
    <row r="689" spans="1:7" x14ac:dyDescent="0.35">
      <c r="A689">
        <v>32</v>
      </c>
      <c r="B689">
        <v>240</v>
      </c>
      <c r="C689">
        <v>13.67</v>
      </c>
      <c r="E689">
        <f t="shared" si="30"/>
        <v>220632.32000000001</v>
      </c>
      <c r="F689">
        <f t="shared" si="31"/>
        <v>388.70555555555552</v>
      </c>
      <c r="G689">
        <f t="shared" si="32"/>
        <v>1.1717961417815212</v>
      </c>
    </row>
    <row r="690" spans="1:7" x14ac:dyDescent="0.35">
      <c r="A690">
        <v>32</v>
      </c>
      <c r="B690">
        <v>260</v>
      </c>
      <c r="C690">
        <v>14.08</v>
      </c>
      <c r="E690">
        <f t="shared" si="30"/>
        <v>220632.32000000001</v>
      </c>
      <c r="F690">
        <f t="shared" si="31"/>
        <v>399.81666666666666</v>
      </c>
      <c r="G690">
        <f t="shared" si="32"/>
        <v>1.1376742370847581</v>
      </c>
    </row>
    <row r="691" spans="1:7" x14ac:dyDescent="0.35">
      <c r="A691">
        <v>32</v>
      </c>
      <c r="B691">
        <v>280</v>
      </c>
      <c r="C691">
        <v>14.48</v>
      </c>
      <c r="E691">
        <f t="shared" si="30"/>
        <v>220632.32000000001</v>
      </c>
      <c r="F691">
        <f t="shared" si="31"/>
        <v>410.92777777777775</v>
      </c>
      <c r="G691">
        <f t="shared" si="32"/>
        <v>1.1062467719719193</v>
      </c>
    </row>
    <row r="692" spans="1:7" x14ac:dyDescent="0.35">
      <c r="A692">
        <v>33</v>
      </c>
      <c r="B692">
        <v>10</v>
      </c>
      <c r="C692">
        <v>8.5920000000000005</v>
      </c>
      <c r="E692">
        <f t="shared" si="30"/>
        <v>227527.08000000002</v>
      </c>
      <c r="F692">
        <f t="shared" si="31"/>
        <v>260.92777777777775</v>
      </c>
      <c r="G692">
        <f t="shared" si="32"/>
        <v>1.864345118500162</v>
      </c>
    </row>
    <row r="693" spans="1:7" x14ac:dyDescent="0.35">
      <c r="A693">
        <v>33</v>
      </c>
      <c r="B693">
        <v>20</v>
      </c>
      <c r="C693">
        <v>8.8119999999999994</v>
      </c>
      <c r="E693">
        <f t="shared" si="30"/>
        <v>227527.08000000002</v>
      </c>
      <c r="F693">
        <f t="shared" si="31"/>
        <v>266.48333333333329</v>
      </c>
      <c r="G693">
        <f t="shared" si="32"/>
        <v>1.8177999612066946</v>
      </c>
    </row>
    <row r="694" spans="1:7" x14ac:dyDescent="0.35">
      <c r="A694">
        <v>33</v>
      </c>
      <c r="B694">
        <v>30</v>
      </c>
      <c r="C694">
        <v>9.0280000000000005</v>
      </c>
      <c r="E694">
        <f t="shared" si="30"/>
        <v>227527.08000000002</v>
      </c>
      <c r="F694">
        <f t="shared" si="31"/>
        <v>272.03888888888889</v>
      </c>
      <c r="G694">
        <f t="shared" si="32"/>
        <v>1.7743080702429543</v>
      </c>
    </row>
    <row r="695" spans="1:7" x14ac:dyDescent="0.35">
      <c r="A695">
        <v>33</v>
      </c>
      <c r="B695">
        <v>40</v>
      </c>
      <c r="C695">
        <v>9.2420000000000009</v>
      </c>
      <c r="E695">
        <f t="shared" si="30"/>
        <v>227527.08000000002</v>
      </c>
      <c r="F695">
        <f t="shared" si="31"/>
        <v>277.59444444444443</v>
      </c>
      <c r="G695">
        <f t="shared" si="32"/>
        <v>1.7332236808216179</v>
      </c>
    </row>
    <row r="696" spans="1:7" x14ac:dyDescent="0.35">
      <c r="A696">
        <v>33</v>
      </c>
      <c r="B696">
        <v>50</v>
      </c>
      <c r="C696">
        <v>9.452</v>
      </c>
      <c r="E696">
        <f t="shared" si="30"/>
        <v>227527.08000000002</v>
      </c>
      <c r="F696">
        <f t="shared" si="31"/>
        <v>283.14999999999998</v>
      </c>
      <c r="G696">
        <f t="shared" si="32"/>
        <v>1.694715748852454</v>
      </c>
    </row>
    <row r="697" spans="1:7" x14ac:dyDescent="0.35">
      <c r="A697">
        <v>33</v>
      </c>
      <c r="B697">
        <v>60</v>
      </c>
      <c r="C697">
        <v>9.6609999999999996</v>
      </c>
      <c r="E697">
        <f t="shared" si="30"/>
        <v>227527.08000000002</v>
      </c>
      <c r="F697">
        <f t="shared" si="31"/>
        <v>288.70555555555552</v>
      </c>
      <c r="G697">
        <f t="shared" si="32"/>
        <v>1.6580533338322527</v>
      </c>
    </row>
    <row r="698" spans="1:7" x14ac:dyDescent="0.35">
      <c r="A698">
        <v>33</v>
      </c>
      <c r="B698">
        <v>70</v>
      </c>
      <c r="C698">
        <v>9.8680000000000003</v>
      </c>
      <c r="E698">
        <f t="shared" si="30"/>
        <v>227527.08000000002</v>
      </c>
      <c r="F698">
        <f t="shared" si="31"/>
        <v>294.26111111111106</v>
      </c>
      <c r="G698">
        <f t="shared" si="32"/>
        <v>1.6232725231205303</v>
      </c>
    </row>
    <row r="699" spans="1:7" x14ac:dyDescent="0.35">
      <c r="A699">
        <v>33</v>
      </c>
      <c r="B699">
        <v>80</v>
      </c>
      <c r="C699">
        <v>10.07</v>
      </c>
      <c r="E699">
        <f t="shared" si="30"/>
        <v>227527.08000000002</v>
      </c>
      <c r="F699">
        <f t="shared" si="31"/>
        <v>299.81666666666666</v>
      </c>
      <c r="G699">
        <f t="shared" si="32"/>
        <v>1.5907103533419458</v>
      </c>
    </row>
    <row r="700" spans="1:7" x14ac:dyDescent="0.35">
      <c r="A700">
        <v>33</v>
      </c>
      <c r="B700">
        <v>90</v>
      </c>
      <c r="C700">
        <v>10.28</v>
      </c>
      <c r="E700">
        <f t="shared" si="30"/>
        <v>227527.08000000002</v>
      </c>
      <c r="F700">
        <f t="shared" si="31"/>
        <v>305.37222222222221</v>
      </c>
      <c r="G700">
        <f t="shared" si="32"/>
        <v>1.5582152974857386</v>
      </c>
    </row>
    <row r="701" spans="1:7" x14ac:dyDescent="0.35">
      <c r="A701">
        <v>33</v>
      </c>
      <c r="B701">
        <v>100</v>
      </c>
      <c r="C701">
        <v>10.48</v>
      </c>
      <c r="E701">
        <f t="shared" si="30"/>
        <v>227527.08000000002</v>
      </c>
      <c r="F701">
        <f t="shared" si="31"/>
        <v>310.92777777777775</v>
      </c>
      <c r="G701">
        <f t="shared" si="32"/>
        <v>1.5284783643276139</v>
      </c>
    </row>
    <row r="702" spans="1:7" x14ac:dyDescent="0.35">
      <c r="A702">
        <v>33</v>
      </c>
      <c r="B702">
        <v>110</v>
      </c>
      <c r="C702">
        <v>10.68</v>
      </c>
      <c r="E702">
        <f t="shared" si="30"/>
        <v>227527.08000000002</v>
      </c>
      <c r="F702">
        <f t="shared" si="31"/>
        <v>316.48333333333329</v>
      </c>
      <c r="G702">
        <f t="shared" si="32"/>
        <v>1.4998551739844002</v>
      </c>
    </row>
    <row r="703" spans="1:7" x14ac:dyDescent="0.35">
      <c r="A703">
        <v>33</v>
      </c>
      <c r="B703">
        <v>120</v>
      </c>
      <c r="C703">
        <v>10.88</v>
      </c>
      <c r="E703">
        <f t="shared" si="30"/>
        <v>227527.08000000002</v>
      </c>
      <c r="F703">
        <f t="shared" si="31"/>
        <v>322.03888888888889</v>
      </c>
      <c r="G703">
        <f t="shared" si="32"/>
        <v>1.4722843068155691</v>
      </c>
    </row>
    <row r="704" spans="1:7" x14ac:dyDescent="0.35">
      <c r="A704">
        <v>33</v>
      </c>
      <c r="B704">
        <v>130</v>
      </c>
      <c r="C704">
        <v>11.08</v>
      </c>
      <c r="E704">
        <f t="shared" si="30"/>
        <v>227527.08000000002</v>
      </c>
      <c r="F704">
        <f t="shared" si="31"/>
        <v>327.59444444444443</v>
      </c>
      <c r="G704">
        <f t="shared" si="32"/>
        <v>1.4457087778116779</v>
      </c>
    </row>
    <row r="705" spans="1:7" x14ac:dyDescent="0.35">
      <c r="A705">
        <v>33</v>
      </c>
      <c r="B705">
        <v>140</v>
      </c>
      <c r="C705">
        <v>11.28</v>
      </c>
      <c r="E705">
        <f t="shared" si="30"/>
        <v>227527.08000000002</v>
      </c>
      <c r="F705">
        <f t="shared" si="31"/>
        <v>333.15</v>
      </c>
      <c r="G705">
        <f t="shared" si="32"/>
        <v>1.4200756434533151</v>
      </c>
    </row>
    <row r="706" spans="1:7" x14ac:dyDescent="0.35">
      <c r="A706">
        <v>33</v>
      </c>
      <c r="B706">
        <v>150</v>
      </c>
      <c r="C706">
        <v>11.48</v>
      </c>
      <c r="E706">
        <f t="shared" ref="E706:E769" si="33">A706*6894.76</f>
        <v>227527.08000000002</v>
      </c>
      <c r="F706">
        <f t="shared" si="31"/>
        <v>338.70555555555552</v>
      </c>
      <c r="G706">
        <f t="shared" si="32"/>
        <v>1.3953356496649296</v>
      </c>
    </row>
    <row r="707" spans="1:7" x14ac:dyDescent="0.35">
      <c r="A707">
        <v>33</v>
      </c>
      <c r="B707">
        <v>160</v>
      </c>
      <c r="C707">
        <v>11.68</v>
      </c>
      <c r="E707">
        <f t="shared" si="33"/>
        <v>227527.08000000002</v>
      </c>
      <c r="F707">
        <f t="shared" ref="F707:F770" si="34">(B707-32)*5/9+273.15</f>
        <v>344.26111111111106</v>
      </c>
      <c r="G707">
        <f t="shared" ref="G707:G770" si="35">1/(C707*0.062428)</f>
        <v>1.3714429159377906</v>
      </c>
    </row>
    <row r="708" spans="1:7" x14ac:dyDescent="0.35">
      <c r="A708">
        <v>33</v>
      </c>
      <c r="B708">
        <v>170</v>
      </c>
      <c r="C708">
        <v>11.88</v>
      </c>
      <c r="E708">
        <f t="shared" si="33"/>
        <v>227527.08000000002</v>
      </c>
      <c r="F708">
        <f t="shared" si="34"/>
        <v>349.81666666666666</v>
      </c>
      <c r="G708">
        <f t="shared" si="35"/>
        <v>1.3483546513597133</v>
      </c>
    </row>
    <row r="709" spans="1:7" x14ac:dyDescent="0.35">
      <c r="A709">
        <v>33</v>
      </c>
      <c r="B709">
        <v>180</v>
      </c>
      <c r="C709">
        <v>12.08</v>
      </c>
      <c r="E709">
        <f t="shared" si="33"/>
        <v>227527.08000000002</v>
      </c>
      <c r="F709">
        <f t="shared" si="34"/>
        <v>355.37222222222221</v>
      </c>
      <c r="G709">
        <f t="shared" si="35"/>
        <v>1.3260308988537577</v>
      </c>
    </row>
    <row r="710" spans="1:7" x14ac:dyDescent="0.35">
      <c r="A710">
        <v>33</v>
      </c>
      <c r="B710">
        <v>190</v>
      </c>
      <c r="C710">
        <v>12.27</v>
      </c>
      <c r="E710">
        <f t="shared" si="33"/>
        <v>227527.08000000002</v>
      </c>
      <c r="F710">
        <f t="shared" si="34"/>
        <v>360.92777777777775</v>
      </c>
      <c r="G710">
        <f t="shared" si="35"/>
        <v>1.3054974130524364</v>
      </c>
    </row>
    <row r="711" spans="1:7" x14ac:dyDescent="0.35">
      <c r="A711">
        <v>33</v>
      </c>
      <c r="B711">
        <v>200</v>
      </c>
      <c r="C711">
        <v>12.47</v>
      </c>
      <c r="E711">
        <f t="shared" si="33"/>
        <v>227527.08000000002</v>
      </c>
      <c r="F711">
        <f t="shared" si="34"/>
        <v>366.48333333333329</v>
      </c>
      <c r="G711">
        <f t="shared" si="35"/>
        <v>1.2845592027388446</v>
      </c>
    </row>
    <row r="712" spans="1:7" x14ac:dyDescent="0.35">
      <c r="A712">
        <v>33</v>
      </c>
      <c r="B712">
        <v>220</v>
      </c>
      <c r="C712">
        <v>12.86</v>
      </c>
      <c r="E712">
        <f t="shared" si="33"/>
        <v>227527.08000000002</v>
      </c>
      <c r="F712">
        <f t="shared" si="34"/>
        <v>377.59444444444443</v>
      </c>
      <c r="G712">
        <f t="shared" si="35"/>
        <v>1.2456028972125501</v>
      </c>
    </row>
    <row r="713" spans="1:7" x14ac:dyDescent="0.35">
      <c r="A713">
        <v>33</v>
      </c>
      <c r="B713">
        <v>240</v>
      </c>
      <c r="C713">
        <v>13.26</v>
      </c>
      <c r="E713">
        <f t="shared" si="33"/>
        <v>227527.08000000002</v>
      </c>
      <c r="F713">
        <f t="shared" si="34"/>
        <v>388.70555555555552</v>
      </c>
      <c r="G713">
        <f t="shared" si="35"/>
        <v>1.2080281491820055</v>
      </c>
    </row>
    <row r="714" spans="1:7" x14ac:dyDescent="0.35">
      <c r="A714">
        <v>33</v>
      </c>
      <c r="B714">
        <v>260</v>
      </c>
      <c r="C714">
        <v>13.65</v>
      </c>
      <c r="E714">
        <f t="shared" si="33"/>
        <v>227527.08000000002</v>
      </c>
      <c r="F714">
        <f t="shared" si="34"/>
        <v>399.81666666666666</v>
      </c>
      <c r="G714">
        <f t="shared" si="35"/>
        <v>1.1735130592053769</v>
      </c>
    </row>
    <row r="715" spans="1:7" x14ac:dyDescent="0.35">
      <c r="A715">
        <v>33</v>
      </c>
      <c r="B715">
        <v>280</v>
      </c>
      <c r="C715">
        <v>14.04</v>
      </c>
      <c r="E715">
        <f t="shared" si="33"/>
        <v>227527.08000000002</v>
      </c>
      <c r="F715">
        <f t="shared" si="34"/>
        <v>410.92777777777775</v>
      </c>
      <c r="G715">
        <f t="shared" si="35"/>
        <v>1.1409154742274497</v>
      </c>
    </row>
    <row r="716" spans="1:7" x14ac:dyDescent="0.35">
      <c r="A716">
        <v>34</v>
      </c>
      <c r="B716">
        <v>10</v>
      </c>
      <c r="C716">
        <v>8.3279999999999994</v>
      </c>
      <c r="E716">
        <f t="shared" si="33"/>
        <v>234421.84</v>
      </c>
      <c r="F716">
        <f t="shared" si="34"/>
        <v>260.92777777777775</v>
      </c>
      <c r="G716">
        <f t="shared" si="35"/>
        <v>1.9234453960318678</v>
      </c>
    </row>
    <row r="717" spans="1:7" x14ac:dyDescent="0.35">
      <c r="A717">
        <v>34</v>
      </c>
      <c r="B717">
        <v>20</v>
      </c>
      <c r="C717">
        <v>8.5419999999999998</v>
      </c>
      <c r="E717">
        <f t="shared" si="33"/>
        <v>234421.84</v>
      </c>
      <c r="F717">
        <f t="shared" si="34"/>
        <v>266.48333333333329</v>
      </c>
      <c r="G717">
        <f t="shared" si="35"/>
        <v>1.8752579323523055</v>
      </c>
    </row>
    <row r="718" spans="1:7" x14ac:dyDescent="0.35">
      <c r="A718">
        <v>34</v>
      </c>
      <c r="B718">
        <v>30</v>
      </c>
      <c r="C718">
        <v>8.7530000000000001</v>
      </c>
      <c r="E718">
        <f t="shared" si="33"/>
        <v>234421.84</v>
      </c>
      <c r="F718">
        <f t="shared" si="34"/>
        <v>272.03888888888889</v>
      </c>
      <c r="G718">
        <f t="shared" si="35"/>
        <v>1.8300529256430245</v>
      </c>
    </row>
    <row r="719" spans="1:7" x14ac:dyDescent="0.35">
      <c r="A719">
        <v>34</v>
      </c>
      <c r="B719">
        <v>40</v>
      </c>
      <c r="C719">
        <v>8.9600000000000009</v>
      </c>
      <c r="E719">
        <f t="shared" si="33"/>
        <v>234421.84</v>
      </c>
      <c r="F719">
        <f t="shared" si="34"/>
        <v>277.59444444444443</v>
      </c>
      <c r="G719">
        <f t="shared" si="35"/>
        <v>1.7877738011331912</v>
      </c>
    </row>
    <row r="720" spans="1:7" x14ac:dyDescent="0.35">
      <c r="A720">
        <v>34</v>
      </c>
      <c r="B720">
        <v>50</v>
      </c>
      <c r="C720">
        <v>9.1660000000000004</v>
      </c>
      <c r="E720">
        <f t="shared" si="33"/>
        <v>234421.84</v>
      </c>
      <c r="F720">
        <f t="shared" si="34"/>
        <v>283.14999999999998</v>
      </c>
      <c r="G720">
        <f t="shared" si="35"/>
        <v>1.7475947259604399</v>
      </c>
    </row>
    <row r="721" spans="1:7" x14ac:dyDescent="0.35">
      <c r="A721">
        <v>34</v>
      </c>
      <c r="B721">
        <v>60</v>
      </c>
      <c r="C721">
        <v>9.3689999999999998</v>
      </c>
      <c r="E721">
        <f t="shared" si="33"/>
        <v>234421.84</v>
      </c>
      <c r="F721">
        <f t="shared" si="34"/>
        <v>288.70555555555552</v>
      </c>
      <c r="G721">
        <f t="shared" si="35"/>
        <v>1.7097292409172156</v>
      </c>
    </row>
    <row r="722" spans="1:7" x14ac:dyDescent="0.35">
      <c r="A722">
        <v>34</v>
      </c>
      <c r="B722">
        <v>70</v>
      </c>
      <c r="C722">
        <v>9.57</v>
      </c>
      <c r="E722">
        <f t="shared" si="33"/>
        <v>234421.84</v>
      </c>
      <c r="F722">
        <f t="shared" si="34"/>
        <v>294.26111111111106</v>
      </c>
      <c r="G722">
        <f t="shared" si="35"/>
        <v>1.6738195672051612</v>
      </c>
    </row>
    <row r="723" spans="1:7" x14ac:dyDescent="0.35">
      <c r="A723">
        <v>34</v>
      </c>
      <c r="B723">
        <v>80</v>
      </c>
      <c r="C723">
        <v>9.77</v>
      </c>
      <c r="E723">
        <f t="shared" si="33"/>
        <v>234421.84</v>
      </c>
      <c r="F723">
        <f t="shared" si="34"/>
        <v>299.81666666666666</v>
      </c>
      <c r="G723">
        <f t="shared" si="35"/>
        <v>1.6395550929532645</v>
      </c>
    </row>
    <row r="724" spans="1:7" x14ac:dyDescent="0.35">
      <c r="A724">
        <v>34</v>
      </c>
      <c r="B724">
        <v>90</v>
      </c>
      <c r="C724">
        <v>9.9689999999999994</v>
      </c>
      <c r="E724">
        <f t="shared" si="33"/>
        <v>234421.84</v>
      </c>
      <c r="F724">
        <f t="shared" si="34"/>
        <v>305.37222222222221</v>
      </c>
      <c r="G724">
        <f t="shared" si="35"/>
        <v>1.6068264879279159</v>
      </c>
    </row>
    <row r="725" spans="1:7" x14ac:dyDescent="0.35">
      <c r="A725">
        <v>34</v>
      </c>
      <c r="B725">
        <v>100</v>
      </c>
      <c r="C725">
        <v>10.17</v>
      </c>
      <c r="E725">
        <f t="shared" si="33"/>
        <v>234421.84</v>
      </c>
      <c r="F725">
        <f t="shared" si="34"/>
        <v>310.92777777777775</v>
      </c>
      <c r="G725">
        <f t="shared" si="35"/>
        <v>1.575069150260904</v>
      </c>
    </row>
    <row r="726" spans="1:7" x14ac:dyDescent="0.35">
      <c r="A726">
        <v>34</v>
      </c>
      <c r="B726">
        <v>110</v>
      </c>
      <c r="C726">
        <v>10.36</v>
      </c>
      <c r="E726">
        <f t="shared" si="33"/>
        <v>234421.84</v>
      </c>
      <c r="F726">
        <f t="shared" si="34"/>
        <v>316.48333333333329</v>
      </c>
      <c r="G726">
        <f t="shared" si="35"/>
        <v>1.5461827469260034</v>
      </c>
    </row>
    <row r="727" spans="1:7" x14ac:dyDescent="0.35">
      <c r="A727">
        <v>34</v>
      </c>
      <c r="B727">
        <v>120</v>
      </c>
      <c r="C727">
        <v>10.56</v>
      </c>
      <c r="E727">
        <f t="shared" si="33"/>
        <v>234421.84</v>
      </c>
      <c r="F727">
        <f t="shared" si="34"/>
        <v>322.03888888888889</v>
      </c>
      <c r="G727">
        <f t="shared" si="35"/>
        <v>1.5168989827796773</v>
      </c>
    </row>
    <row r="728" spans="1:7" x14ac:dyDescent="0.35">
      <c r="A728">
        <v>34</v>
      </c>
      <c r="B728">
        <v>130</v>
      </c>
      <c r="C728">
        <v>10.75</v>
      </c>
      <c r="E728">
        <f t="shared" si="33"/>
        <v>234421.84</v>
      </c>
      <c r="F728">
        <f t="shared" si="34"/>
        <v>327.59444444444443</v>
      </c>
      <c r="G728">
        <f t="shared" si="35"/>
        <v>1.4900886751770599</v>
      </c>
    </row>
    <row r="729" spans="1:7" x14ac:dyDescent="0.35">
      <c r="A729">
        <v>34</v>
      </c>
      <c r="B729">
        <v>140</v>
      </c>
      <c r="C729">
        <v>10.95</v>
      </c>
      <c r="E729">
        <f t="shared" si="33"/>
        <v>234421.84</v>
      </c>
      <c r="F729">
        <f t="shared" si="34"/>
        <v>333.15</v>
      </c>
      <c r="G729">
        <f t="shared" si="35"/>
        <v>1.4628724436669767</v>
      </c>
    </row>
    <row r="730" spans="1:7" x14ac:dyDescent="0.35">
      <c r="A730">
        <v>34</v>
      </c>
      <c r="B730">
        <v>150</v>
      </c>
      <c r="C730">
        <v>11.17</v>
      </c>
      <c r="E730">
        <f t="shared" si="33"/>
        <v>234421.84</v>
      </c>
      <c r="F730">
        <f t="shared" si="34"/>
        <v>338.70555555555552</v>
      </c>
      <c r="G730">
        <f t="shared" si="35"/>
        <v>1.4340602737827568</v>
      </c>
    </row>
    <row r="731" spans="1:7" x14ac:dyDescent="0.35">
      <c r="A731">
        <v>34</v>
      </c>
      <c r="B731">
        <v>160</v>
      </c>
      <c r="C731">
        <v>11.33</v>
      </c>
      <c r="E731">
        <f t="shared" si="33"/>
        <v>234421.84</v>
      </c>
      <c r="F731">
        <f t="shared" si="34"/>
        <v>344.26111111111106</v>
      </c>
      <c r="G731">
        <f t="shared" si="35"/>
        <v>1.4138087606490197</v>
      </c>
    </row>
    <row r="732" spans="1:7" x14ac:dyDescent="0.35">
      <c r="A732">
        <v>34</v>
      </c>
      <c r="B732">
        <v>170</v>
      </c>
      <c r="C732">
        <v>11.53</v>
      </c>
      <c r="E732">
        <f t="shared" si="33"/>
        <v>234421.84</v>
      </c>
      <c r="F732">
        <f t="shared" si="34"/>
        <v>349.81666666666666</v>
      </c>
      <c r="G732">
        <f t="shared" si="35"/>
        <v>1.3892847578623932</v>
      </c>
    </row>
    <row r="733" spans="1:7" x14ac:dyDescent="0.35">
      <c r="A733">
        <v>34</v>
      </c>
      <c r="B733">
        <v>180</v>
      </c>
      <c r="C733">
        <v>11.72</v>
      </c>
      <c r="E733">
        <f t="shared" si="33"/>
        <v>234421.84</v>
      </c>
      <c r="F733">
        <f t="shared" si="34"/>
        <v>355.37222222222221</v>
      </c>
      <c r="G733">
        <f t="shared" si="35"/>
        <v>1.3667622233919277</v>
      </c>
    </row>
    <row r="734" spans="1:7" x14ac:dyDescent="0.35">
      <c r="A734">
        <v>34</v>
      </c>
      <c r="B734">
        <v>190</v>
      </c>
      <c r="C734">
        <v>11.91</v>
      </c>
      <c r="E734">
        <f t="shared" si="33"/>
        <v>234421.84</v>
      </c>
      <c r="F734">
        <f t="shared" si="34"/>
        <v>360.92777777777775</v>
      </c>
      <c r="G734">
        <f t="shared" si="35"/>
        <v>1.3449582920363892</v>
      </c>
    </row>
    <row r="735" spans="1:7" x14ac:dyDescent="0.35">
      <c r="A735">
        <v>34</v>
      </c>
      <c r="B735">
        <v>200</v>
      </c>
      <c r="C735">
        <v>12.1</v>
      </c>
      <c r="E735">
        <f t="shared" si="33"/>
        <v>234421.84</v>
      </c>
      <c r="F735">
        <f t="shared" si="34"/>
        <v>366.48333333333329</v>
      </c>
      <c r="G735">
        <f t="shared" si="35"/>
        <v>1.3238391122440822</v>
      </c>
    </row>
    <row r="736" spans="1:7" x14ac:dyDescent="0.35">
      <c r="A736">
        <v>34</v>
      </c>
      <c r="B736">
        <v>220</v>
      </c>
      <c r="C736">
        <v>12.48</v>
      </c>
      <c r="E736">
        <f t="shared" si="33"/>
        <v>234421.84</v>
      </c>
      <c r="F736">
        <f t="shared" si="34"/>
        <v>377.59444444444443</v>
      </c>
      <c r="G736">
        <f t="shared" si="35"/>
        <v>1.2835299085058807</v>
      </c>
    </row>
    <row r="737" spans="1:7" x14ac:dyDescent="0.35">
      <c r="A737">
        <v>34</v>
      </c>
      <c r="B737">
        <v>240</v>
      </c>
      <c r="C737">
        <v>12.83</v>
      </c>
      <c r="E737">
        <f t="shared" si="33"/>
        <v>234421.84</v>
      </c>
      <c r="F737">
        <f t="shared" si="34"/>
        <v>388.70555555555552</v>
      </c>
      <c r="G737">
        <f t="shared" si="35"/>
        <v>1.2485154527009661</v>
      </c>
    </row>
    <row r="738" spans="1:7" x14ac:dyDescent="0.35">
      <c r="A738">
        <v>34</v>
      </c>
      <c r="B738">
        <v>260</v>
      </c>
      <c r="C738">
        <v>13.24</v>
      </c>
      <c r="E738">
        <f t="shared" si="33"/>
        <v>234421.84</v>
      </c>
      <c r="F738">
        <f t="shared" si="34"/>
        <v>399.81666666666666</v>
      </c>
      <c r="G738">
        <f t="shared" si="35"/>
        <v>1.2098529651173258</v>
      </c>
    </row>
    <row r="739" spans="1:7" x14ac:dyDescent="0.35">
      <c r="A739">
        <v>34</v>
      </c>
      <c r="B739">
        <v>280</v>
      </c>
      <c r="C739">
        <v>13.62</v>
      </c>
      <c r="E739">
        <f t="shared" si="33"/>
        <v>234421.84</v>
      </c>
      <c r="F739">
        <f t="shared" si="34"/>
        <v>410.92777777777775</v>
      </c>
      <c r="G739">
        <f t="shared" si="35"/>
        <v>1.1760978897322609</v>
      </c>
    </row>
    <row r="740" spans="1:7" x14ac:dyDescent="0.35">
      <c r="A740">
        <v>35</v>
      </c>
      <c r="B740">
        <v>10</v>
      </c>
      <c r="C740">
        <v>8.0779999999999994</v>
      </c>
      <c r="E740">
        <f t="shared" si="33"/>
        <v>241316.6</v>
      </c>
      <c r="F740">
        <f t="shared" si="34"/>
        <v>260.92777777777775</v>
      </c>
      <c r="G740">
        <f t="shared" si="35"/>
        <v>1.9829726737005937</v>
      </c>
    </row>
    <row r="741" spans="1:7" x14ac:dyDescent="0.35">
      <c r="A741">
        <v>35</v>
      </c>
      <c r="B741">
        <v>20</v>
      </c>
      <c r="C741">
        <v>8.2870000000000008</v>
      </c>
      <c r="E741">
        <f t="shared" si="33"/>
        <v>241316.6</v>
      </c>
      <c r="F741">
        <f t="shared" si="34"/>
        <v>266.48333333333329</v>
      </c>
      <c r="G741">
        <f t="shared" si="35"/>
        <v>1.9329616577957514</v>
      </c>
    </row>
    <row r="742" spans="1:7" x14ac:dyDescent="0.35">
      <c r="A742">
        <v>35</v>
      </c>
      <c r="B742">
        <v>30</v>
      </c>
      <c r="C742">
        <v>8.4930000000000003</v>
      </c>
      <c r="E742">
        <f t="shared" si="33"/>
        <v>241316.6</v>
      </c>
      <c r="F742">
        <f t="shared" si="34"/>
        <v>272.03888888888889</v>
      </c>
      <c r="G742">
        <f t="shared" si="35"/>
        <v>1.8860771527320608</v>
      </c>
    </row>
    <row r="743" spans="1:7" x14ac:dyDescent="0.35">
      <c r="A743">
        <v>35</v>
      </c>
      <c r="B743">
        <v>40</v>
      </c>
      <c r="C743">
        <v>8.6950000000000003</v>
      </c>
      <c r="E743">
        <f t="shared" si="33"/>
        <v>241316.6</v>
      </c>
      <c r="F743">
        <f t="shared" si="34"/>
        <v>277.59444444444443</v>
      </c>
      <c r="G743">
        <f t="shared" si="35"/>
        <v>1.8422602942097057</v>
      </c>
    </row>
    <row r="744" spans="1:7" x14ac:dyDescent="0.35">
      <c r="A744">
        <v>35</v>
      </c>
      <c r="B744">
        <v>50</v>
      </c>
      <c r="C744">
        <v>8.8949999999999996</v>
      </c>
      <c r="E744">
        <f t="shared" si="33"/>
        <v>241316.6</v>
      </c>
      <c r="F744">
        <f t="shared" si="34"/>
        <v>283.14999999999998</v>
      </c>
      <c r="G744">
        <f t="shared" si="35"/>
        <v>1.8008379154753678</v>
      </c>
    </row>
    <row r="745" spans="1:7" x14ac:dyDescent="0.35">
      <c r="A745">
        <v>35</v>
      </c>
      <c r="B745">
        <v>60</v>
      </c>
      <c r="C745">
        <v>9.093</v>
      </c>
      <c r="E745">
        <f t="shared" si="33"/>
        <v>241316.6</v>
      </c>
      <c r="F745">
        <f t="shared" si="34"/>
        <v>288.70555555555552</v>
      </c>
      <c r="G745">
        <f t="shared" si="35"/>
        <v>1.7616246847193877</v>
      </c>
    </row>
    <row r="746" spans="1:7" x14ac:dyDescent="0.35">
      <c r="A746">
        <v>35</v>
      </c>
      <c r="B746">
        <v>70</v>
      </c>
      <c r="C746">
        <v>9.2889999999999997</v>
      </c>
      <c r="E746">
        <f t="shared" si="33"/>
        <v>241316.6</v>
      </c>
      <c r="F746">
        <f t="shared" si="34"/>
        <v>294.26111111111106</v>
      </c>
      <c r="G746">
        <f t="shared" si="35"/>
        <v>1.7244540056145325</v>
      </c>
    </row>
    <row r="747" spans="1:7" x14ac:dyDescent="0.35">
      <c r="A747">
        <v>35</v>
      </c>
      <c r="B747">
        <v>80</v>
      </c>
      <c r="C747">
        <v>9.484</v>
      </c>
      <c r="E747">
        <f t="shared" si="33"/>
        <v>241316.6</v>
      </c>
      <c r="F747">
        <f t="shared" si="34"/>
        <v>299.81666666666666</v>
      </c>
      <c r="G747">
        <f t="shared" si="35"/>
        <v>1.6889976020828126</v>
      </c>
    </row>
    <row r="748" spans="1:7" x14ac:dyDescent="0.35">
      <c r="A748">
        <v>35</v>
      </c>
      <c r="B748">
        <v>90</v>
      </c>
      <c r="C748">
        <v>9.6769999999999996</v>
      </c>
      <c r="E748">
        <f t="shared" si="33"/>
        <v>241316.6</v>
      </c>
      <c r="F748">
        <f t="shared" si="34"/>
        <v>305.37222222222221</v>
      </c>
      <c r="G748">
        <f t="shared" si="35"/>
        <v>1.6553119001915255</v>
      </c>
    </row>
    <row r="749" spans="1:7" x14ac:dyDescent="0.35">
      <c r="A749">
        <v>35</v>
      </c>
      <c r="B749">
        <v>100</v>
      </c>
      <c r="C749">
        <v>9.8689999999999998</v>
      </c>
      <c r="E749">
        <f t="shared" si="33"/>
        <v>241316.6</v>
      </c>
      <c r="F749">
        <f t="shared" si="34"/>
        <v>310.92777777777775</v>
      </c>
      <c r="G749">
        <f t="shared" si="35"/>
        <v>1.6231080411544627</v>
      </c>
    </row>
    <row r="750" spans="1:7" x14ac:dyDescent="0.35">
      <c r="A750">
        <v>35</v>
      </c>
      <c r="B750">
        <v>110</v>
      </c>
      <c r="C750">
        <v>10.06</v>
      </c>
      <c r="E750">
        <f t="shared" si="33"/>
        <v>241316.6</v>
      </c>
      <c r="F750">
        <f t="shared" si="34"/>
        <v>316.48333333333329</v>
      </c>
      <c r="G750">
        <f t="shared" si="35"/>
        <v>1.5922915763571961</v>
      </c>
    </row>
    <row r="751" spans="1:7" x14ac:dyDescent="0.35">
      <c r="A751">
        <v>35</v>
      </c>
      <c r="B751">
        <v>120</v>
      </c>
      <c r="C751">
        <v>10.25</v>
      </c>
      <c r="E751">
        <f t="shared" si="33"/>
        <v>241316.6</v>
      </c>
      <c r="F751">
        <f t="shared" si="34"/>
        <v>322.03888888888889</v>
      </c>
      <c r="G751">
        <f t="shared" si="35"/>
        <v>1.5627759276247213</v>
      </c>
    </row>
    <row r="752" spans="1:7" x14ac:dyDescent="0.35">
      <c r="A752">
        <v>35</v>
      </c>
      <c r="B752">
        <v>130</v>
      </c>
      <c r="C752">
        <v>10.44</v>
      </c>
      <c r="E752">
        <f t="shared" si="33"/>
        <v>241316.6</v>
      </c>
      <c r="F752">
        <f t="shared" si="34"/>
        <v>327.59444444444443</v>
      </c>
      <c r="G752">
        <f t="shared" si="35"/>
        <v>1.5343346032713978</v>
      </c>
    </row>
    <row r="753" spans="1:7" x14ac:dyDescent="0.35">
      <c r="A753">
        <v>35</v>
      </c>
      <c r="B753">
        <v>140</v>
      </c>
      <c r="C753">
        <v>10.63</v>
      </c>
      <c r="E753">
        <f t="shared" si="33"/>
        <v>241316.6</v>
      </c>
      <c r="F753">
        <f t="shared" si="34"/>
        <v>333.15</v>
      </c>
      <c r="G753">
        <f t="shared" si="35"/>
        <v>1.5069099960633483</v>
      </c>
    </row>
    <row r="754" spans="1:7" x14ac:dyDescent="0.35">
      <c r="A754">
        <v>35</v>
      </c>
      <c r="B754">
        <v>150</v>
      </c>
      <c r="C754">
        <v>10.82</v>
      </c>
      <c r="E754">
        <f t="shared" si="33"/>
        <v>241316.6</v>
      </c>
      <c r="F754">
        <f t="shared" si="34"/>
        <v>338.70555555555552</v>
      </c>
      <c r="G754">
        <f t="shared" si="35"/>
        <v>1.4804485451158405</v>
      </c>
    </row>
    <row r="755" spans="1:7" x14ac:dyDescent="0.35">
      <c r="A755">
        <v>35</v>
      </c>
      <c r="B755">
        <v>160</v>
      </c>
      <c r="C755">
        <v>11</v>
      </c>
      <c r="E755">
        <f t="shared" si="33"/>
        <v>241316.6</v>
      </c>
      <c r="F755">
        <f t="shared" si="34"/>
        <v>344.26111111111106</v>
      </c>
      <c r="G755">
        <f t="shared" si="35"/>
        <v>1.4562230234684903</v>
      </c>
    </row>
    <row r="756" spans="1:7" x14ac:dyDescent="0.35">
      <c r="A756">
        <v>35</v>
      </c>
      <c r="B756">
        <v>170</v>
      </c>
      <c r="C756">
        <v>11.19</v>
      </c>
      <c r="E756">
        <f t="shared" si="33"/>
        <v>241316.6</v>
      </c>
      <c r="F756">
        <f t="shared" si="34"/>
        <v>349.81666666666666</v>
      </c>
      <c r="G756">
        <f t="shared" si="35"/>
        <v>1.4314971633738511</v>
      </c>
    </row>
    <row r="757" spans="1:7" x14ac:dyDescent="0.35">
      <c r="A757">
        <v>35</v>
      </c>
      <c r="B757">
        <v>180</v>
      </c>
      <c r="C757">
        <v>11.38</v>
      </c>
      <c r="E757">
        <f t="shared" si="33"/>
        <v>241316.6</v>
      </c>
      <c r="F757">
        <f t="shared" si="34"/>
        <v>355.37222222222221</v>
      </c>
      <c r="G757">
        <f t="shared" si="35"/>
        <v>1.4075969471136549</v>
      </c>
    </row>
    <row r="758" spans="1:7" x14ac:dyDescent="0.35">
      <c r="A758">
        <v>35</v>
      </c>
      <c r="B758">
        <v>190</v>
      </c>
      <c r="C758">
        <v>11.56</v>
      </c>
      <c r="E758">
        <f t="shared" si="33"/>
        <v>241316.6</v>
      </c>
      <c r="F758">
        <f t="shared" si="34"/>
        <v>360.92777777777775</v>
      </c>
      <c r="G758">
        <f t="shared" si="35"/>
        <v>1.3856793475911238</v>
      </c>
    </row>
    <row r="759" spans="1:7" x14ac:dyDescent="0.35">
      <c r="A759">
        <v>35</v>
      </c>
      <c r="B759">
        <v>200</v>
      </c>
      <c r="C759">
        <v>11.75</v>
      </c>
      <c r="E759">
        <f t="shared" si="33"/>
        <v>241316.6</v>
      </c>
      <c r="F759">
        <f t="shared" si="34"/>
        <v>366.48333333333329</v>
      </c>
      <c r="G759">
        <f t="shared" si="35"/>
        <v>1.3632726177151824</v>
      </c>
    </row>
    <row r="760" spans="1:7" x14ac:dyDescent="0.35">
      <c r="A760">
        <v>35</v>
      </c>
      <c r="B760">
        <v>220</v>
      </c>
      <c r="C760">
        <v>12.12</v>
      </c>
      <c r="E760">
        <f t="shared" si="33"/>
        <v>241316.6</v>
      </c>
      <c r="F760">
        <f t="shared" si="34"/>
        <v>377.59444444444443</v>
      </c>
      <c r="G760">
        <f t="shared" si="35"/>
        <v>1.3216545592535802</v>
      </c>
    </row>
    <row r="761" spans="1:7" x14ac:dyDescent="0.35">
      <c r="A761">
        <v>35</v>
      </c>
      <c r="B761">
        <v>240</v>
      </c>
      <c r="C761">
        <v>12.49</v>
      </c>
      <c r="E761">
        <f t="shared" si="33"/>
        <v>241316.6</v>
      </c>
      <c r="F761">
        <f t="shared" si="34"/>
        <v>388.70555555555552</v>
      </c>
      <c r="G761">
        <f t="shared" si="35"/>
        <v>1.2825022624622413</v>
      </c>
    </row>
    <row r="762" spans="1:7" x14ac:dyDescent="0.35">
      <c r="A762">
        <v>35</v>
      </c>
      <c r="B762">
        <v>260</v>
      </c>
      <c r="C762">
        <v>12.86</v>
      </c>
      <c r="E762">
        <f t="shared" si="33"/>
        <v>241316.6</v>
      </c>
      <c r="F762">
        <f t="shared" si="34"/>
        <v>399.81666666666666</v>
      </c>
      <c r="G762">
        <f t="shared" si="35"/>
        <v>1.2456028972125501</v>
      </c>
    </row>
    <row r="763" spans="1:7" x14ac:dyDescent="0.35">
      <c r="A763">
        <v>35</v>
      </c>
      <c r="B763">
        <v>280</v>
      </c>
      <c r="C763">
        <v>13.23</v>
      </c>
      <c r="E763">
        <f t="shared" si="33"/>
        <v>241316.6</v>
      </c>
      <c r="F763">
        <f t="shared" si="34"/>
        <v>410.92777777777775</v>
      </c>
      <c r="G763">
        <f t="shared" si="35"/>
        <v>1.2107674420372934</v>
      </c>
    </row>
    <row r="764" spans="1:7" x14ac:dyDescent="0.35">
      <c r="A764">
        <v>36</v>
      </c>
      <c r="B764">
        <v>10</v>
      </c>
      <c r="C764">
        <v>7.8419999999999996</v>
      </c>
      <c r="E764">
        <f t="shared" si="33"/>
        <v>248211.36000000002</v>
      </c>
      <c r="F764">
        <f t="shared" si="34"/>
        <v>260.92777777777775</v>
      </c>
      <c r="G764">
        <f t="shared" si="35"/>
        <v>2.0426489745158625</v>
      </c>
    </row>
    <row r="765" spans="1:7" x14ac:dyDescent="0.35">
      <c r="A765">
        <v>36</v>
      </c>
      <c r="B765">
        <v>20</v>
      </c>
      <c r="C765">
        <v>8.0459999999999994</v>
      </c>
      <c r="E765">
        <f t="shared" si="33"/>
        <v>248211.36000000002</v>
      </c>
      <c r="F765">
        <f t="shared" si="34"/>
        <v>266.48333333333329</v>
      </c>
      <c r="G765">
        <f t="shared" si="35"/>
        <v>1.9908592167727313</v>
      </c>
    </row>
    <row r="766" spans="1:7" x14ac:dyDescent="0.35">
      <c r="A766">
        <v>36</v>
      </c>
      <c r="B766">
        <v>30</v>
      </c>
      <c r="C766">
        <v>8.2469999999999999</v>
      </c>
      <c r="E766">
        <f t="shared" si="33"/>
        <v>248211.36000000002</v>
      </c>
      <c r="F766">
        <f t="shared" si="34"/>
        <v>272.03888888888889</v>
      </c>
      <c r="G766">
        <f t="shared" si="35"/>
        <v>1.942337002322468</v>
      </c>
    </row>
    <row r="767" spans="1:7" x14ac:dyDescent="0.35">
      <c r="A767">
        <v>36</v>
      </c>
      <c r="B767">
        <v>40</v>
      </c>
      <c r="C767">
        <v>8.4450000000000003</v>
      </c>
      <c r="E767">
        <f t="shared" si="33"/>
        <v>248211.36000000002</v>
      </c>
      <c r="F767">
        <f t="shared" si="34"/>
        <v>277.59444444444443</v>
      </c>
      <c r="G767">
        <f t="shared" si="35"/>
        <v>1.8967973070637529</v>
      </c>
    </row>
    <row r="768" spans="1:7" x14ac:dyDescent="0.35">
      <c r="A768">
        <v>36</v>
      </c>
      <c r="B768">
        <v>50</v>
      </c>
      <c r="C768">
        <v>8.64</v>
      </c>
      <c r="E768">
        <f t="shared" si="33"/>
        <v>248211.36000000002</v>
      </c>
      <c r="F768">
        <f t="shared" si="34"/>
        <v>283.14999999999998</v>
      </c>
      <c r="G768">
        <f t="shared" si="35"/>
        <v>1.8539876456196054</v>
      </c>
    </row>
    <row r="769" spans="1:7" x14ac:dyDescent="0.35">
      <c r="A769">
        <v>36</v>
      </c>
      <c r="B769">
        <v>60</v>
      </c>
      <c r="C769">
        <v>8.8330000000000002</v>
      </c>
      <c r="E769">
        <f t="shared" si="33"/>
        <v>248211.36000000002</v>
      </c>
      <c r="F769">
        <f t="shared" si="34"/>
        <v>288.70555555555552</v>
      </c>
      <c r="G769">
        <f t="shared" si="35"/>
        <v>1.8134782359507973</v>
      </c>
    </row>
    <row r="770" spans="1:7" x14ac:dyDescent="0.35">
      <c r="A770">
        <v>36</v>
      </c>
      <c r="B770">
        <v>70</v>
      </c>
      <c r="C770">
        <v>9.0239999999999991</v>
      </c>
      <c r="E770">
        <f t="shared" ref="E770:E833" si="36">A770*6894.76</f>
        <v>248211.36000000002</v>
      </c>
      <c r="F770">
        <f t="shared" si="34"/>
        <v>294.26111111111106</v>
      </c>
      <c r="G770">
        <f t="shared" si="35"/>
        <v>1.7750945543166441</v>
      </c>
    </row>
    <row r="771" spans="1:7" x14ac:dyDescent="0.35">
      <c r="A771">
        <v>36</v>
      </c>
      <c r="B771">
        <v>80</v>
      </c>
      <c r="C771">
        <v>9.2140000000000004</v>
      </c>
      <c r="E771">
        <f t="shared" si="36"/>
        <v>248211.36000000002</v>
      </c>
      <c r="F771">
        <f t="shared" ref="F771:F834" si="37">(B771-32)*5/9+273.15</f>
        <v>299.81666666666666</v>
      </c>
      <c r="G771">
        <f t="shared" ref="G771:G834" si="38">1/(C771*0.062428)</f>
        <v>1.738490694394768</v>
      </c>
    </row>
    <row r="772" spans="1:7" x14ac:dyDescent="0.35">
      <c r="A772">
        <v>36</v>
      </c>
      <c r="B772">
        <v>90</v>
      </c>
      <c r="C772">
        <v>9.4019999999999992</v>
      </c>
      <c r="E772">
        <f t="shared" si="36"/>
        <v>248211.36000000002</v>
      </c>
      <c r="F772">
        <f t="shared" si="37"/>
        <v>305.37222222222221</v>
      </c>
      <c r="G772">
        <f t="shared" si="38"/>
        <v>1.703728276765943</v>
      </c>
    </row>
    <row r="773" spans="1:7" x14ac:dyDescent="0.35">
      <c r="A773">
        <v>36</v>
      </c>
      <c r="B773">
        <v>100</v>
      </c>
      <c r="C773">
        <v>9.5890000000000004</v>
      </c>
      <c r="E773">
        <f t="shared" si="36"/>
        <v>248211.36000000002</v>
      </c>
      <c r="F773">
        <f t="shared" si="37"/>
        <v>310.92777777777775</v>
      </c>
      <c r="G773">
        <f t="shared" si="38"/>
        <v>1.6705029990774212</v>
      </c>
    </row>
    <row r="774" spans="1:7" x14ac:dyDescent="0.35">
      <c r="A774">
        <v>36</v>
      </c>
      <c r="B774">
        <v>110</v>
      </c>
      <c r="C774">
        <v>9.7750000000000004</v>
      </c>
      <c r="E774">
        <f t="shared" si="36"/>
        <v>248211.36000000002</v>
      </c>
      <c r="F774">
        <f t="shared" si="37"/>
        <v>316.48333333333329</v>
      </c>
      <c r="G774">
        <f t="shared" si="38"/>
        <v>1.6387164458468944</v>
      </c>
    </row>
    <row r="775" spans="1:7" x14ac:dyDescent="0.35">
      <c r="A775">
        <v>36</v>
      </c>
      <c r="B775">
        <v>120</v>
      </c>
      <c r="C775">
        <v>9.9610000000000003</v>
      </c>
      <c r="E775">
        <f t="shared" si="36"/>
        <v>248211.36000000002</v>
      </c>
      <c r="F775">
        <f t="shared" si="37"/>
        <v>322.03888888888889</v>
      </c>
      <c r="G775">
        <f t="shared" si="38"/>
        <v>1.6081169820453158</v>
      </c>
    </row>
    <row r="776" spans="1:7" x14ac:dyDescent="0.35">
      <c r="A776">
        <v>36</v>
      </c>
      <c r="B776">
        <v>130</v>
      </c>
      <c r="C776">
        <v>10.15</v>
      </c>
      <c r="E776">
        <f t="shared" si="36"/>
        <v>248211.36000000002</v>
      </c>
      <c r="F776">
        <f t="shared" si="37"/>
        <v>327.59444444444443</v>
      </c>
      <c r="G776">
        <f t="shared" si="38"/>
        <v>1.5781727347934378</v>
      </c>
    </row>
    <row r="777" spans="1:7" x14ac:dyDescent="0.35">
      <c r="A777">
        <v>36</v>
      </c>
      <c r="B777">
        <v>140</v>
      </c>
      <c r="C777">
        <v>10.33</v>
      </c>
      <c r="E777">
        <f t="shared" si="36"/>
        <v>248211.36000000002</v>
      </c>
      <c r="F777">
        <f t="shared" si="37"/>
        <v>333.15</v>
      </c>
      <c r="G777">
        <f t="shared" si="38"/>
        <v>1.5506731130835811</v>
      </c>
    </row>
    <row r="778" spans="1:7" x14ac:dyDescent="0.35">
      <c r="A778">
        <v>36</v>
      </c>
      <c r="B778">
        <v>150</v>
      </c>
      <c r="C778">
        <v>10.51</v>
      </c>
      <c r="E778">
        <f t="shared" si="36"/>
        <v>248211.36000000002</v>
      </c>
      <c r="F778">
        <f t="shared" si="37"/>
        <v>338.70555555555552</v>
      </c>
      <c r="G778">
        <f t="shared" si="38"/>
        <v>1.5241154384541764</v>
      </c>
    </row>
    <row r="779" spans="1:7" x14ac:dyDescent="0.35">
      <c r="A779">
        <v>36</v>
      </c>
      <c r="B779">
        <v>160</v>
      </c>
      <c r="C779">
        <v>10.69</v>
      </c>
      <c r="E779">
        <f t="shared" si="36"/>
        <v>248211.36000000002</v>
      </c>
      <c r="F779">
        <f t="shared" si="37"/>
        <v>344.26111111111106</v>
      </c>
      <c r="G779">
        <f t="shared" si="38"/>
        <v>1.4984521289198685</v>
      </c>
    </row>
    <row r="780" spans="1:7" x14ac:dyDescent="0.35">
      <c r="A780">
        <v>36</v>
      </c>
      <c r="B780">
        <v>170</v>
      </c>
      <c r="C780">
        <v>10.88</v>
      </c>
      <c r="E780">
        <f t="shared" si="36"/>
        <v>248211.36000000002</v>
      </c>
      <c r="F780">
        <f t="shared" si="37"/>
        <v>349.81666666666666</v>
      </c>
      <c r="G780">
        <f t="shared" si="38"/>
        <v>1.4722843068155691</v>
      </c>
    </row>
    <row r="781" spans="1:7" x14ac:dyDescent="0.35">
      <c r="A781">
        <v>36</v>
      </c>
      <c r="B781">
        <v>180</v>
      </c>
      <c r="C781">
        <v>11.06</v>
      </c>
      <c r="E781">
        <f t="shared" si="36"/>
        <v>248211.36000000002</v>
      </c>
      <c r="F781">
        <f t="shared" si="37"/>
        <v>355.37222222222221</v>
      </c>
      <c r="G781">
        <f t="shared" si="38"/>
        <v>1.4483230793990409</v>
      </c>
    </row>
    <row r="782" spans="1:7" x14ac:dyDescent="0.35">
      <c r="A782">
        <v>36</v>
      </c>
      <c r="B782">
        <v>190</v>
      </c>
      <c r="C782">
        <v>11.24</v>
      </c>
      <c r="E782">
        <f t="shared" si="36"/>
        <v>248211.36000000002</v>
      </c>
      <c r="F782">
        <f t="shared" si="37"/>
        <v>360.92777777777775</v>
      </c>
      <c r="G782">
        <f t="shared" si="38"/>
        <v>1.4251292934300173</v>
      </c>
    </row>
    <row r="783" spans="1:7" x14ac:dyDescent="0.35">
      <c r="A783">
        <v>36</v>
      </c>
      <c r="B783">
        <v>200</v>
      </c>
      <c r="C783">
        <v>11.42</v>
      </c>
      <c r="E783">
        <f t="shared" si="36"/>
        <v>248211.36000000002</v>
      </c>
      <c r="F783">
        <f t="shared" si="37"/>
        <v>366.48333333333329</v>
      </c>
      <c r="G783">
        <f t="shared" si="38"/>
        <v>1.4026666600834847</v>
      </c>
    </row>
    <row r="784" spans="1:7" x14ac:dyDescent="0.35">
      <c r="A784">
        <v>36</v>
      </c>
      <c r="B784">
        <v>220</v>
      </c>
      <c r="C784">
        <v>11.78</v>
      </c>
      <c r="E784">
        <f t="shared" si="36"/>
        <v>248211.36000000002</v>
      </c>
      <c r="F784">
        <f t="shared" si="37"/>
        <v>377.59444444444443</v>
      </c>
      <c r="G784">
        <f t="shared" si="38"/>
        <v>1.3598007859213408</v>
      </c>
    </row>
    <row r="785" spans="1:7" x14ac:dyDescent="0.35">
      <c r="A785">
        <v>36</v>
      </c>
      <c r="B785">
        <v>240</v>
      </c>
      <c r="C785">
        <v>12.14</v>
      </c>
      <c r="E785">
        <f t="shared" si="36"/>
        <v>248211.36000000002</v>
      </c>
      <c r="F785">
        <f t="shared" si="37"/>
        <v>388.70555555555552</v>
      </c>
      <c r="G785">
        <f t="shared" si="38"/>
        <v>1.3194772041312515</v>
      </c>
    </row>
    <row r="786" spans="1:7" x14ac:dyDescent="0.35">
      <c r="A786">
        <v>36</v>
      </c>
      <c r="B786">
        <v>260</v>
      </c>
      <c r="C786">
        <v>12.5</v>
      </c>
      <c r="E786">
        <f t="shared" si="36"/>
        <v>248211.36000000002</v>
      </c>
      <c r="F786">
        <f t="shared" si="37"/>
        <v>399.81666666666666</v>
      </c>
      <c r="G786">
        <f t="shared" si="38"/>
        <v>1.2814762606522714</v>
      </c>
    </row>
    <row r="787" spans="1:7" x14ac:dyDescent="0.35">
      <c r="A787">
        <v>36</v>
      </c>
      <c r="B787">
        <v>280</v>
      </c>
      <c r="C787">
        <v>12.86</v>
      </c>
      <c r="E787">
        <f t="shared" si="36"/>
        <v>248211.36000000002</v>
      </c>
      <c r="F787">
        <f t="shared" si="37"/>
        <v>410.92777777777775</v>
      </c>
      <c r="G787">
        <f t="shared" si="38"/>
        <v>1.2456028972125501</v>
      </c>
    </row>
    <row r="788" spans="1:7" x14ac:dyDescent="0.35">
      <c r="A788">
        <v>37</v>
      </c>
      <c r="B788">
        <v>10</v>
      </c>
      <c r="C788">
        <v>7.6189999999999998</v>
      </c>
      <c r="E788">
        <f t="shared" si="36"/>
        <v>255106.12</v>
      </c>
      <c r="F788">
        <f t="shared" si="37"/>
        <v>260.92777777777775</v>
      </c>
      <c r="G788">
        <f t="shared" si="38"/>
        <v>2.1024351303521978</v>
      </c>
    </row>
    <row r="789" spans="1:7" x14ac:dyDescent="0.35">
      <c r="A789">
        <v>37</v>
      </c>
      <c r="B789">
        <v>20</v>
      </c>
      <c r="C789">
        <v>7.819</v>
      </c>
      <c r="E789">
        <f t="shared" si="36"/>
        <v>255106.12</v>
      </c>
      <c r="F789">
        <f t="shared" si="37"/>
        <v>266.48333333333329</v>
      </c>
      <c r="G789">
        <f t="shared" si="38"/>
        <v>2.0486575339753665</v>
      </c>
    </row>
    <row r="790" spans="1:7" x14ac:dyDescent="0.35">
      <c r="A790">
        <v>37</v>
      </c>
      <c r="B790">
        <v>30</v>
      </c>
      <c r="C790">
        <v>8.0150000000000006</v>
      </c>
      <c r="E790">
        <f t="shared" si="36"/>
        <v>255106.12</v>
      </c>
      <c r="F790">
        <f t="shared" si="37"/>
        <v>272.03888888888889</v>
      </c>
      <c r="G790">
        <f t="shared" si="38"/>
        <v>1.9985593584720389</v>
      </c>
    </row>
    <row r="791" spans="1:7" x14ac:dyDescent="0.35">
      <c r="A791">
        <v>37</v>
      </c>
      <c r="B791">
        <v>40</v>
      </c>
      <c r="C791">
        <v>8.2080000000000002</v>
      </c>
      <c r="E791">
        <f t="shared" si="36"/>
        <v>255106.12</v>
      </c>
      <c r="F791">
        <f t="shared" si="37"/>
        <v>277.59444444444443</v>
      </c>
      <c r="G791">
        <f t="shared" si="38"/>
        <v>1.9515659427574796</v>
      </c>
    </row>
    <row r="792" spans="1:7" x14ac:dyDescent="0.35">
      <c r="A792">
        <v>37</v>
      </c>
      <c r="B792">
        <v>50</v>
      </c>
      <c r="C792">
        <v>8.3979999999999997</v>
      </c>
      <c r="E792">
        <f t="shared" si="36"/>
        <v>255106.12</v>
      </c>
      <c r="F792">
        <f t="shared" si="37"/>
        <v>283.14999999999998</v>
      </c>
      <c r="G792">
        <f t="shared" si="38"/>
        <v>1.9074128671294825</v>
      </c>
    </row>
    <row r="793" spans="1:7" x14ac:dyDescent="0.35">
      <c r="A793">
        <v>37</v>
      </c>
      <c r="B793">
        <v>60</v>
      </c>
      <c r="C793">
        <v>8.5869999999999997</v>
      </c>
      <c r="E793">
        <f t="shared" si="36"/>
        <v>255106.12</v>
      </c>
      <c r="F793">
        <f t="shared" si="37"/>
        <v>288.70555555555552</v>
      </c>
      <c r="G793">
        <f t="shared" si="38"/>
        <v>1.8654306810473265</v>
      </c>
    </row>
    <row r="794" spans="1:7" x14ac:dyDescent="0.35">
      <c r="A794">
        <v>37</v>
      </c>
      <c r="B794">
        <v>70</v>
      </c>
      <c r="C794">
        <v>8.7729999999999997</v>
      </c>
      <c r="E794">
        <f t="shared" si="36"/>
        <v>255106.12</v>
      </c>
      <c r="F794">
        <f t="shared" si="37"/>
        <v>294.26111111111106</v>
      </c>
      <c r="G794">
        <f t="shared" si="38"/>
        <v>1.8258809139579841</v>
      </c>
    </row>
    <row r="795" spans="1:7" x14ac:dyDescent="0.35">
      <c r="A795">
        <v>37</v>
      </c>
      <c r="B795">
        <v>80</v>
      </c>
      <c r="C795">
        <v>8.9580000000000002</v>
      </c>
      <c r="E795">
        <f t="shared" si="36"/>
        <v>255106.12</v>
      </c>
      <c r="F795">
        <f t="shared" si="37"/>
        <v>299.81666666666666</v>
      </c>
      <c r="G795">
        <f t="shared" si="38"/>
        <v>1.7881729468802627</v>
      </c>
    </row>
    <row r="796" spans="1:7" x14ac:dyDescent="0.35">
      <c r="A796">
        <v>37</v>
      </c>
      <c r="B796">
        <v>90</v>
      </c>
      <c r="C796">
        <v>9.1419999999999995</v>
      </c>
      <c r="E796">
        <f t="shared" si="36"/>
        <v>255106.12</v>
      </c>
      <c r="F796">
        <f t="shared" si="37"/>
        <v>305.37222222222221</v>
      </c>
      <c r="G796">
        <f t="shared" si="38"/>
        <v>1.752182592228549</v>
      </c>
    </row>
    <row r="797" spans="1:7" x14ac:dyDescent="0.35">
      <c r="A797">
        <v>37</v>
      </c>
      <c r="B797">
        <v>100</v>
      </c>
      <c r="C797">
        <v>9.3239999999999998</v>
      </c>
      <c r="E797">
        <f t="shared" si="36"/>
        <v>255106.12</v>
      </c>
      <c r="F797">
        <f t="shared" si="37"/>
        <v>310.92777777777775</v>
      </c>
      <c r="G797">
        <f t="shared" si="38"/>
        <v>1.7179808299177814</v>
      </c>
    </row>
    <row r="798" spans="1:7" x14ac:dyDescent="0.35">
      <c r="A798">
        <v>37</v>
      </c>
      <c r="B798">
        <v>110</v>
      </c>
      <c r="C798">
        <v>9.5060000000000002</v>
      </c>
      <c r="E798">
        <f t="shared" si="36"/>
        <v>255106.12</v>
      </c>
      <c r="F798">
        <f t="shared" si="37"/>
        <v>316.48333333333329</v>
      </c>
      <c r="G798">
        <f t="shared" si="38"/>
        <v>1.6850887079900476</v>
      </c>
    </row>
    <row r="799" spans="1:7" x14ac:dyDescent="0.35">
      <c r="A799">
        <v>37</v>
      </c>
      <c r="B799">
        <v>120</v>
      </c>
      <c r="C799">
        <v>9.6859999999999999</v>
      </c>
      <c r="E799">
        <f t="shared" si="36"/>
        <v>255106.12</v>
      </c>
      <c r="F799">
        <f t="shared" si="37"/>
        <v>322.03888888888889</v>
      </c>
      <c r="G799">
        <f t="shared" si="38"/>
        <v>1.6537738238853392</v>
      </c>
    </row>
    <row r="800" spans="1:7" x14ac:dyDescent="0.35">
      <c r="A800">
        <v>37</v>
      </c>
      <c r="B800">
        <v>130</v>
      </c>
      <c r="C800">
        <v>9.8659999999999997</v>
      </c>
      <c r="E800">
        <f t="shared" si="36"/>
        <v>255106.12</v>
      </c>
      <c r="F800">
        <f t="shared" si="37"/>
        <v>327.59444444444443</v>
      </c>
      <c r="G800">
        <f t="shared" si="38"/>
        <v>1.6236015870822413</v>
      </c>
    </row>
    <row r="801" spans="1:7" x14ac:dyDescent="0.35">
      <c r="A801">
        <v>37</v>
      </c>
      <c r="B801">
        <v>140</v>
      </c>
      <c r="C801">
        <v>10.050000000000001</v>
      </c>
      <c r="E801">
        <f t="shared" si="36"/>
        <v>255106.12</v>
      </c>
      <c r="F801">
        <f t="shared" si="37"/>
        <v>333.15</v>
      </c>
      <c r="G801">
        <f t="shared" si="38"/>
        <v>1.5938759460849148</v>
      </c>
    </row>
    <row r="802" spans="1:7" x14ac:dyDescent="0.35">
      <c r="A802">
        <v>37</v>
      </c>
      <c r="B802">
        <v>150</v>
      </c>
      <c r="C802">
        <v>10.220000000000001</v>
      </c>
      <c r="E802">
        <f t="shared" si="36"/>
        <v>255106.12</v>
      </c>
      <c r="F802">
        <f t="shared" si="37"/>
        <v>338.70555555555552</v>
      </c>
      <c r="G802">
        <f t="shared" si="38"/>
        <v>1.567363332500332</v>
      </c>
    </row>
    <row r="803" spans="1:7" x14ac:dyDescent="0.35">
      <c r="A803">
        <v>37</v>
      </c>
      <c r="B803">
        <v>160</v>
      </c>
      <c r="C803">
        <v>10.4</v>
      </c>
      <c r="E803">
        <f t="shared" si="36"/>
        <v>255106.12</v>
      </c>
      <c r="F803">
        <f t="shared" si="37"/>
        <v>344.26111111111106</v>
      </c>
      <c r="G803">
        <f t="shared" si="38"/>
        <v>1.540235890207057</v>
      </c>
    </row>
    <row r="804" spans="1:7" x14ac:dyDescent="0.35">
      <c r="A804">
        <v>37</v>
      </c>
      <c r="B804">
        <v>170</v>
      </c>
      <c r="C804">
        <v>10.58</v>
      </c>
      <c r="E804">
        <f t="shared" si="36"/>
        <v>255106.12</v>
      </c>
      <c r="F804">
        <f t="shared" si="37"/>
        <v>349.81666666666666</v>
      </c>
      <c r="G804">
        <f t="shared" si="38"/>
        <v>1.514031498880283</v>
      </c>
    </row>
    <row r="805" spans="1:7" x14ac:dyDescent="0.35">
      <c r="A805">
        <v>37</v>
      </c>
      <c r="B805">
        <v>180</v>
      </c>
      <c r="C805">
        <v>10.76</v>
      </c>
      <c r="E805">
        <f t="shared" si="36"/>
        <v>255106.12</v>
      </c>
      <c r="F805">
        <f t="shared" si="37"/>
        <v>355.37222222222221</v>
      </c>
      <c r="G805">
        <f t="shared" si="38"/>
        <v>1.4887038344008729</v>
      </c>
    </row>
    <row r="806" spans="1:7" x14ac:dyDescent="0.35">
      <c r="A806">
        <v>37</v>
      </c>
      <c r="B806">
        <v>190</v>
      </c>
      <c r="C806">
        <v>10.93</v>
      </c>
      <c r="E806">
        <f t="shared" si="36"/>
        <v>255106.12</v>
      </c>
      <c r="F806">
        <f t="shared" si="37"/>
        <v>360.92777777777775</v>
      </c>
      <c r="G806">
        <f t="shared" si="38"/>
        <v>1.4655492459426709</v>
      </c>
    </row>
    <row r="807" spans="1:7" x14ac:dyDescent="0.35">
      <c r="A807">
        <v>37</v>
      </c>
      <c r="B807">
        <v>200</v>
      </c>
      <c r="C807">
        <v>11.11</v>
      </c>
      <c r="E807">
        <f t="shared" si="36"/>
        <v>255106.12</v>
      </c>
      <c r="F807">
        <f t="shared" si="37"/>
        <v>366.48333333333329</v>
      </c>
      <c r="G807">
        <f t="shared" si="38"/>
        <v>1.4418049737311787</v>
      </c>
    </row>
    <row r="808" spans="1:7" x14ac:dyDescent="0.35">
      <c r="A808">
        <v>37</v>
      </c>
      <c r="B808">
        <v>220</v>
      </c>
      <c r="C808">
        <v>11.46</v>
      </c>
      <c r="E808">
        <f t="shared" si="36"/>
        <v>255106.12</v>
      </c>
      <c r="F808">
        <f t="shared" si="37"/>
        <v>377.59444444444443</v>
      </c>
      <c r="G808">
        <f t="shared" si="38"/>
        <v>1.3977707904147811</v>
      </c>
    </row>
    <row r="809" spans="1:7" x14ac:dyDescent="0.35">
      <c r="A809">
        <v>37</v>
      </c>
      <c r="B809">
        <v>240</v>
      </c>
      <c r="C809">
        <v>11.81</v>
      </c>
      <c r="E809">
        <f t="shared" si="36"/>
        <v>255106.12</v>
      </c>
      <c r="F809">
        <f t="shared" si="37"/>
        <v>388.70555555555552</v>
      </c>
      <c r="G809">
        <f t="shared" si="38"/>
        <v>1.356346592561676</v>
      </c>
    </row>
    <row r="810" spans="1:7" x14ac:dyDescent="0.35">
      <c r="A810">
        <v>37</v>
      </c>
      <c r="B810">
        <v>260</v>
      </c>
      <c r="C810">
        <v>12.16</v>
      </c>
      <c r="E810">
        <f t="shared" si="36"/>
        <v>255106.12</v>
      </c>
      <c r="F810">
        <f t="shared" si="37"/>
        <v>399.81666666666666</v>
      </c>
      <c r="G810">
        <f t="shared" si="38"/>
        <v>1.3173070113612988</v>
      </c>
    </row>
    <row r="811" spans="1:7" x14ac:dyDescent="0.35">
      <c r="A811">
        <v>37</v>
      </c>
      <c r="B811">
        <v>280</v>
      </c>
      <c r="C811">
        <v>12.51</v>
      </c>
      <c r="E811">
        <f t="shared" si="36"/>
        <v>255106.12</v>
      </c>
      <c r="F811">
        <f t="shared" si="37"/>
        <v>410.92777777777775</v>
      </c>
      <c r="G811">
        <f t="shared" si="38"/>
        <v>1.2804518991329652</v>
      </c>
    </row>
    <row r="812" spans="1:7" x14ac:dyDescent="0.35">
      <c r="A812">
        <v>38</v>
      </c>
      <c r="B812">
        <v>10</v>
      </c>
      <c r="C812">
        <v>7.407</v>
      </c>
      <c r="E812">
        <f t="shared" si="36"/>
        <v>262000.88</v>
      </c>
      <c r="F812">
        <f t="shared" si="37"/>
        <v>260.92777777777775</v>
      </c>
      <c r="G812">
        <f t="shared" si="38"/>
        <v>2.1626101334080454</v>
      </c>
    </row>
    <row r="813" spans="1:7" x14ac:dyDescent="0.35">
      <c r="A813">
        <v>38</v>
      </c>
      <c r="B813">
        <v>20</v>
      </c>
      <c r="C813">
        <v>7.6029999999999998</v>
      </c>
      <c r="E813">
        <f t="shared" si="36"/>
        <v>262000.88</v>
      </c>
      <c r="F813">
        <f t="shared" si="37"/>
        <v>266.48333333333329</v>
      </c>
      <c r="G813">
        <f t="shared" si="38"/>
        <v>2.1068595630873856</v>
      </c>
    </row>
    <row r="814" spans="1:7" x14ac:dyDescent="0.35">
      <c r="A814">
        <v>38</v>
      </c>
      <c r="B814">
        <v>30</v>
      </c>
      <c r="C814">
        <v>7.7949999999999999</v>
      </c>
      <c r="E814">
        <f t="shared" si="36"/>
        <v>262000.88</v>
      </c>
      <c r="F814">
        <f t="shared" si="37"/>
        <v>272.03888888888889</v>
      </c>
      <c r="G814">
        <f t="shared" si="38"/>
        <v>2.0549651389548935</v>
      </c>
    </row>
    <row r="815" spans="1:7" x14ac:dyDescent="0.35">
      <c r="A815">
        <v>38</v>
      </c>
      <c r="B815">
        <v>40</v>
      </c>
      <c r="C815">
        <v>7.9829999999999997</v>
      </c>
      <c r="E815">
        <f t="shared" si="36"/>
        <v>262000.88</v>
      </c>
      <c r="F815">
        <f t="shared" si="37"/>
        <v>277.59444444444443</v>
      </c>
      <c r="G815">
        <f t="shared" si="38"/>
        <v>2.0065706198363262</v>
      </c>
    </row>
    <row r="816" spans="1:7" x14ac:dyDescent="0.35">
      <c r="A816">
        <v>38</v>
      </c>
      <c r="B816">
        <v>50</v>
      </c>
      <c r="C816">
        <v>8.17</v>
      </c>
      <c r="E816">
        <f t="shared" si="36"/>
        <v>262000.88</v>
      </c>
      <c r="F816">
        <f t="shared" si="37"/>
        <v>283.14999999999998</v>
      </c>
      <c r="G816">
        <f t="shared" si="38"/>
        <v>1.9606429936540262</v>
      </c>
    </row>
    <row r="817" spans="1:7" x14ac:dyDescent="0.35">
      <c r="A817">
        <v>38</v>
      </c>
      <c r="B817">
        <v>60</v>
      </c>
      <c r="C817">
        <v>8.3529999999999998</v>
      </c>
      <c r="E817">
        <f t="shared" si="36"/>
        <v>262000.88</v>
      </c>
      <c r="F817">
        <f t="shared" si="37"/>
        <v>288.70555555555552</v>
      </c>
      <c r="G817">
        <f t="shared" si="38"/>
        <v>1.91768864577438</v>
      </c>
    </row>
    <row r="818" spans="1:7" x14ac:dyDescent="0.35">
      <c r="A818">
        <v>38</v>
      </c>
      <c r="B818">
        <v>70</v>
      </c>
      <c r="C818">
        <v>8.5350000000000001</v>
      </c>
      <c r="E818">
        <f t="shared" si="36"/>
        <v>262000.88</v>
      </c>
      <c r="F818">
        <f t="shared" si="37"/>
        <v>294.26111111111106</v>
      </c>
      <c r="G818">
        <f t="shared" si="38"/>
        <v>1.8767959294848733</v>
      </c>
    </row>
    <row r="819" spans="1:7" x14ac:dyDescent="0.35">
      <c r="A819">
        <v>38</v>
      </c>
      <c r="B819">
        <v>80</v>
      </c>
      <c r="C819">
        <v>8.7159999999999993</v>
      </c>
      <c r="E819">
        <f t="shared" si="36"/>
        <v>262000.88</v>
      </c>
      <c r="F819">
        <f t="shared" si="37"/>
        <v>299.81666666666666</v>
      </c>
      <c r="G819">
        <f t="shared" si="38"/>
        <v>1.837821622091945</v>
      </c>
    </row>
    <row r="820" spans="1:7" x14ac:dyDescent="0.35">
      <c r="A820">
        <v>38</v>
      </c>
      <c r="B820">
        <v>90</v>
      </c>
      <c r="C820">
        <v>8.8949999999999996</v>
      </c>
      <c r="E820">
        <f t="shared" si="36"/>
        <v>262000.88</v>
      </c>
      <c r="F820">
        <f t="shared" si="37"/>
        <v>305.37222222222221</v>
      </c>
      <c r="G820">
        <f t="shared" si="38"/>
        <v>1.8008379154753678</v>
      </c>
    </row>
    <row r="821" spans="1:7" x14ac:dyDescent="0.35">
      <c r="A821">
        <v>38</v>
      </c>
      <c r="B821">
        <v>100</v>
      </c>
      <c r="C821">
        <v>9.0730000000000004</v>
      </c>
      <c r="E821">
        <f t="shared" si="36"/>
        <v>262000.88</v>
      </c>
      <c r="F821">
        <f t="shared" si="37"/>
        <v>310.92777777777775</v>
      </c>
      <c r="G821">
        <f t="shared" si="38"/>
        <v>1.7655079089775589</v>
      </c>
    </row>
    <row r="822" spans="1:7" x14ac:dyDescent="0.35">
      <c r="A822">
        <v>38</v>
      </c>
      <c r="B822">
        <v>110</v>
      </c>
      <c r="C822">
        <v>9.25</v>
      </c>
      <c r="E822">
        <f t="shared" si="36"/>
        <v>262000.88</v>
      </c>
      <c r="F822">
        <f t="shared" si="37"/>
        <v>316.48333333333329</v>
      </c>
      <c r="G822">
        <f t="shared" si="38"/>
        <v>1.7317246765571237</v>
      </c>
    </row>
    <row r="823" spans="1:7" x14ac:dyDescent="0.35">
      <c r="A823">
        <v>38</v>
      </c>
      <c r="B823">
        <v>120</v>
      </c>
      <c r="C823">
        <v>9.4260000000000002</v>
      </c>
      <c r="E823">
        <f t="shared" si="36"/>
        <v>262000.88</v>
      </c>
      <c r="F823">
        <f t="shared" si="37"/>
        <v>322.03888888888889</v>
      </c>
      <c r="G823">
        <f t="shared" si="38"/>
        <v>1.6993903308034579</v>
      </c>
    </row>
    <row r="824" spans="1:7" x14ac:dyDescent="0.35">
      <c r="A824">
        <v>38</v>
      </c>
      <c r="B824">
        <v>130</v>
      </c>
      <c r="C824">
        <v>9.6020000000000003</v>
      </c>
      <c r="E824">
        <f t="shared" si="36"/>
        <v>262000.88</v>
      </c>
      <c r="F824">
        <f t="shared" si="37"/>
        <v>327.59444444444443</v>
      </c>
      <c r="G824">
        <f t="shared" si="38"/>
        <v>1.6682413307803992</v>
      </c>
    </row>
    <row r="825" spans="1:7" x14ac:dyDescent="0.35">
      <c r="A825">
        <v>38</v>
      </c>
      <c r="B825">
        <v>140</v>
      </c>
      <c r="C825">
        <v>9.7759999999999998</v>
      </c>
      <c r="E825">
        <f t="shared" si="36"/>
        <v>262000.88</v>
      </c>
      <c r="F825">
        <f t="shared" si="37"/>
        <v>333.15</v>
      </c>
      <c r="G825">
        <f t="shared" si="38"/>
        <v>1.6385488193692095</v>
      </c>
    </row>
    <row r="826" spans="1:7" x14ac:dyDescent="0.35">
      <c r="A826">
        <v>38</v>
      </c>
      <c r="B826">
        <v>150</v>
      </c>
      <c r="C826">
        <v>9.9499999999999993</v>
      </c>
      <c r="E826">
        <f t="shared" si="36"/>
        <v>262000.88</v>
      </c>
      <c r="F826">
        <f t="shared" si="37"/>
        <v>338.70555555555552</v>
      </c>
      <c r="G826">
        <f t="shared" si="38"/>
        <v>1.6098947998144115</v>
      </c>
    </row>
    <row r="827" spans="1:7" x14ac:dyDescent="0.35">
      <c r="A827">
        <v>38</v>
      </c>
      <c r="B827">
        <v>160</v>
      </c>
      <c r="C827">
        <v>10.119999999999999</v>
      </c>
      <c r="E827">
        <f t="shared" si="36"/>
        <v>262000.88</v>
      </c>
      <c r="F827">
        <f t="shared" si="37"/>
        <v>344.26111111111106</v>
      </c>
      <c r="G827">
        <f t="shared" si="38"/>
        <v>1.5828511124657505</v>
      </c>
    </row>
    <row r="828" spans="1:7" x14ac:dyDescent="0.35">
      <c r="A828">
        <v>38</v>
      </c>
      <c r="B828">
        <v>170</v>
      </c>
      <c r="C828">
        <v>10.3</v>
      </c>
      <c r="E828">
        <f t="shared" si="36"/>
        <v>262000.88</v>
      </c>
      <c r="F828">
        <f t="shared" si="37"/>
        <v>349.81666666666666</v>
      </c>
      <c r="G828">
        <f t="shared" si="38"/>
        <v>1.5551896367139215</v>
      </c>
    </row>
    <row r="829" spans="1:7" x14ac:dyDescent="0.35">
      <c r="A829">
        <v>38</v>
      </c>
      <c r="B829">
        <v>180</v>
      </c>
      <c r="C829">
        <v>10.47</v>
      </c>
      <c r="E829">
        <f t="shared" si="36"/>
        <v>262000.88</v>
      </c>
      <c r="F829">
        <f t="shared" si="37"/>
        <v>355.37222222222221</v>
      </c>
      <c r="G829">
        <f t="shared" si="38"/>
        <v>1.5299382290499897</v>
      </c>
    </row>
    <row r="830" spans="1:7" x14ac:dyDescent="0.35">
      <c r="A830">
        <v>38</v>
      </c>
      <c r="B830">
        <v>190</v>
      </c>
      <c r="C830">
        <v>10.64</v>
      </c>
      <c r="E830">
        <f t="shared" si="36"/>
        <v>262000.88</v>
      </c>
      <c r="F830">
        <f t="shared" si="37"/>
        <v>360.92777777777775</v>
      </c>
      <c r="G830">
        <f t="shared" si="38"/>
        <v>1.5054937272700557</v>
      </c>
    </row>
    <row r="831" spans="1:7" x14ac:dyDescent="0.35">
      <c r="A831">
        <v>38</v>
      </c>
      <c r="B831">
        <v>200</v>
      </c>
      <c r="C831">
        <v>10.81</v>
      </c>
      <c r="E831">
        <f t="shared" si="36"/>
        <v>262000.88</v>
      </c>
      <c r="F831">
        <f t="shared" si="37"/>
        <v>366.48333333333329</v>
      </c>
      <c r="G831">
        <f t="shared" si="38"/>
        <v>1.4818180627338937</v>
      </c>
    </row>
    <row r="832" spans="1:7" x14ac:dyDescent="0.35">
      <c r="A832">
        <v>38</v>
      </c>
      <c r="B832">
        <v>220</v>
      </c>
      <c r="C832">
        <v>11.16</v>
      </c>
      <c r="E832">
        <f t="shared" si="36"/>
        <v>262000.88</v>
      </c>
      <c r="F832">
        <f t="shared" si="37"/>
        <v>377.59444444444443</v>
      </c>
      <c r="G832">
        <f t="shared" si="38"/>
        <v>1.4353452740280819</v>
      </c>
    </row>
    <row r="833" spans="1:7" x14ac:dyDescent="0.35">
      <c r="A833">
        <v>38</v>
      </c>
      <c r="B833">
        <v>240</v>
      </c>
      <c r="C833">
        <v>11.5</v>
      </c>
      <c r="E833">
        <f t="shared" si="36"/>
        <v>262000.88</v>
      </c>
      <c r="F833">
        <f t="shared" si="37"/>
        <v>388.70555555555552</v>
      </c>
      <c r="G833">
        <f t="shared" si="38"/>
        <v>1.3929089789698603</v>
      </c>
    </row>
    <row r="834" spans="1:7" x14ac:dyDescent="0.35">
      <c r="A834">
        <v>38</v>
      </c>
      <c r="B834">
        <v>260</v>
      </c>
      <c r="C834">
        <v>11.84</v>
      </c>
      <c r="E834">
        <f t="shared" ref="E834:E897" si="39">A834*6894.76</f>
        <v>262000.88</v>
      </c>
      <c r="F834">
        <f t="shared" si="37"/>
        <v>399.81666666666666</v>
      </c>
      <c r="G834">
        <f t="shared" si="38"/>
        <v>1.3529099035602528</v>
      </c>
    </row>
    <row r="835" spans="1:7" x14ac:dyDescent="0.35">
      <c r="A835">
        <v>38</v>
      </c>
      <c r="B835">
        <v>280</v>
      </c>
      <c r="C835">
        <v>12.18</v>
      </c>
      <c r="E835">
        <f t="shared" si="39"/>
        <v>262000.88</v>
      </c>
      <c r="F835">
        <f t="shared" ref="F835:F898" si="40">(B835-32)*5/9+273.15</f>
        <v>410.92777777777775</v>
      </c>
      <c r="G835">
        <f t="shared" ref="G835:G898" si="41">1/(C835*0.062428)</f>
        <v>1.3151439456611982</v>
      </c>
    </row>
    <row r="836" spans="1:7" x14ac:dyDescent="0.35">
      <c r="A836">
        <v>39</v>
      </c>
      <c r="B836">
        <v>20</v>
      </c>
      <c r="C836">
        <v>7.3979999999999997</v>
      </c>
      <c r="E836">
        <f t="shared" si="39"/>
        <v>268895.64</v>
      </c>
      <c r="F836">
        <f t="shared" si="40"/>
        <v>266.48333333333329</v>
      </c>
      <c r="G836">
        <f t="shared" si="41"/>
        <v>2.1652410459791018</v>
      </c>
    </row>
    <row r="837" spans="1:7" x14ac:dyDescent="0.35">
      <c r="A837">
        <v>39</v>
      </c>
      <c r="B837">
        <v>30</v>
      </c>
      <c r="C837">
        <v>7.5860000000000003</v>
      </c>
      <c r="E837">
        <f t="shared" si="39"/>
        <v>268895.64</v>
      </c>
      <c r="F837">
        <f t="shared" si="40"/>
        <v>272.03888888888889</v>
      </c>
      <c r="G837">
        <f t="shared" si="41"/>
        <v>2.1115809726012906</v>
      </c>
    </row>
    <row r="838" spans="1:7" x14ac:dyDescent="0.35">
      <c r="A838">
        <v>39</v>
      </c>
      <c r="B838">
        <v>40</v>
      </c>
      <c r="C838">
        <v>7.77</v>
      </c>
      <c r="E838">
        <f t="shared" si="39"/>
        <v>268895.64</v>
      </c>
      <c r="F838">
        <f t="shared" si="40"/>
        <v>277.59444444444443</v>
      </c>
      <c r="G838">
        <f t="shared" si="41"/>
        <v>2.0615769959013379</v>
      </c>
    </row>
    <row r="839" spans="1:7" x14ac:dyDescent="0.35">
      <c r="A839">
        <v>39</v>
      </c>
      <c r="B839">
        <v>50</v>
      </c>
      <c r="C839">
        <v>7.952</v>
      </c>
      <c r="E839">
        <f t="shared" si="39"/>
        <v>268895.64</v>
      </c>
      <c r="F839">
        <f t="shared" si="40"/>
        <v>283.14999999999998</v>
      </c>
      <c r="G839">
        <f t="shared" si="41"/>
        <v>2.0143930153613421</v>
      </c>
    </row>
    <row r="840" spans="1:7" x14ac:dyDescent="0.35">
      <c r="A840">
        <v>39</v>
      </c>
      <c r="B840">
        <v>60</v>
      </c>
      <c r="C840">
        <v>8.1319999999999997</v>
      </c>
      <c r="E840">
        <f t="shared" si="39"/>
        <v>268895.64</v>
      </c>
      <c r="F840">
        <f t="shared" si="40"/>
        <v>288.70555555555552</v>
      </c>
      <c r="G840">
        <f t="shared" si="41"/>
        <v>1.9698048768019423</v>
      </c>
    </row>
    <row r="841" spans="1:7" x14ac:dyDescent="0.35">
      <c r="A841">
        <v>39</v>
      </c>
      <c r="B841">
        <v>70</v>
      </c>
      <c r="C841">
        <v>8.31</v>
      </c>
      <c r="E841">
        <f t="shared" si="39"/>
        <v>268895.64</v>
      </c>
      <c r="F841">
        <f t="shared" si="40"/>
        <v>294.26111111111106</v>
      </c>
      <c r="G841">
        <f t="shared" si="41"/>
        <v>1.927611703748904</v>
      </c>
    </row>
    <row r="842" spans="1:7" x14ac:dyDescent="0.35">
      <c r="A842">
        <v>39</v>
      </c>
      <c r="B842">
        <v>80</v>
      </c>
      <c r="C842">
        <v>8.4860000000000007</v>
      </c>
      <c r="E842">
        <f t="shared" si="39"/>
        <v>268895.64</v>
      </c>
      <c r="F842">
        <f t="shared" si="40"/>
        <v>299.81666666666666</v>
      </c>
      <c r="G842">
        <f t="shared" si="41"/>
        <v>1.887632955238439</v>
      </c>
    </row>
    <row r="843" spans="1:7" x14ac:dyDescent="0.35">
      <c r="A843">
        <v>39</v>
      </c>
      <c r="B843">
        <v>90</v>
      </c>
      <c r="C843">
        <v>8.6609999999999996</v>
      </c>
      <c r="E843">
        <f t="shared" si="39"/>
        <v>268895.64</v>
      </c>
      <c r="F843">
        <f t="shared" si="40"/>
        <v>305.37222222222221</v>
      </c>
      <c r="G843">
        <f t="shared" si="41"/>
        <v>1.8494923517092017</v>
      </c>
    </row>
    <row r="844" spans="1:7" x14ac:dyDescent="0.35">
      <c r="A844">
        <v>39</v>
      </c>
      <c r="B844">
        <v>100</v>
      </c>
      <c r="C844">
        <v>8.8350000000000009</v>
      </c>
      <c r="E844">
        <f t="shared" si="39"/>
        <v>268895.64</v>
      </c>
      <c r="F844">
        <f t="shared" si="40"/>
        <v>310.92777777777775</v>
      </c>
      <c r="G844">
        <f t="shared" si="41"/>
        <v>1.8130677145617875</v>
      </c>
    </row>
    <row r="845" spans="1:7" x14ac:dyDescent="0.35">
      <c r="A845">
        <v>39</v>
      </c>
      <c r="B845">
        <v>110</v>
      </c>
      <c r="C845">
        <v>9.0079999999999991</v>
      </c>
      <c r="E845">
        <f t="shared" si="39"/>
        <v>268895.64</v>
      </c>
      <c r="F845">
        <f t="shared" si="40"/>
        <v>316.48333333333329</v>
      </c>
      <c r="G845">
        <f t="shared" si="41"/>
        <v>1.7782474753722686</v>
      </c>
    </row>
    <row r="846" spans="1:7" x14ac:dyDescent="0.35">
      <c r="A846">
        <v>39</v>
      </c>
      <c r="B846">
        <v>120</v>
      </c>
      <c r="C846">
        <v>9.1790000000000003</v>
      </c>
      <c r="E846">
        <f t="shared" si="39"/>
        <v>268895.64</v>
      </c>
      <c r="F846">
        <f t="shared" si="40"/>
        <v>322.03888888888889</v>
      </c>
      <c r="G846">
        <f t="shared" si="41"/>
        <v>1.7451196489980816</v>
      </c>
    </row>
    <row r="847" spans="1:7" x14ac:dyDescent="0.35">
      <c r="A847">
        <v>39</v>
      </c>
      <c r="B847">
        <v>130</v>
      </c>
      <c r="C847">
        <v>9.3510000000000009</v>
      </c>
      <c r="E847">
        <f t="shared" si="39"/>
        <v>268895.64</v>
      </c>
      <c r="F847">
        <f t="shared" si="40"/>
        <v>327.59444444444443</v>
      </c>
      <c r="G847">
        <f t="shared" si="41"/>
        <v>1.7130203462895297</v>
      </c>
    </row>
    <row r="848" spans="1:7" x14ac:dyDescent="0.35">
      <c r="A848">
        <v>39</v>
      </c>
      <c r="B848">
        <v>140</v>
      </c>
      <c r="C848">
        <v>9.5210000000000008</v>
      </c>
      <c r="E848">
        <f t="shared" si="39"/>
        <v>268895.64</v>
      </c>
      <c r="F848">
        <f t="shared" si="40"/>
        <v>333.15</v>
      </c>
      <c r="G848">
        <f t="shared" si="41"/>
        <v>1.6824339101095884</v>
      </c>
    </row>
    <row r="849" spans="1:7" x14ac:dyDescent="0.35">
      <c r="A849">
        <v>39</v>
      </c>
      <c r="B849">
        <v>150</v>
      </c>
      <c r="C849">
        <v>9.6910000000000007</v>
      </c>
      <c r="E849">
        <f t="shared" si="39"/>
        <v>268895.64</v>
      </c>
      <c r="F849">
        <f t="shared" si="40"/>
        <v>338.70555555555552</v>
      </c>
      <c r="G849">
        <f t="shared" si="41"/>
        <v>1.6529205714738822</v>
      </c>
    </row>
    <row r="850" spans="1:7" x14ac:dyDescent="0.35">
      <c r="A850">
        <v>39</v>
      </c>
      <c r="B850">
        <v>160</v>
      </c>
      <c r="C850">
        <v>9.86</v>
      </c>
      <c r="E850">
        <f t="shared" si="39"/>
        <v>268895.64</v>
      </c>
      <c r="F850">
        <f t="shared" si="40"/>
        <v>344.26111111111106</v>
      </c>
      <c r="G850">
        <f t="shared" si="41"/>
        <v>1.6245895799344214</v>
      </c>
    </row>
    <row r="851" spans="1:7" x14ac:dyDescent="0.35">
      <c r="A851">
        <v>39</v>
      </c>
      <c r="B851">
        <v>170</v>
      </c>
      <c r="C851">
        <v>10.029999999999999</v>
      </c>
      <c r="E851">
        <f t="shared" si="39"/>
        <v>268895.64</v>
      </c>
      <c r="F851">
        <f t="shared" si="40"/>
        <v>349.81666666666666</v>
      </c>
      <c r="G851">
        <f t="shared" si="41"/>
        <v>1.5970541633253634</v>
      </c>
    </row>
    <row r="852" spans="1:7" x14ac:dyDescent="0.35">
      <c r="A852">
        <v>39</v>
      </c>
      <c r="B852">
        <v>180</v>
      </c>
      <c r="C852">
        <v>10.199999999999999</v>
      </c>
      <c r="E852">
        <f t="shared" si="39"/>
        <v>268895.64</v>
      </c>
      <c r="F852">
        <f t="shared" si="40"/>
        <v>355.37222222222221</v>
      </c>
      <c r="G852">
        <f t="shared" si="41"/>
        <v>1.5704365939366074</v>
      </c>
    </row>
    <row r="853" spans="1:7" x14ac:dyDescent="0.35">
      <c r="A853">
        <v>39</v>
      </c>
      <c r="B853">
        <v>190</v>
      </c>
      <c r="C853">
        <v>10.36</v>
      </c>
      <c r="E853">
        <f t="shared" si="39"/>
        <v>268895.64</v>
      </c>
      <c r="F853">
        <f t="shared" si="40"/>
        <v>360.92777777777775</v>
      </c>
      <c r="G853">
        <f t="shared" si="41"/>
        <v>1.5461827469260034</v>
      </c>
    </row>
    <row r="854" spans="1:7" x14ac:dyDescent="0.35">
      <c r="A854">
        <v>39</v>
      </c>
      <c r="B854">
        <v>200</v>
      </c>
      <c r="C854">
        <v>10.53</v>
      </c>
      <c r="E854">
        <f t="shared" si="39"/>
        <v>268895.64</v>
      </c>
      <c r="F854">
        <f t="shared" si="40"/>
        <v>366.48333333333329</v>
      </c>
      <c r="G854">
        <f t="shared" si="41"/>
        <v>1.5212206323032664</v>
      </c>
    </row>
    <row r="855" spans="1:7" x14ac:dyDescent="0.35">
      <c r="A855">
        <v>39</v>
      </c>
      <c r="B855">
        <v>220</v>
      </c>
      <c r="C855">
        <v>10.87</v>
      </c>
      <c r="E855">
        <f t="shared" si="39"/>
        <v>268895.64</v>
      </c>
      <c r="F855">
        <f t="shared" si="40"/>
        <v>377.59444444444443</v>
      </c>
      <c r="G855">
        <f t="shared" si="41"/>
        <v>1.4736387541999443</v>
      </c>
    </row>
    <row r="856" spans="1:7" x14ac:dyDescent="0.35">
      <c r="A856">
        <v>39</v>
      </c>
      <c r="B856">
        <v>240</v>
      </c>
      <c r="C856">
        <v>11.2</v>
      </c>
      <c r="E856">
        <f t="shared" si="39"/>
        <v>268895.64</v>
      </c>
      <c r="F856">
        <f t="shared" si="40"/>
        <v>388.70555555555552</v>
      </c>
      <c r="G856">
        <f t="shared" si="41"/>
        <v>1.4302190409065529</v>
      </c>
    </row>
    <row r="857" spans="1:7" x14ac:dyDescent="0.35">
      <c r="A857">
        <v>39</v>
      </c>
      <c r="B857">
        <v>260</v>
      </c>
      <c r="C857">
        <v>11.53</v>
      </c>
      <c r="E857">
        <f t="shared" si="39"/>
        <v>268895.64</v>
      </c>
      <c r="F857">
        <f t="shared" si="40"/>
        <v>399.81666666666666</v>
      </c>
      <c r="G857">
        <f t="shared" si="41"/>
        <v>1.3892847578623932</v>
      </c>
    </row>
    <row r="858" spans="1:7" x14ac:dyDescent="0.35">
      <c r="A858">
        <v>39</v>
      </c>
      <c r="B858">
        <v>280</v>
      </c>
      <c r="C858">
        <v>11.86</v>
      </c>
      <c r="E858">
        <f t="shared" si="39"/>
        <v>268895.64</v>
      </c>
      <c r="F858">
        <f t="shared" si="40"/>
        <v>410.92777777777775</v>
      </c>
      <c r="G858">
        <f t="shared" si="41"/>
        <v>1.3506284366065258</v>
      </c>
    </row>
    <row r="859" spans="1:7" x14ac:dyDescent="0.35">
      <c r="A859">
        <v>40</v>
      </c>
      <c r="B859">
        <v>20</v>
      </c>
      <c r="C859">
        <v>7.2030000000000003</v>
      </c>
      <c r="E859">
        <f t="shared" si="39"/>
        <v>275790.40000000002</v>
      </c>
      <c r="F859">
        <f t="shared" si="40"/>
        <v>266.48333333333329</v>
      </c>
      <c r="G859">
        <f t="shared" si="41"/>
        <v>2.2238585670072739</v>
      </c>
    </row>
    <row r="860" spans="1:7" x14ac:dyDescent="0.35">
      <c r="A860">
        <v>40</v>
      </c>
      <c r="B860">
        <v>30</v>
      </c>
      <c r="C860">
        <v>7.3869999999999996</v>
      </c>
      <c r="E860">
        <f t="shared" si="39"/>
        <v>275790.40000000002</v>
      </c>
      <c r="F860">
        <f t="shared" si="40"/>
        <v>272.03888888888889</v>
      </c>
      <c r="G860">
        <f t="shared" si="41"/>
        <v>2.1684653117846748</v>
      </c>
    </row>
    <row r="861" spans="1:7" x14ac:dyDescent="0.35">
      <c r="A861">
        <v>40</v>
      </c>
      <c r="B861">
        <v>40</v>
      </c>
      <c r="C861">
        <v>7.5679999999999996</v>
      </c>
      <c r="E861">
        <f t="shared" si="39"/>
        <v>275790.40000000002</v>
      </c>
      <c r="F861">
        <f t="shared" si="40"/>
        <v>277.59444444444443</v>
      </c>
      <c r="G861">
        <f t="shared" si="41"/>
        <v>2.1166032317855965</v>
      </c>
    </row>
    <row r="862" spans="1:7" x14ac:dyDescent="0.35">
      <c r="A862">
        <v>40</v>
      </c>
      <c r="B862">
        <v>50</v>
      </c>
      <c r="C862">
        <v>7.7460000000000004</v>
      </c>
      <c r="E862">
        <f t="shared" si="39"/>
        <v>275790.40000000002</v>
      </c>
      <c r="F862">
        <f t="shared" si="40"/>
        <v>283.14999999999998</v>
      </c>
      <c r="G862">
        <f t="shared" si="41"/>
        <v>2.0679645311326351</v>
      </c>
    </row>
    <row r="863" spans="1:7" x14ac:dyDescent="0.35">
      <c r="A863">
        <v>40</v>
      </c>
      <c r="B863">
        <v>60</v>
      </c>
      <c r="C863">
        <v>7.9219999999999997</v>
      </c>
      <c r="E863">
        <f t="shared" si="39"/>
        <v>275790.40000000002</v>
      </c>
      <c r="F863">
        <f t="shared" si="40"/>
        <v>288.70555555555552</v>
      </c>
      <c r="G863">
        <f t="shared" si="41"/>
        <v>2.0220213655836146</v>
      </c>
    </row>
    <row r="864" spans="1:7" x14ac:dyDescent="0.35">
      <c r="A864">
        <v>40</v>
      </c>
      <c r="B864">
        <v>70</v>
      </c>
      <c r="C864">
        <v>8.0960000000000001</v>
      </c>
      <c r="E864">
        <f t="shared" si="39"/>
        <v>275790.40000000002</v>
      </c>
      <c r="F864">
        <f t="shared" si="40"/>
        <v>294.26111111111106</v>
      </c>
      <c r="G864">
        <f t="shared" si="41"/>
        <v>1.9785638905821881</v>
      </c>
    </row>
    <row r="865" spans="1:7" x14ac:dyDescent="0.35">
      <c r="A865">
        <v>40</v>
      </c>
      <c r="B865">
        <v>80</v>
      </c>
      <c r="C865">
        <v>8.2680000000000007</v>
      </c>
      <c r="E865">
        <f t="shared" si="39"/>
        <v>275790.40000000002</v>
      </c>
      <c r="F865">
        <f t="shared" si="40"/>
        <v>299.81666666666666</v>
      </c>
      <c r="G865">
        <f t="shared" si="41"/>
        <v>1.9374036354805746</v>
      </c>
    </row>
    <row r="866" spans="1:7" x14ac:dyDescent="0.35">
      <c r="A866">
        <v>40</v>
      </c>
      <c r="B866">
        <v>90</v>
      </c>
      <c r="C866">
        <v>8.4390000000000001</v>
      </c>
      <c r="E866">
        <f t="shared" si="39"/>
        <v>275790.40000000002</v>
      </c>
      <c r="F866">
        <f t="shared" si="40"/>
        <v>305.37222222222221</v>
      </c>
      <c r="G866">
        <f t="shared" si="41"/>
        <v>1.8981459009543067</v>
      </c>
    </row>
    <row r="867" spans="1:7" x14ac:dyDescent="0.35">
      <c r="A867">
        <v>40</v>
      </c>
      <c r="B867">
        <v>100</v>
      </c>
      <c r="C867">
        <v>8.609</v>
      </c>
      <c r="E867">
        <f t="shared" si="39"/>
        <v>275790.40000000002</v>
      </c>
      <c r="F867">
        <f t="shared" si="40"/>
        <v>310.92777777777775</v>
      </c>
      <c r="G867">
        <f t="shared" si="41"/>
        <v>1.8606636378387029</v>
      </c>
    </row>
    <row r="868" spans="1:7" x14ac:dyDescent="0.35">
      <c r="A868">
        <v>40</v>
      </c>
      <c r="B868">
        <v>110</v>
      </c>
      <c r="C868">
        <v>8.7769999999999992</v>
      </c>
      <c r="E868">
        <f t="shared" si="39"/>
        <v>275790.40000000002</v>
      </c>
      <c r="F868">
        <f t="shared" si="40"/>
        <v>316.48333333333329</v>
      </c>
      <c r="G868">
        <f t="shared" si="41"/>
        <v>1.8250487932270016</v>
      </c>
    </row>
    <row r="869" spans="1:7" x14ac:dyDescent="0.35">
      <c r="A869">
        <v>40</v>
      </c>
      <c r="B869">
        <v>120</v>
      </c>
      <c r="C869">
        <v>8.9450000000000003</v>
      </c>
      <c r="E869">
        <f t="shared" si="39"/>
        <v>275790.40000000002</v>
      </c>
      <c r="F869">
        <f t="shared" si="40"/>
        <v>322.03888888888889</v>
      </c>
      <c r="G869">
        <f t="shared" si="41"/>
        <v>1.7907717449025595</v>
      </c>
    </row>
    <row r="870" spans="1:7" x14ac:dyDescent="0.35">
      <c r="A870">
        <v>40</v>
      </c>
      <c r="B870">
        <v>130</v>
      </c>
      <c r="C870">
        <v>9.1120000000000001</v>
      </c>
      <c r="E870">
        <f t="shared" si="39"/>
        <v>275790.40000000002</v>
      </c>
      <c r="F870">
        <f t="shared" si="40"/>
        <v>327.59444444444443</v>
      </c>
      <c r="G870">
        <f t="shared" si="41"/>
        <v>1.7579514111230679</v>
      </c>
    </row>
    <row r="871" spans="1:7" x14ac:dyDescent="0.35">
      <c r="A871">
        <v>40</v>
      </c>
      <c r="B871">
        <v>140</v>
      </c>
      <c r="C871">
        <v>9.2780000000000005</v>
      </c>
      <c r="E871">
        <f t="shared" si="39"/>
        <v>275790.40000000002</v>
      </c>
      <c r="F871">
        <f t="shared" si="40"/>
        <v>333.15</v>
      </c>
      <c r="G871">
        <f t="shared" si="41"/>
        <v>1.7264985188783566</v>
      </c>
    </row>
    <row r="872" spans="1:7" x14ac:dyDescent="0.35">
      <c r="A872">
        <v>40</v>
      </c>
      <c r="B872">
        <v>150</v>
      </c>
      <c r="C872">
        <v>9.4440000000000008</v>
      </c>
      <c r="E872">
        <f t="shared" si="39"/>
        <v>275790.40000000002</v>
      </c>
      <c r="F872">
        <f t="shared" si="40"/>
        <v>338.70555555555552</v>
      </c>
      <c r="G872">
        <f t="shared" si="41"/>
        <v>1.6961513403381399</v>
      </c>
    </row>
    <row r="873" spans="1:7" x14ac:dyDescent="0.35">
      <c r="A873">
        <v>40</v>
      </c>
      <c r="B873">
        <v>160</v>
      </c>
      <c r="C873">
        <v>9.609</v>
      </c>
      <c r="E873">
        <f t="shared" si="39"/>
        <v>275790.40000000002</v>
      </c>
      <c r="F873">
        <f t="shared" si="40"/>
        <v>344.26111111111106</v>
      </c>
      <c r="G873">
        <f t="shared" si="41"/>
        <v>1.6670260441412625</v>
      </c>
    </row>
    <row r="874" spans="1:7" x14ac:dyDescent="0.35">
      <c r="A874">
        <v>40</v>
      </c>
      <c r="B874">
        <v>170</v>
      </c>
      <c r="C874">
        <v>9.7739999999999991</v>
      </c>
      <c r="E874">
        <f t="shared" si="39"/>
        <v>275790.40000000002</v>
      </c>
      <c r="F874">
        <f t="shared" si="40"/>
        <v>349.81666666666666</v>
      </c>
      <c r="G874">
        <f t="shared" si="41"/>
        <v>1.6388841066250661</v>
      </c>
    </row>
    <row r="875" spans="1:7" x14ac:dyDescent="0.35">
      <c r="A875">
        <v>40</v>
      </c>
      <c r="B875">
        <v>180</v>
      </c>
      <c r="C875">
        <v>9.9380000000000006</v>
      </c>
      <c r="E875">
        <f t="shared" si="39"/>
        <v>275790.40000000002</v>
      </c>
      <c r="F875">
        <f t="shared" si="40"/>
        <v>355.37222222222221</v>
      </c>
      <c r="G875">
        <f t="shared" si="41"/>
        <v>1.6118387259160187</v>
      </c>
    </row>
    <row r="876" spans="1:7" x14ac:dyDescent="0.35">
      <c r="A876">
        <v>40</v>
      </c>
      <c r="B876">
        <v>190</v>
      </c>
      <c r="C876">
        <v>10.1</v>
      </c>
      <c r="E876">
        <f t="shared" si="39"/>
        <v>275790.40000000002</v>
      </c>
      <c r="F876">
        <f t="shared" si="40"/>
        <v>360.92777777777775</v>
      </c>
      <c r="G876">
        <f t="shared" si="41"/>
        <v>1.5859854711042964</v>
      </c>
    </row>
    <row r="877" spans="1:7" x14ac:dyDescent="0.35">
      <c r="A877">
        <v>40</v>
      </c>
      <c r="B877">
        <v>200</v>
      </c>
      <c r="C877">
        <v>10.27</v>
      </c>
      <c r="E877">
        <f t="shared" si="39"/>
        <v>275790.40000000002</v>
      </c>
      <c r="F877">
        <f t="shared" si="40"/>
        <v>366.48333333333329</v>
      </c>
      <c r="G877">
        <f t="shared" si="41"/>
        <v>1.5597325470451211</v>
      </c>
    </row>
    <row r="878" spans="1:7" x14ac:dyDescent="0.35">
      <c r="A878">
        <v>40</v>
      </c>
      <c r="B878">
        <v>220</v>
      </c>
      <c r="C878">
        <v>10.59</v>
      </c>
      <c r="E878">
        <f t="shared" si="39"/>
        <v>275790.40000000002</v>
      </c>
      <c r="F878">
        <f t="shared" si="40"/>
        <v>377.59444444444443</v>
      </c>
      <c r="G878">
        <f t="shared" si="41"/>
        <v>1.5126018185225112</v>
      </c>
    </row>
    <row r="879" spans="1:7" x14ac:dyDescent="0.35">
      <c r="A879">
        <v>40</v>
      </c>
      <c r="B879">
        <v>240</v>
      </c>
      <c r="C879">
        <v>10.92</v>
      </c>
      <c r="E879">
        <f t="shared" si="39"/>
        <v>275790.40000000002</v>
      </c>
      <c r="F879">
        <f t="shared" si="40"/>
        <v>388.70555555555552</v>
      </c>
      <c r="G879">
        <f t="shared" si="41"/>
        <v>1.466891324006721</v>
      </c>
    </row>
    <row r="880" spans="1:7" x14ac:dyDescent="0.35">
      <c r="A880">
        <v>40</v>
      </c>
      <c r="B880">
        <v>260</v>
      </c>
      <c r="C880">
        <v>11.24</v>
      </c>
      <c r="E880">
        <f t="shared" si="39"/>
        <v>275790.40000000002</v>
      </c>
      <c r="F880">
        <f t="shared" si="40"/>
        <v>399.81666666666666</v>
      </c>
      <c r="G880">
        <f t="shared" si="41"/>
        <v>1.4251292934300173</v>
      </c>
    </row>
    <row r="881" spans="1:7" x14ac:dyDescent="0.35">
      <c r="A881">
        <v>40</v>
      </c>
      <c r="B881">
        <v>280</v>
      </c>
      <c r="C881">
        <v>11.56</v>
      </c>
      <c r="E881">
        <f t="shared" si="39"/>
        <v>275790.40000000002</v>
      </c>
      <c r="F881">
        <f t="shared" si="40"/>
        <v>410.92777777777775</v>
      </c>
      <c r="G881">
        <f t="shared" si="41"/>
        <v>1.3856793475911238</v>
      </c>
    </row>
    <row r="882" spans="1:7" x14ac:dyDescent="0.35">
      <c r="A882">
        <v>40</v>
      </c>
      <c r="B882">
        <v>300</v>
      </c>
      <c r="C882">
        <v>11.88</v>
      </c>
      <c r="E882">
        <f t="shared" si="39"/>
        <v>275790.40000000002</v>
      </c>
      <c r="F882">
        <f t="shared" si="40"/>
        <v>422.03888888888889</v>
      </c>
      <c r="G882">
        <f t="shared" si="41"/>
        <v>1.3483546513597133</v>
      </c>
    </row>
    <row r="883" spans="1:7" x14ac:dyDescent="0.35">
      <c r="A883">
        <v>42</v>
      </c>
      <c r="B883">
        <v>20</v>
      </c>
      <c r="C883">
        <v>6.8419999999999996</v>
      </c>
      <c r="E883">
        <f t="shared" si="39"/>
        <v>289579.92</v>
      </c>
      <c r="F883">
        <f t="shared" si="40"/>
        <v>266.48333333333329</v>
      </c>
      <c r="G883">
        <f t="shared" si="41"/>
        <v>2.3411945714927498</v>
      </c>
    </row>
    <row r="884" spans="1:7" x14ac:dyDescent="0.35">
      <c r="A884">
        <v>42</v>
      </c>
      <c r="B884">
        <v>30</v>
      </c>
      <c r="C884">
        <v>7.0190000000000001</v>
      </c>
      <c r="E884">
        <f t="shared" si="39"/>
        <v>289579.92</v>
      </c>
      <c r="F884">
        <f t="shared" si="40"/>
        <v>272.03888888888889</v>
      </c>
      <c r="G884">
        <f t="shared" si="41"/>
        <v>2.2821560419081623</v>
      </c>
    </row>
    <row r="885" spans="1:7" x14ac:dyDescent="0.35">
      <c r="A885">
        <v>42</v>
      </c>
      <c r="B885">
        <v>40</v>
      </c>
      <c r="C885">
        <v>7.1920000000000002</v>
      </c>
      <c r="E885">
        <f t="shared" si="39"/>
        <v>289579.92</v>
      </c>
      <c r="F885">
        <f t="shared" si="40"/>
        <v>277.59444444444443</v>
      </c>
      <c r="G885">
        <f t="shared" si="41"/>
        <v>2.2272599079746098</v>
      </c>
    </row>
    <row r="886" spans="1:7" x14ac:dyDescent="0.35">
      <c r="A886">
        <v>42</v>
      </c>
      <c r="B886">
        <v>50</v>
      </c>
      <c r="C886">
        <v>7.3630000000000004</v>
      </c>
      <c r="E886">
        <f t="shared" si="39"/>
        <v>289579.92</v>
      </c>
      <c r="F886">
        <f t="shared" si="40"/>
        <v>283.14999999999998</v>
      </c>
      <c r="G886">
        <f t="shared" si="41"/>
        <v>2.1755335132627178</v>
      </c>
    </row>
    <row r="887" spans="1:7" x14ac:dyDescent="0.35">
      <c r="A887">
        <v>42</v>
      </c>
      <c r="B887">
        <v>60</v>
      </c>
      <c r="C887">
        <v>7.5309999999999997</v>
      </c>
      <c r="E887">
        <f t="shared" si="39"/>
        <v>289579.92</v>
      </c>
      <c r="F887">
        <f t="shared" si="40"/>
        <v>288.70555555555552</v>
      </c>
      <c r="G887">
        <f t="shared" si="41"/>
        <v>2.1270021588306194</v>
      </c>
    </row>
    <row r="888" spans="1:7" x14ac:dyDescent="0.35">
      <c r="A888">
        <v>42</v>
      </c>
      <c r="B888">
        <v>70</v>
      </c>
      <c r="C888">
        <v>7.6970000000000001</v>
      </c>
      <c r="E888">
        <f t="shared" si="39"/>
        <v>289579.92</v>
      </c>
      <c r="F888">
        <f t="shared" si="40"/>
        <v>294.26111111111106</v>
      </c>
      <c r="G888">
        <f t="shared" si="41"/>
        <v>2.0811294346048324</v>
      </c>
    </row>
    <row r="889" spans="1:7" x14ac:dyDescent="0.35">
      <c r="A889">
        <v>42</v>
      </c>
      <c r="B889">
        <v>80</v>
      </c>
      <c r="C889">
        <v>7.8620000000000001</v>
      </c>
      <c r="E889">
        <f t="shared" si="39"/>
        <v>289579.92</v>
      </c>
      <c r="F889">
        <f t="shared" si="40"/>
        <v>299.81666666666666</v>
      </c>
      <c r="G889">
        <f t="shared" si="41"/>
        <v>2.0374527166310599</v>
      </c>
    </row>
    <row r="890" spans="1:7" x14ac:dyDescent="0.35">
      <c r="A890">
        <v>42</v>
      </c>
      <c r="B890">
        <v>90</v>
      </c>
      <c r="C890">
        <v>8.0259999999999998</v>
      </c>
      <c r="E890">
        <f t="shared" si="39"/>
        <v>289579.92</v>
      </c>
      <c r="F890">
        <f t="shared" si="40"/>
        <v>305.37222222222221</v>
      </c>
      <c r="G890">
        <f t="shared" si="41"/>
        <v>1.9958202414843502</v>
      </c>
    </row>
    <row r="891" spans="1:7" x14ac:dyDescent="0.35">
      <c r="A891">
        <v>42</v>
      </c>
      <c r="B891">
        <v>100</v>
      </c>
      <c r="C891">
        <v>8.1880000000000006</v>
      </c>
      <c r="E891">
        <f t="shared" si="39"/>
        <v>289579.92</v>
      </c>
      <c r="F891">
        <f t="shared" si="40"/>
        <v>310.92777777777775</v>
      </c>
      <c r="G891">
        <f t="shared" si="41"/>
        <v>1.9563328356318261</v>
      </c>
    </row>
    <row r="892" spans="1:7" x14ac:dyDescent="0.35">
      <c r="A892">
        <v>42</v>
      </c>
      <c r="B892">
        <v>110</v>
      </c>
      <c r="C892">
        <v>8.3490000000000002</v>
      </c>
      <c r="E892">
        <f t="shared" si="39"/>
        <v>289579.92</v>
      </c>
      <c r="F892">
        <f t="shared" si="40"/>
        <v>316.48333333333329</v>
      </c>
      <c r="G892">
        <f t="shared" si="41"/>
        <v>1.9186074090493943</v>
      </c>
    </row>
    <row r="893" spans="1:7" x14ac:dyDescent="0.35">
      <c r="A893">
        <v>42</v>
      </c>
      <c r="B893">
        <v>120</v>
      </c>
      <c r="C893">
        <v>8.51</v>
      </c>
      <c r="E893">
        <f t="shared" si="39"/>
        <v>289579.92</v>
      </c>
      <c r="F893">
        <f t="shared" si="40"/>
        <v>322.03888888888889</v>
      </c>
      <c r="G893">
        <f t="shared" si="41"/>
        <v>1.8823094310403519</v>
      </c>
    </row>
    <row r="894" spans="1:7" x14ac:dyDescent="0.35">
      <c r="A894">
        <v>42</v>
      </c>
      <c r="B894">
        <v>130</v>
      </c>
      <c r="C894">
        <v>8.6690000000000005</v>
      </c>
      <c r="E894">
        <f t="shared" si="39"/>
        <v>289579.92</v>
      </c>
      <c r="F894">
        <f t="shared" si="40"/>
        <v>327.59444444444443</v>
      </c>
      <c r="G894">
        <f t="shared" si="41"/>
        <v>1.8477855875133684</v>
      </c>
    </row>
    <row r="895" spans="1:7" x14ac:dyDescent="0.35">
      <c r="A895">
        <v>42</v>
      </c>
      <c r="B895">
        <v>140</v>
      </c>
      <c r="C895">
        <v>8.8279999999999994</v>
      </c>
      <c r="E895">
        <f t="shared" si="39"/>
        <v>289579.92</v>
      </c>
      <c r="F895">
        <f t="shared" si="40"/>
        <v>333.15</v>
      </c>
      <c r="G895">
        <f t="shared" si="41"/>
        <v>1.8145053532117574</v>
      </c>
    </row>
    <row r="896" spans="1:7" x14ac:dyDescent="0.35">
      <c r="A896">
        <v>42</v>
      </c>
      <c r="B896">
        <v>150</v>
      </c>
      <c r="C896">
        <v>8.9860000000000007</v>
      </c>
      <c r="E896">
        <f t="shared" si="39"/>
        <v>289579.92</v>
      </c>
      <c r="F896">
        <f t="shared" si="40"/>
        <v>338.70555555555552</v>
      </c>
      <c r="G896">
        <f t="shared" si="41"/>
        <v>1.782601074800066</v>
      </c>
    </row>
    <row r="897" spans="1:7" x14ac:dyDescent="0.35">
      <c r="A897">
        <v>42</v>
      </c>
      <c r="B897">
        <v>160</v>
      </c>
      <c r="C897">
        <v>9.1440000000000001</v>
      </c>
      <c r="E897">
        <f t="shared" si="39"/>
        <v>289579.92</v>
      </c>
      <c r="F897">
        <f t="shared" si="40"/>
        <v>344.26111111111106</v>
      </c>
      <c r="G897">
        <f t="shared" si="41"/>
        <v>1.7517993501917535</v>
      </c>
    </row>
    <row r="898" spans="1:7" x14ac:dyDescent="0.35">
      <c r="A898">
        <v>42</v>
      </c>
      <c r="B898">
        <v>170</v>
      </c>
      <c r="C898">
        <v>9.3010000000000002</v>
      </c>
      <c r="E898">
        <f t="shared" ref="E898:E961" si="42">A898*6894.76</f>
        <v>289579.92</v>
      </c>
      <c r="F898">
        <f t="shared" si="40"/>
        <v>349.81666666666666</v>
      </c>
      <c r="G898">
        <f t="shared" si="41"/>
        <v>1.7222291429043537</v>
      </c>
    </row>
    <row r="899" spans="1:7" x14ac:dyDescent="0.35">
      <c r="A899">
        <v>42</v>
      </c>
      <c r="B899">
        <v>180</v>
      </c>
      <c r="C899">
        <v>9.4580000000000002</v>
      </c>
      <c r="E899">
        <f t="shared" si="42"/>
        <v>289579.92</v>
      </c>
      <c r="F899">
        <f t="shared" ref="F899:F962" si="43">(B899-32)*5/9+273.15</f>
        <v>355.37222222222221</v>
      </c>
      <c r="G899">
        <f t="shared" ref="G899:G962" si="44">1/(C899*0.062428)</f>
        <v>1.6936406489906317</v>
      </c>
    </row>
    <row r="900" spans="1:7" x14ac:dyDescent="0.35">
      <c r="A900">
        <v>42</v>
      </c>
      <c r="B900">
        <v>190</v>
      </c>
      <c r="C900">
        <v>9.6140000000000008</v>
      </c>
      <c r="E900">
        <f t="shared" si="42"/>
        <v>289579.92</v>
      </c>
      <c r="F900">
        <f t="shared" si="43"/>
        <v>360.92777777777775</v>
      </c>
      <c r="G900">
        <f t="shared" si="44"/>
        <v>1.6661590657534213</v>
      </c>
    </row>
    <row r="901" spans="1:7" x14ac:dyDescent="0.35">
      <c r="A901">
        <v>42</v>
      </c>
      <c r="B901">
        <v>200</v>
      </c>
      <c r="C901">
        <v>9.77</v>
      </c>
      <c r="E901">
        <f t="shared" si="42"/>
        <v>289579.92</v>
      </c>
      <c r="F901">
        <f t="shared" si="43"/>
        <v>366.48333333333329</v>
      </c>
      <c r="G901">
        <f t="shared" si="44"/>
        <v>1.6395550929532645</v>
      </c>
    </row>
    <row r="902" spans="1:7" x14ac:dyDescent="0.35">
      <c r="A902">
        <v>42</v>
      </c>
      <c r="B902">
        <v>220</v>
      </c>
      <c r="C902">
        <v>10.08</v>
      </c>
      <c r="E902">
        <f t="shared" si="42"/>
        <v>289579.92</v>
      </c>
      <c r="F902">
        <f t="shared" si="43"/>
        <v>377.59444444444443</v>
      </c>
      <c r="G902">
        <f t="shared" si="44"/>
        <v>1.5891322676739477</v>
      </c>
    </row>
    <row r="903" spans="1:7" x14ac:dyDescent="0.35">
      <c r="A903">
        <v>42</v>
      </c>
      <c r="B903">
        <v>240</v>
      </c>
      <c r="C903">
        <v>10.39</v>
      </c>
      <c r="E903">
        <f t="shared" si="42"/>
        <v>289579.92</v>
      </c>
      <c r="F903">
        <f t="shared" si="43"/>
        <v>388.70555555555552</v>
      </c>
      <c r="G903">
        <f t="shared" si="44"/>
        <v>1.5417183116605768</v>
      </c>
    </row>
    <row r="904" spans="1:7" x14ac:dyDescent="0.35">
      <c r="A904">
        <v>42</v>
      </c>
      <c r="B904">
        <v>260</v>
      </c>
      <c r="C904">
        <v>10.7</v>
      </c>
      <c r="E904">
        <f t="shared" si="42"/>
        <v>289579.92</v>
      </c>
      <c r="F904">
        <f t="shared" si="43"/>
        <v>399.81666666666666</v>
      </c>
      <c r="G904">
        <f t="shared" si="44"/>
        <v>1.4970517063694762</v>
      </c>
    </row>
    <row r="905" spans="1:7" x14ac:dyDescent="0.35">
      <c r="A905">
        <v>42</v>
      </c>
      <c r="B905">
        <v>280</v>
      </c>
      <c r="C905">
        <v>11.01</v>
      </c>
      <c r="E905">
        <f t="shared" si="42"/>
        <v>289579.92</v>
      </c>
      <c r="F905">
        <f t="shared" si="43"/>
        <v>410.92777777777775</v>
      </c>
      <c r="G905">
        <f t="shared" si="44"/>
        <v>1.4549003867532602</v>
      </c>
    </row>
    <row r="906" spans="1:7" x14ac:dyDescent="0.35">
      <c r="A906">
        <v>42</v>
      </c>
      <c r="B906">
        <v>300</v>
      </c>
      <c r="C906">
        <v>11.31</v>
      </c>
      <c r="E906">
        <f t="shared" si="42"/>
        <v>289579.92</v>
      </c>
      <c r="F906">
        <f t="shared" si="43"/>
        <v>422.03888888888889</v>
      </c>
      <c r="G906">
        <f t="shared" si="44"/>
        <v>1.4163088645582134</v>
      </c>
    </row>
    <row r="907" spans="1:7" x14ac:dyDescent="0.35">
      <c r="A907">
        <v>44</v>
      </c>
      <c r="B907">
        <v>20</v>
      </c>
      <c r="C907">
        <v>6.5129999999999999</v>
      </c>
      <c r="E907">
        <f t="shared" si="42"/>
        <v>303369.44</v>
      </c>
      <c r="F907">
        <f t="shared" si="43"/>
        <v>266.48333333333329</v>
      </c>
      <c r="G907">
        <f t="shared" si="44"/>
        <v>2.4594585073166582</v>
      </c>
    </row>
    <row r="908" spans="1:7" x14ac:dyDescent="0.35">
      <c r="A908">
        <v>44</v>
      </c>
      <c r="B908">
        <v>30</v>
      </c>
      <c r="C908">
        <v>6.6829999999999998</v>
      </c>
      <c r="E908">
        <f t="shared" si="42"/>
        <v>303369.44</v>
      </c>
      <c r="F908">
        <f t="shared" si="43"/>
        <v>272.03888888888889</v>
      </c>
      <c r="G908">
        <f t="shared" si="44"/>
        <v>2.3968955945164439</v>
      </c>
    </row>
    <row r="909" spans="1:7" x14ac:dyDescent="0.35">
      <c r="A909">
        <v>44</v>
      </c>
      <c r="B909">
        <v>40</v>
      </c>
      <c r="C909">
        <v>6.85</v>
      </c>
      <c r="E909">
        <f t="shared" si="42"/>
        <v>303369.44</v>
      </c>
      <c r="F909">
        <f t="shared" si="43"/>
        <v>277.59444444444443</v>
      </c>
      <c r="G909">
        <f t="shared" si="44"/>
        <v>2.3384603296574298</v>
      </c>
    </row>
    <row r="910" spans="1:7" x14ac:dyDescent="0.35">
      <c r="A910">
        <v>44</v>
      </c>
      <c r="B910">
        <v>50</v>
      </c>
      <c r="C910">
        <v>7.0140000000000002</v>
      </c>
      <c r="E910">
        <f t="shared" si="42"/>
        <v>303369.44</v>
      </c>
      <c r="F910">
        <f t="shared" si="43"/>
        <v>283.14999999999998</v>
      </c>
      <c r="G910">
        <f t="shared" si="44"/>
        <v>2.2837828996511824</v>
      </c>
    </row>
    <row r="911" spans="1:7" x14ac:dyDescent="0.35">
      <c r="A911">
        <v>44</v>
      </c>
      <c r="B911">
        <v>60</v>
      </c>
      <c r="C911">
        <v>7.1760000000000002</v>
      </c>
      <c r="E911">
        <f t="shared" si="42"/>
        <v>303369.44</v>
      </c>
      <c r="F911">
        <f t="shared" si="43"/>
        <v>288.70555555555552</v>
      </c>
      <c r="G911">
        <f t="shared" si="44"/>
        <v>2.2322259278363146</v>
      </c>
    </row>
    <row r="912" spans="1:7" x14ac:dyDescent="0.35">
      <c r="A912">
        <v>44</v>
      </c>
      <c r="B912">
        <v>70</v>
      </c>
      <c r="C912">
        <v>7.3360000000000003</v>
      </c>
      <c r="E912">
        <f t="shared" si="42"/>
        <v>303369.44</v>
      </c>
      <c r="F912">
        <f t="shared" si="43"/>
        <v>294.26111111111106</v>
      </c>
      <c r="G912">
        <f t="shared" si="44"/>
        <v>2.1835405204680196</v>
      </c>
    </row>
    <row r="913" spans="1:7" x14ac:dyDescent="0.35">
      <c r="A913">
        <v>44</v>
      </c>
      <c r="B913">
        <v>80</v>
      </c>
      <c r="C913">
        <v>7.4939999999999998</v>
      </c>
      <c r="E913">
        <f t="shared" si="42"/>
        <v>303369.44</v>
      </c>
      <c r="F913">
        <f t="shared" si="43"/>
        <v>299.81666666666666</v>
      </c>
      <c r="G913">
        <f t="shared" si="44"/>
        <v>2.1375037707704023</v>
      </c>
    </row>
    <row r="914" spans="1:7" x14ac:dyDescent="0.35">
      <c r="A914">
        <v>44</v>
      </c>
      <c r="B914">
        <v>90</v>
      </c>
      <c r="C914">
        <v>7.65</v>
      </c>
      <c r="E914">
        <f t="shared" si="42"/>
        <v>303369.44</v>
      </c>
      <c r="F914">
        <f t="shared" si="43"/>
        <v>305.37222222222221</v>
      </c>
      <c r="G914">
        <f t="shared" si="44"/>
        <v>2.0939154585821429</v>
      </c>
    </row>
    <row r="915" spans="1:7" x14ac:dyDescent="0.35">
      <c r="A915">
        <v>44</v>
      </c>
      <c r="B915">
        <v>100</v>
      </c>
      <c r="C915">
        <v>7.806</v>
      </c>
      <c r="E915">
        <f t="shared" si="42"/>
        <v>303369.44</v>
      </c>
      <c r="F915">
        <f t="shared" si="43"/>
        <v>310.92777777777775</v>
      </c>
      <c r="G915">
        <f t="shared" si="44"/>
        <v>2.0520693387334608</v>
      </c>
    </row>
    <row r="916" spans="1:7" x14ac:dyDescent="0.35">
      <c r="A916">
        <v>44</v>
      </c>
      <c r="B916">
        <v>110</v>
      </c>
      <c r="C916">
        <v>7.96</v>
      </c>
      <c r="E916">
        <f t="shared" si="42"/>
        <v>303369.44</v>
      </c>
      <c r="F916">
        <f t="shared" si="43"/>
        <v>316.48333333333329</v>
      </c>
      <c r="G916">
        <f t="shared" si="44"/>
        <v>2.0123684997680145</v>
      </c>
    </row>
    <row r="917" spans="1:7" x14ac:dyDescent="0.35">
      <c r="A917">
        <v>44</v>
      </c>
      <c r="B917">
        <v>120</v>
      </c>
      <c r="C917">
        <v>8.1140000000000008</v>
      </c>
      <c r="E917">
        <f t="shared" si="42"/>
        <v>303369.44</v>
      </c>
      <c r="F917">
        <f t="shared" si="43"/>
        <v>322.03888888888889</v>
      </c>
      <c r="G917">
        <f t="shared" si="44"/>
        <v>1.9741746682466592</v>
      </c>
    </row>
    <row r="918" spans="1:7" x14ac:dyDescent="0.35">
      <c r="A918">
        <v>44</v>
      </c>
      <c r="B918">
        <v>130</v>
      </c>
      <c r="C918">
        <v>8.2669999999999995</v>
      </c>
      <c r="E918">
        <f t="shared" si="42"/>
        <v>303369.44</v>
      </c>
      <c r="F918">
        <f t="shared" si="43"/>
        <v>327.59444444444443</v>
      </c>
      <c r="G918">
        <f t="shared" si="44"/>
        <v>1.9376379893738229</v>
      </c>
    </row>
    <row r="919" spans="1:7" x14ac:dyDescent="0.35">
      <c r="A919">
        <v>44</v>
      </c>
      <c r="B919">
        <v>140</v>
      </c>
      <c r="C919">
        <v>8.4190000000000005</v>
      </c>
      <c r="E919">
        <f t="shared" si="42"/>
        <v>303369.44</v>
      </c>
      <c r="F919">
        <f t="shared" si="43"/>
        <v>333.15</v>
      </c>
      <c r="G919">
        <f t="shared" si="44"/>
        <v>1.902655096585508</v>
      </c>
    </row>
    <row r="920" spans="1:7" x14ac:dyDescent="0.35">
      <c r="A920">
        <v>44</v>
      </c>
      <c r="B920">
        <v>150</v>
      </c>
      <c r="C920">
        <v>8.57</v>
      </c>
      <c r="E920">
        <f t="shared" si="42"/>
        <v>303369.44</v>
      </c>
      <c r="F920">
        <f t="shared" si="43"/>
        <v>338.70555555555552</v>
      </c>
      <c r="G920">
        <f t="shared" si="44"/>
        <v>1.8691310686293343</v>
      </c>
    </row>
    <row r="921" spans="1:7" x14ac:dyDescent="0.35">
      <c r="A921">
        <v>44</v>
      </c>
      <c r="B921">
        <v>160</v>
      </c>
      <c r="C921">
        <v>8.7210000000000001</v>
      </c>
      <c r="E921">
        <f t="shared" si="42"/>
        <v>303369.44</v>
      </c>
      <c r="F921">
        <f t="shared" si="43"/>
        <v>344.26111111111106</v>
      </c>
      <c r="G921">
        <f t="shared" si="44"/>
        <v>1.8367679461246866</v>
      </c>
    </row>
    <row r="922" spans="1:7" x14ac:dyDescent="0.35">
      <c r="A922">
        <v>44</v>
      </c>
      <c r="B922">
        <v>170</v>
      </c>
      <c r="C922">
        <v>8.8710000000000004</v>
      </c>
      <c r="E922">
        <f t="shared" si="42"/>
        <v>303369.44</v>
      </c>
      <c r="F922">
        <f t="shared" si="43"/>
        <v>349.81666666666666</v>
      </c>
      <c r="G922">
        <f t="shared" si="44"/>
        <v>1.8057099828828083</v>
      </c>
    </row>
    <row r="923" spans="1:7" x14ac:dyDescent="0.35">
      <c r="A923">
        <v>44</v>
      </c>
      <c r="B923">
        <v>180</v>
      </c>
      <c r="C923">
        <v>9.0210000000000008</v>
      </c>
      <c r="E923">
        <f t="shared" si="42"/>
        <v>303369.44</v>
      </c>
      <c r="F923">
        <f t="shared" si="43"/>
        <v>355.37222222222221</v>
      </c>
      <c r="G923">
        <f t="shared" si="44"/>
        <v>1.7756848750862868</v>
      </c>
    </row>
    <row r="924" spans="1:7" x14ac:dyDescent="0.35">
      <c r="A924">
        <v>44</v>
      </c>
      <c r="B924">
        <v>190</v>
      </c>
      <c r="C924">
        <v>9.1709999999999994</v>
      </c>
      <c r="E924">
        <f t="shared" si="42"/>
        <v>303369.44</v>
      </c>
      <c r="F924">
        <f t="shared" si="43"/>
        <v>360.92777777777775</v>
      </c>
      <c r="G924">
        <f t="shared" si="44"/>
        <v>1.7466419428800999</v>
      </c>
    </row>
    <row r="925" spans="1:7" x14ac:dyDescent="0.35">
      <c r="A925">
        <v>44</v>
      </c>
      <c r="B925">
        <v>200</v>
      </c>
      <c r="C925">
        <v>9.32</v>
      </c>
      <c r="E925">
        <f t="shared" si="42"/>
        <v>303369.44</v>
      </c>
      <c r="F925">
        <f t="shared" si="43"/>
        <v>366.48333333333329</v>
      </c>
      <c r="G925">
        <f t="shared" si="44"/>
        <v>1.7187181607460724</v>
      </c>
    </row>
    <row r="926" spans="1:7" x14ac:dyDescent="0.35">
      <c r="A926">
        <v>44</v>
      </c>
      <c r="B926">
        <v>220</v>
      </c>
      <c r="C926">
        <v>9.6170000000000009</v>
      </c>
      <c r="E926">
        <f t="shared" si="42"/>
        <v>303369.44</v>
      </c>
      <c r="F926">
        <f t="shared" si="43"/>
        <v>377.59444444444443</v>
      </c>
      <c r="G926">
        <f t="shared" si="44"/>
        <v>1.6656393114436303</v>
      </c>
    </row>
    <row r="927" spans="1:7" x14ac:dyDescent="0.35">
      <c r="A927">
        <v>44</v>
      </c>
      <c r="B927">
        <v>240</v>
      </c>
      <c r="C927">
        <v>9.9130000000000003</v>
      </c>
      <c r="E927">
        <f t="shared" si="42"/>
        <v>303369.44</v>
      </c>
      <c r="F927">
        <f t="shared" si="43"/>
        <v>388.70555555555552</v>
      </c>
      <c r="G927">
        <f t="shared" si="44"/>
        <v>1.6159036879000699</v>
      </c>
    </row>
    <row r="928" spans="1:7" x14ac:dyDescent="0.35">
      <c r="A928">
        <v>44</v>
      </c>
      <c r="B928">
        <v>260</v>
      </c>
      <c r="C928">
        <v>10.210000000000001</v>
      </c>
      <c r="E928">
        <f t="shared" si="42"/>
        <v>303369.44</v>
      </c>
      <c r="F928">
        <f t="shared" si="43"/>
        <v>399.81666666666666</v>
      </c>
      <c r="G928">
        <f t="shared" si="44"/>
        <v>1.5688984581932801</v>
      </c>
    </row>
    <row r="929" spans="1:7" x14ac:dyDescent="0.35">
      <c r="A929">
        <v>44</v>
      </c>
      <c r="B929">
        <v>280</v>
      </c>
      <c r="C929">
        <v>10.5</v>
      </c>
      <c r="E929">
        <f t="shared" si="42"/>
        <v>303369.44</v>
      </c>
      <c r="F929">
        <f t="shared" si="43"/>
        <v>410.92777777777775</v>
      </c>
      <c r="G929">
        <f t="shared" si="44"/>
        <v>1.5255669769669897</v>
      </c>
    </row>
    <row r="930" spans="1:7" x14ac:dyDescent="0.35">
      <c r="A930">
        <v>44</v>
      </c>
      <c r="B930">
        <v>300</v>
      </c>
      <c r="C930">
        <v>10.8</v>
      </c>
      <c r="E930">
        <f t="shared" si="42"/>
        <v>303369.44</v>
      </c>
      <c r="F930">
        <f t="shared" si="43"/>
        <v>422.03888888888889</v>
      </c>
      <c r="G930">
        <f t="shared" si="44"/>
        <v>1.4831901164956844</v>
      </c>
    </row>
    <row r="931" spans="1:7" x14ac:dyDescent="0.35">
      <c r="A931">
        <v>46</v>
      </c>
      <c r="B931">
        <v>20</v>
      </c>
      <c r="C931">
        <v>6.2130000000000001</v>
      </c>
      <c r="E931">
        <f t="shared" si="42"/>
        <v>317158.96000000002</v>
      </c>
      <c r="F931">
        <f t="shared" si="43"/>
        <v>266.48333333333329</v>
      </c>
      <c r="G931">
        <f t="shared" si="44"/>
        <v>2.578215557404377</v>
      </c>
    </row>
    <row r="932" spans="1:7" x14ac:dyDescent="0.35">
      <c r="A932">
        <v>46</v>
      </c>
      <c r="B932">
        <v>30</v>
      </c>
      <c r="C932">
        <v>6.3769999999999998</v>
      </c>
      <c r="E932">
        <f t="shared" si="42"/>
        <v>317158.96000000002</v>
      </c>
      <c r="F932">
        <f t="shared" si="43"/>
        <v>272.03888888888889</v>
      </c>
      <c r="G932">
        <f t="shared" si="44"/>
        <v>2.5119104999456474</v>
      </c>
    </row>
    <row r="933" spans="1:7" x14ac:dyDescent="0.35">
      <c r="A933">
        <v>46</v>
      </c>
      <c r="B933">
        <v>40</v>
      </c>
      <c r="C933">
        <v>6.5380000000000003</v>
      </c>
      <c r="E933">
        <f t="shared" si="42"/>
        <v>317158.96000000002</v>
      </c>
      <c r="F933">
        <f t="shared" si="43"/>
        <v>277.59444444444443</v>
      </c>
      <c r="G933">
        <f t="shared" si="44"/>
        <v>2.4500540315315682</v>
      </c>
    </row>
    <row r="934" spans="1:7" x14ac:dyDescent="0.35">
      <c r="A934">
        <v>46</v>
      </c>
      <c r="B934">
        <v>50</v>
      </c>
      <c r="C934">
        <v>6.6959999999999997</v>
      </c>
      <c r="E934">
        <f t="shared" si="42"/>
        <v>317158.96000000002</v>
      </c>
      <c r="F934">
        <f t="shared" si="43"/>
        <v>283.14999999999998</v>
      </c>
      <c r="G934">
        <f t="shared" si="44"/>
        <v>2.3922421233801368</v>
      </c>
    </row>
    <row r="935" spans="1:7" x14ac:dyDescent="0.35">
      <c r="A935">
        <v>46</v>
      </c>
      <c r="B935">
        <v>60</v>
      </c>
      <c r="C935">
        <v>6.851</v>
      </c>
      <c r="E935">
        <f t="shared" si="42"/>
        <v>317158.96000000002</v>
      </c>
      <c r="F935">
        <f t="shared" si="43"/>
        <v>288.70555555555552</v>
      </c>
      <c r="G935">
        <f t="shared" si="44"/>
        <v>2.3381189984167849</v>
      </c>
    </row>
    <row r="936" spans="1:7" x14ac:dyDescent="0.35">
      <c r="A936">
        <v>46</v>
      </c>
      <c r="B936">
        <v>70</v>
      </c>
      <c r="C936">
        <v>7.0049999999999999</v>
      </c>
      <c r="E936">
        <f t="shared" si="42"/>
        <v>317158.96000000002</v>
      </c>
      <c r="F936">
        <f t="shared" si="43"/>
        <v>294.26111111111106</v>
      </c>
      <c r="G936">
        <f t="shared" si="44"/>
        <v>2.2867170960961305</v>
      </c>
    </row>
    <row r="937" spans="1:7" x14ac:dyDescent="0.35">
      <c r="A937">
        <v>46</v>
      </c>
      <c r="B937">
        <v>80</v>
      </c>
      <c r="C937">
        <v>7.157</v>
      </c>
      <c r="E937">
        <f t="shared" si="42"/>
        <v>317158.96000000002</v>
      </c>
      <c r="F937">
        <f t="shared" si="43"/>
        <v>299.81666666666666</v>
      </c>
      <c r="G937">
        <f t="shared" si="44"/>
        <v>2.2381519153490839</v>
      </c>
    </row>
    <row r="938" spans="1:7" x14ac:dyDescent="0.35">
      <c r="A938">
        <v>46</v>
      </c>
      <c r="B938">
        <v>90</v>
      </c>
      <c r="C938">
        <v>7.3079999999999998</v>
      </c>
      <c r="E938">
        <f t="shared" si="42"/>
        <v>317158.96000000002</v>
      </c>
      <c r="F938">
        <f t="shared" si="43"/>
        <v>305.37222222222221</v>
      </c>
      <c r="G938">
        <f t="shared" si="44"/>
        <v>2.1919065761019971</v>
      </c>
    </row>
    <row r="939" spans="1:7" x14ac:dyDescent="0.35">
      <c r="A939">
        <v>46</v>
      </c>
      <c r="B939">
        <v>100</v>
      </c>
      <c r="C939">
        <v>7.4569999999999999</v>
      </c>
      <c r="E939">
        <f t="shared" si="42"/>
        <v>317158.96000000002</v>
      </c>
      <c r="F939">
        <f t="shared" si="43"/>
        <v>310.92777777777775</v>
      </c>
      <c r="G939">
        <f t="shared" si="44"/>
        <v>2.1481095961047867</v>
      </c>
    </row>
    <row r="940" spans="1:7" x14ac:dyDescent="0.35">
      <c r="A940">
        <v>46</v>
      </c>
      <c r="B940">
        <v>110</v>
      </c>
      <c r="C940">
        <v>7.6050000000000004</v>
      </c>
      <c r="E940">
        <f t="shared" si="42"/>
        <v>317158.96000000002</v>
      </c>
      <c r="F940">
        <f t="shared" si="43"/>
        <v>316.48333333333329</v>
      </c>
      <c r="G940">
        <f t="shared" si="44"/>
        <v>2.1063054908814451</v>
      </c>
    </row>
    <row r="941" spans="1:7" x14ac:dyDescent="0.35">
      <c r="A941">
        <v>46</v>
      </c>
      <c r="B941">
        <v>120</v>
      </c>
      <c r="C941">
        <v>7.7530000000000001</v>
      </c>
      <c r="E941">
        <f t="shared" si="42"/>
        <v>317158.96000000002</v>
      </c>
      <c r="F941">
        <f t="shared" si="43"/>
        <v>322.03888888888889</v>
      </c>
      <c r="G941">
        <f t="shared" si="44"/>
        <v>2.0660974149559386</v>
      </c>
    </row>
    <row r="942" spans="1:7" x14ac:dyDescent="0.35">
      <c r="A942">
        <v>46</v>
      </c>
      <c r="B942">
        <v>130</v>
      </c>
      <c r="C942">
        <v>7.899</v>
      </c>
      <c r="E942">
        <f t="shared" si="42"/>
        <v>317158.96000000002</v>
      </c>
      <c r="F942">
        <f t="shared" si="43"/>
        <v>327.59444444444443</v>
      </c>
      <c r="G942">
        <f t="shared" si="44"/>
        <v>2.0279090085015055</v>
      </c>
    </row>
    <row r="943" spans="1:7" x14ac:dyDescent="0.35">
      <c r="A943">
        <v>46</v>
      </c>
      <c r="B943">
        <v>140</v>
      </c>
      <c r="C943">
        <v>8.0449999999999999</v>
      </c>
      <c r="E943">
        <f t="shared" si="42"/>
        <v>317158.96000000002</v>
      </c>
      <c r="F943">
        <f t="shared" si="43"/>
        <v>333.15</v>
      </c>
      <c r="G943">
        <f t="shared" si="44"/>
        <v>1.9911066821819008</v>
      </c>
    </row>
    <row r="944" spans="1:7" x14ac:dyDescent="0.35">
      <c r="A944">
        <v>46</v>
      </c>
      <c r="B944">
        <v>150</v>
      </c>
      <c r="C944">
        <v>8.19</v>
      </c>
      <c r="E944">
        <f t="shared" si="42"/>
        <v>317158.96000000002</v>
      </c>
      <c r="F944">
        <f t="shared" si="43"/>
        <v>338.70555555555552</v>
      </c>
      <c r="G944">
        <f t="shared" si="44"/>
        <v>1.9558550986756282</v>
      </c>
    </row>
    <row r="945" spans="1:7" x14ac:dyDescent="0.35">
      <c r="A945">
        <v>46</v>
      </c>
      <c r="B945">
        <v>160</v>
      </c>
      <c r="C945">
        <v>8.33</v>
      </c>
      <c r="E945">
        <f t="shared" si="42"/>
        <v>317158.96000000002</v>
      </c>
      <c r="F945">
        <f t="shared" si="43"/>
        <v>344.26111111111106</v>
      </c>
      <c r="G945">
        <f t="shared" si="44"/>
        <v>1.9229835844121721</v>
      </c>
    </row>
    <row r="946" spans="1:7" x14ac:dyDescent="0.35">
      <c r="A946">
        <v>46</v>
      </c>
      <c r="B946">
        <v>170</v>
      </c>
      <c r="C946">
        <v>8.4789999999999992</v>
      </c>
      <c r="E946">
        <f t="shared" si="42"/>
        <v>317158.96000000002</v>
      </c>
      <c r="F946">
        <f t="shared" si="43"/>
        <v>349.81666666666666</v>
      </c>
      <c r="G946">
        <f t="shared" si="44"/>
        <v>1.889191326589621</v>
      </c>
    </row>
    <row r="947" spans="1:7" x14ac:dyDescent="0.35">
      <c r="A947">
        <v>46</v>
      </c>
      <c r="B947">
        <v>180</v>
      </c>
      <c r="C947">
        <v>8.6229999999999993</v>
      </c>
      <c r="E947">
        <f t="shared" si="42"/>
        <v>317158.96000000002</v>
      </c>
      <c r="F947">
        <f t="shared" si="43"/>
        <v>355.37222222222221</v>
      </c>
      <c r="G947">
        <f t="shared" si="44"/>
        <v>1.8576427296942359</v>
      </c>
    </row>
    <row r="948" spans="1:7" x14ac:dyDescent="0.35">
      <c r="A948">
        <v>46</v>
      </c>
      <c r="B948">
        <v>190</v>
      </c>
      <c r="C948">
        <v>8.766</v>
      </c>
      <c r="E948">
        <f t="shared" si="42"/>
        <v>317158.96000000002</v>
      </c>
      <c r="F948">
        <f t="shared" si="43"/>
        <v>360.92777777777775</v>
      </c>
      <c r="G948">
        <f t="shared" si="44"/>
        <v>1.8273389525614181</v>
      </c>
    </row>
    <row r="949" spans="1:7" x14ac:dyDescent="0.35">
      <c r="A949">
        <v>46</v>
      </c>
      <c r="B949">
        <v>200</v>
      </c>
      <c r="C949">
        <v>8.9090000000000007</v>
      </c>
      <c r="E949">
        <f t="shared" si="42"/>
        <v>317158.96000000002</v>
      </c>
      <c r="F949">
        <f t="shared" si="43"/>
        <v>366.48333333333329</v>
      </c>
      <c r="G949">
        <f t="shared" si="44"/>
        <v>1.7980079984457729</v>
      </c>
    </row>
    <row r="950" spans="1:7" x14ac:dyDescent="0.35">
      <c r="A950">
        <v>46</v>
      </c>
      <c r="B950">
        <v>220</v>
      </c>
      <c r="C950">
        <v>9.1940000000000008</v>
      </c>
      <c r="E950">
        <f t="shared" si="42"/>
        <v>317158.96000000002</v>
      </c>
      <c r="F950">
        <f t="shared" si="43"/>
        <v>377.59444444444443</v>
      </c>
      <c r="G950">
        <f t="shared" si="44"/>
        <v>1.7422724883786593</v>
      </c>
    </row>
    <row r="951" spans="1:7" x14ac:dyDescent="0.35">
      <c r="A951">
        <v>46</v>
      </c>
      <c r="B951">
        <v>240</v>
      </c>
      <c r="C951">
        <v>9.4770000000000003</v>
      </c>
      <c r="E951">
        <f t="shared" si="42"/>
        <v>317158.96000000002</v>
      </c>
      <c r="F951">
        <f t="shared" si="43"/>
        <v>388.70555555555552</v>
      </c>
      <c r="G951">
        <f t="shared" si="44"/>
        <v>1.690245147003629</v>
      </c>
    </row>
    <row r="952" spans="1:7" x14ac:dyDescent="0.35">
      <c r="A952">
        <v>46</v>
      </c>
      <c r="B952">
        <v>260</v>
      </c>
      <c r="C952">
        <v>9.76</v>
      </c>
      <c r="E952">
        <f t="shared" si="42"/>
        <v>317158.96000000002</v>
      </c>
      <c r="F952">
        <f t="shared" si="43"/>
        <v>399.81666666666666</v>
      </c>
      <c r="G952">
        <f t="shared" si="44"/>
        <v>1.6412349649747331</v>
      </c>
    </row>
    <row r="953" spans="1:7" x14ac:dyDescent="0.35">
      <c r="A953">
        <v>46</v>
      </c>
      <c r="B953">
        <v>280</v>
      </c>
      <c r="C953">
        <v>10.039999999999999</v>
      </c>
      <c r="E953">
        <f t="shared" si="42"/>
        <v>317158.96000000002</v>
      </c>
      <c r="F953">
        <f t="shared" si="43"/>
        <v>410.92777777777775</v>
      </c>
      <c r="G953">
        <f t="shared" si="44"/>
        <v>1.5954634719276288</v>
      </c>
    </row>
    <row r="954" spans="1:7" x14ac:dyDescent="0.35">
      <c r="A954">
        <v>46</v>
      </c>
      <c r="B954">
        <v>300</v>
      </c>
      <c r="C954">
        <v>10.32</v>
      </c>
      <c r="E954">
        <f t="shared" si="42"/>
        <v>317158.96000000002</v>
      </c>
      <c r="F954">
        <f t="shared" si="43"/>
        <v>422.03888888888889</v>
      </c>
      <c r="G954">
        <f t="shared" si="44"/>
        <v>1.5521757033094372</v>
      </c>
    </row>
    <row r="955" spans="1:7" x14ac:dyDescent="0.35">
      <c r="A955">
        <v>48</v>
      </c>
      <c r="B955">
        <v>20</v>
      </c>
      <c r="C955">
        <v>5.9370000000000003</v>
      </c>
      <c r="E955">
        <f t="shared" si="42"/>
        <v>330948.47999999998</v>
      </c>
      <c r="F955">
        <f t="shared" si="43"/>
        <v>266.48333333333329</v>
      </c>
      <c r="G955">
        <f t="shared" si="44"/>
        <v>2.6980719653281779</v>
      </c>
    </row>
    <row r="956" spans="1:7" x14ac:dyDescent="0.35">
      <c r="A956">
        <v>48</v>
      </c>
      <c r="B956">
        <v>30</v>
      </c>
      <c r="C956">
        <v>6.0960000000000001</v>
      </c>
      <c r="E956">
        <f t="shared" si="42"/>
        <v>330948.47999999998</v>
      </c>
      <c r="F956">
        <f t="shared" si="43"/>
        <v>272.03888888888889</v>
      </c>
      <c r="G956">
        <f t="shared" si="44"/>
        <v>2.62769902528763</v>
      </c>
    </row>
    <row r="957" spans="1:7" x14ac:dyDescent="0.35">
      <c r="A957">
        <v>48</v>
      </c>
      <c r="B957">
        <v>40</v>
      </c>
      <c r="C957">
        <v>6.2510000000000003</v>
      </c>
      <c r="E957">
        <f t="shared" si="42"/>
        <v>330948.47999999998</v>
      </c>
      <c r="F957">
        <f t="shared" si="43"/>
        <v>277.59444444444443</v>
      </c>
      <c r="G957">
        <f t="shared" si="44"/>
        <v>2.5625425145022227</v>
      </c>
    </row>
    <row r="958" spans="1:7" x14ac:dyDescent="0.35">
      <c r="A958">
        <v>48</v>
      </c>
      <c r="B958">
        <v>50</v>
      </c>
      <c r="C958">
        <v>6.4039999999999999</v>
      </c>
      <c r="E958">
        <f t="shared" si="42"/>
        <v>330948.47999999998</v>
      </c>
      <c r="F958">
        <f t="shared" si="43"/>
        <v>283.14999999999998</v>
      </c>
      <c r="G958">
        <f t="shared" si="44"/>
        <v>2.5013199965885997</v>
      </c>
    </row>
    <row r="959" spans="1:7" x14ac:dyDescent="0.35">
      <c r="A959">
        <v>48</v>
      </c>
      <c r="B959">
        <v>60</v>
      </c>
      <c r="C959">
        <v>6.5540000000000003</v>
      </c>
      <c r="E959">
        <f t="shared" si="42"/>
        <v>330948.47999999998</v>
      </c>
      <c r="F959">
        <f t="shared" si="43"/>
        <v>288.70555555555552</v>
      </c>
      <c r="G959">
        <f t="shared" si="44"/>
        <v>2.4440728193703682</v>
      </c>
    </row>
    <row r="960" spans="1:7" x14ac:dyDescent="0.35">
      <c r="A960">
        <v>48</v>
      </c>
      <c r="B960">
        <v>70</v>
      </c>
      <c r="C960">
        <v>6.702</v>
      </c>
      <c r="E960">
        <f t="shared" si="42"/>
        <v>330948.47999999998</v>
      </c>
      <c r="F960">
        <f t="shared" si="43"/>
        <v>294.26111111111106</v>
      </c>
      <c r="G960">
        <f t="shared" si="44"/>
        <v>2.3901004563045949</v>
      </c>
    </row>
    <row r="961" spans="1:7" x14ac:dyDescent="0.35">
      <c r="A961">
        <v>48</v>
      </c>
      <c r="B961">
        <v>80</v>
      </c>
      <c r="C961">
        <v>6.8479999999999999</v>
      </c>
      <c r="E961">
        <f t="shared" si="42"/>
        <v>330948.47999999998</v>
      </c>
      <c r="F961">
        <f t="shared" si="43"/>
        <v>299.81666666666666</v>
      </c>
      <c r="G961">
        <f t="shared" si="44"/>
        <v>2.3391432912023062</v>
      </c>
    </row>
    <row r="962" spans="1:7" x14ac:dyDescent="0.35">
      <c r="A962">
        <v>48</v>
      </c>
      <c r="B962">
        <v>90</v>
      </c>
      <c r="C962">
        <v>6.9930000000000003</v>
      </c>
      <c r="E962">
        <f t="shared" ref="E962:E1025" si="45">A962*6894.76</f>
        <v>330948.47999999998</v>
      </c>
      <c r="F962">
        <f t="shared" si="43"/>
        <v>305.37222222222221</v>
      </c>
      <c r="G962">
        <f t="shared" si="44"/>
        <v>2.2906411065570418</v>
      </c>
    </row>
    <row r="963" spans="1:7" x14ac:dyDescent="0.35">
      <c r="A963">
        <v>48</v>
      </c>
      <c r="B963">
        <v>100</v>
      </c>
      <c r="C963">
        <v>7.1369999999999996</v>
      </c>
      <c r="E963">
        <f t="shared" si="45"/>
        <v>330948.47999999998</v>
      </c>
      <c r="F963">
        <f t="shared" ref="F963:F1026" si="46">(B963-32)*5/9+273.15</f>
        <v>310.92777777777775</v>
      </c>
      <c r="G963">
        <f t="shared" ref="G963:G1026" si="47">1/(C963*0.062428)</f>
        <v>2.2444238837261308</v>
      </c>
    </row>
    <row r="964" spans="1:7" x14ac:dyDescent="0.35">
      <c r="A964">
        <v>48</v>
      </c>
      <c r="B964">
        <v>110</v>
      </c>
      <c r="C964">
        <v>7.28</v>
      </c>
      <c r="E964">
        <f t="shared" si="45"/>
        <v>330948.47999999998</v>
      </c>
      <c r="F964">
        <f t="shared" si="46"/>
        <v>316.48333333333329</v>
      </c>
      <c r="G964">
        <f t="shared" si="47"/>
        <v>2.2003369860100812</v>
      </c>
    </row>
    <row r="965" spans="1:7" x14ac:dyDescent="0.35">
      <c r="A965">
        <v>48</v>
      </c>
      <c r="B965">
        <v>120</v>
      </c>
      <c r="C965">
        <v>7.4210000000000003</v>
      </c>
      <c r="E965">
        <f t="shared" si="45"/>
        <v>330948.47999999998</v>
      </c>
      <c r="F965">
        <f t="shared" si="46"/>
        <v>322.03888888888889</v>
      </c>
      <c r="G965">
        <f t="shared" si="47"/>
        <v>2.1585302867744769</v>
      </c>
    </row>
    <row r="966" spans="1:7" x14ac:dyDescent="0.35">
      <c r="A966">
        <v>48</v>
      </c>
      <c r="B966">
        <v>130</v>
      </c>
      <c r="C966">
        <v>7.5620000000000003</v>
      </c>
      <c r="E966">
        <f t="shared" si="45"/>
        <v>330948.47999999998</v>
      </c>
      <c r="F966">
        <f t="shared" si="46"/>
        <v>327.59444444444443</v>
      </c>
      <c r="G966">
        <f t="shared" si="47"/>
        <v>2.1182826313347518</v>
      </c>
    </row>
    <row r="967" spans="1:7" x14ac:dyDescent="0.35">
      <c r="A967">
        <v>48</v>
      </c>
      <c r="B967">
        <v>140</v>
      </c>
      <c r="C967">
        <v>7.702</v>
      </c>
      <c r="E967">
        <f t="shared" si="45"/>
        <v>330948.47999999998</v>
      </c>
      <c r="F967">
        <f t="shared" si="46"/>
        <v>333.15</v>
      </c>
      <c r="G967">
        <f t="shared" si="47"/>
        <v>2.079778402772448</v>
      </c>
    </row>
    <row r="968" spans="1:7" x14ac:dyDescent="0.35">
      <c r="A968">
        <v>48</v>
      </c>
      <c r="B968">
        <v>150</v>
      </c>
      <c r="C968">
        <v>7.8419999999999996</v>
      </c>
      <c r="E968">
        <f t="shared" si="45"/>
        <v>330948.47999999998</v>
      </c>
      <c r="F968">
        <f t="shared" si="46"/>
        <v>338.70555555555552</v>
      </c>
      <c r="G968">
        <f t="shared" si="47"/>
        <v>2.0426489745158625</v>
      </c>
    </row>
    <row r="969" spans="1:7" x14ac:dyDescent="0.35">
      <c r="A969">
        <v>48</v>
      </c>
      <c r="B969">
        <v>160</v>
      </c>
      <c r="C969">
        <v>7.9809999999999999</v>
      </c>
      <c r="E969">
        <f t="shared" si="45"/>
        <v>330948.47999999998</v>
      </c>
      <c r="F969">
        <f t="shared" si="46"/>
        <v>344.26111111111106</v>
      </c>
      <c r="G969">
        <f t="shared" si="47"/>
        <v>2.0070734567289055</v>
      </c>
    </row>
    <row r="970" spans="1:7" x14ac:dyDescent="0.35">
      <c r="A970">
        <v>48</v>
      </c>
      <c r="B970">
        <v>170</v>
      </c>
      <c r="C970">
        <v>8.1189999999999998</v>
      </c>
      <c r="E970">
        <f t="shared" si="45"/>
        <v>330948.47999999998</v>
      </c>
      <c r="F970">
        <f t="shared" si="46"/>
        <v>349.81666666666666</v>
      </c>
      <c r="G970">
        <f t="shared" si="47"/>
        <v>1.9729588937250149</v>
      </c>
    </row>
    <row r="971" spans="1:7" x14ac:dyDescent="0.35">
      <c r="A971">
        <v>48</v>
      </c>
      <c r="B971">
        <v>180</v>
      </c>
      <c r="C971">
        <v>8.2569999999999997</v>
      </c>
      <c r="E971">
        <f t="shared" si="45"/>
        <v>330948.47999999998</v>
      </c>
      <c r="F971">
        <f t="shared" si="46"/>
        <v>355.37222222222221</v>
      </c>
      <c r="G971">
        <f t="shared" si="47"/>
        <v>1.9399846503758502</v>
      </c>
    </row>
    <row r="972" spans="1:7" x14ac:dyDescent="0.35">
      <c r="A972">
        <v>48</v>
      </c>
      <c r="B972">
        <v>190</v>
      </c>
      <c r="C972">
        <v>8.3949999999999996</v>
      </c>
      <c r="E972">
        <f t="shared" si="45"/>
        <v>330948.47999999998</v>
      </c>
      <c r="F972">
        <f t="shared" si="46"/>
        <v>360.92777777777775</v>
      </c>
      <c r="G972">
        <f t="shared" si="47"/>
        <v>1.9080944917395348</v>
      </c>
    </row>
    <row r="973" spans="1:7" x14ac:dyDescent="0.35">
      <c r="A973">
        <v>48</v>
      </c>
      <c r="B973">
        <v>200</v>
      </c>
      <c r="C973">
        <v>8.532</v>
      </c>
      <c r="E973">
        <f t="shared" si="45"/>
        <v>330948.47999999998</v>
      </c>
      <c r="F973">
        <f t="shared" si="46"/>
        <v>366.48333333333329</v>
      </c>
      <c r="G973">
        <f t="shared" si="47"/>
        <v>1.8774558436654236</v>
      </c>
    </row>
    <row r="974" spans="1:7" x14ac:dyDescent="0.35">
      <c r="A974">
        <v>48</v>
      </c>
      <c r="B974">
        <v>220</v>
      </c>
      <c r="C974">
        <v>8.8004999999999995</v>
      </c>
      <c r="E974">
        <f t="shared" si="45"/>
        <v>330948.47999999998</v>
      </c>
      <c r="F974">
        <f t="shared" si="46"/>
        <v>377.59444444444443</v>
      </c>
      <c r="G974">
        <f t="shared" si="47"/>
        <v>1.8201753602810515</v>
      </c>
    </row>
    <row r="975" spans="1:7" x14ac:dyDescent="0.35">
      <c r="A975">
        <v>48</v>
      </c>
      <c r="B975">
        <v>240</v>
      </c>
      <c r="C975">
        <v>9.077</v>
      </c>
      <c r="E975">
        <f t="shared" si="45"/>
        <v>330948.47999999998</v>
      </c>
      <c r="F975">
        <f t="shared" si="46"/>
        <v>388.70555555555552</v>
      </c>
      <c r="G975">
        <f t="shared" si="47"/>
        <v>1.7647298951364321</v>
      </c>
    </row>
    <row r="976" spans="1:7" x14ac:dyDescent="0.35">
      <c r="A976">
        <v>48</v>
      </c>
      <c r="B976">
        <v>260</v>
      </c>
      <c r="C976">
        <v>9.3480000000000008</v>
      </c>
      <c r="E976">
        <f t="shared" si="45"/>
        <v>330948.47999999998</v>
      </c>
      <c r="F976">
        <f t="shared" si="46"/>
        <v>399.81666666666666</v>
      </c>
      <c r="G976">
        <f t="shared" si="47"/>
        <v>1.713570096079738</v>
      </c>
    </row>
    <row r="977" spans="1:7" x14ac:dyDescent="0.35">
      <c r="A977">
        <v>48</v>
      </c>
      <c r="B977">
        <v>280</v>
      </c>
      <c r="C977">
        <v>9.6189999999999998</v>
      </c>
      <c r="E977">
        <f t="shared" si="45"/>
        <v>330948.47999999998</v>
      </c>
      <c r="F977">
        <f t="shared" si="46"/>
        <v>410.92777777777775</v>
      </c>
      <c r="G977">
        <f t="shared" si="47"/>
        <v>1.6652929886842078</v>
      </c>
    </row>
    <row r="978" spans="1:7" x14ac:dyDescent="0.35">
      <c r="A978">
        <v>48</v>
      </c>
      <c r="B978">
        <v>300</v>
      </c>
      <c r="C978">
        <v>9.8879999999999999</v>
      </c>
      <c r="E978">
        <f t="shared" si="45"/>
        <v>330948.47999999998</v>
      </c>
      <c r="F978">
        <f t="shared" si="46"/>
        <v>422.03888888888889</v>
      </c>
      <c r="G978">
        <f t="shared" si="47"/>
        <v>1.6199892049103353</v>
      </c>
    </row>
    <row r="979" spans="1:7" x14ac:dyDescent="0.35">
      <c r="A979">
        <v>50</v>
      </c>
      <c r="B979">
        <v>30</v>
      </c>
      <c r="C979">
        <v>5.8380000000000001</v>
      </c>
      <c r="E979">
        <f t="shared" si="45"/>
        <v>344738</v>
      </c>
      <c r="F979">
        <f t="shared" si="46"/>
        <v>272.03888888888889</v>
      </c>
      <c r="G979">
        <f t="shared" si="47"/>
        <v>2.7438254981420682</v>
      </c>
    </row>
    <row r="980" spans="1:7" x14ac:dyDescent="0.35">
      <c r="A980">
        <v>50</v>
      </c>
      <c r="B980">
        <v>40</v>
      </c>
      <c r="C980">
        <v>5.9880000000000004</v>
      </c>
      <c r="E980">
        <f t="shared" si="45"/>
        <v>344738</v>
      </c>
      <c r="F980">
        <f t="shared" si="46"/>
        <v>277.59444444444443</v>
      </c>
      <c r="G980">
        <f t="shared" si="47"/>
        <v>2.6750923944811942</v>
      </c>
    </row>
    <row r="981" spans="1:7" x14ac:dyDescent="0.35">
      <c r="A981">
        <v>50</v>
      </c>
      <c r="B981">
        <v>50</v>
      </c>
      <c r="C981">
        <v>6.1349999999999998</v>
      </c>
      <c r="E981">
        <f t="shared" si="45"/>
        <v>344738</v>
      </c>
      <c r="F981">
        <f t="shared" si="46"/>
        <v>283.14999999999998</v>
      </c>
      <c r="G981">
        <f t="shared" si="47"/>
        <v>2.6109948261048728</v>
      </c>
    </row>
    <row r="982" spans="1:7" x14ac:dyDescent="0.35">
      <c r="A982">
        <v>50</v>
      </c>
      <c r="B982">
        <v>60</v>
      </c>
      <c r="C982">
        <v>6.28</v>
      </c>
      <c r="E982">
        <f t="shared" si="45"/>
        <v>344738</v>
      </c>
      <c r="F982">
        <f t="shared" si="46"/>
        <v>288.70555555555552</v>
      </c>
      <c r="G982">
        <f t="shared" si="47"/>
        <v>2.5507091175403493</v>
      </c>
    </row>
    <row r="983" spans="1:7" x14ac:dyDescent="0.35">
      <c r="A983">
        <v>50</v>
      </c>
      <c r="B983">
        <v>70</v>
      </c>
      <c r="C983">
        <v>6.423</v>
      </c>
      <c r="E983">
        <f t="shared" si="45"/>
        <v>344738</v>
      </c>
      <c r="F983">
        <f t="shared" si="46"/>
        <v>294.26111111111106</v>
      </c>
      <c r="G983">
        <f t="shared" si="47"/>
        <v>2.4939207937339862</v>
      </c>
    </row>
    <row r="984" spans="1:7" x14ac:dyDescent="0.35">
      <c r="A984">
        <v>50</v>
      </c>
      <c r="B984">
        <v>80</v>
      </c>
      <c r="C984">
        <v>6.5640000000000001</v>
      </c>
      <c r="E984">
        <f t="shared" si="45"/>
        <v>344738</v>
      </c>
      <c r="F984">
        <f t="shared" si="46"/>
        <v>299.81666666666666</v>
      </c>
      <c r="G984">
        <f t="shared" si="47"/>
        <v>2.440349369005697</v>
      </c>
    </row>
    <row r="985" spans="1:7" x14ac:dyDescent="0.35">
      <c r="A985">
        <v>50</v>
      </c>
      <c r="B985">
        <v>90</v>
      </c>
      <c r="C985">
        <v>6.7039999999999997</v>
      </c>
      <c r="E985">
        <f t="shared" si="45"/>
        <v>344738</v>
      </c>
      <c r="F985">
        <f t="shared" si="46"/>
        <v>305.37222222222221</v>
      </c>
      <c r="G985">
        <f t="shared" si="47"/>
        <v>2.3893874191756255</v>
      </c>
    </row>
    <row r="986" spans="1:7" x14ac:dyDescent="0.35">
      <c r="A986">
        <v>50</v>
      </c>
      <c r="B986">
        <v>100</v>
      </c>
      <c r="C986">
        <v>6.843</v>
      </c>
      <c r="E986">
        <f t="shared" si="45"/>
        <v>344738</v>
      </c>
      <c r="F986">
        <f t="shared" si="46"/>
        <v>310.92777777777775</v>
      </c>
      <c r="G986">
        <f t="shared" si="47"/>
        <v>2.340852441641589</v>
      </c>
    </row>
    <row r="987" spans="1:7" x14ac:dyDescent="0.35">
      <c r="A987">
        <v>50</v>
      </c>
      <c r="B987">
        <v>110</v>
      </c>
      <c r="C987">
        <v>6.98</v>
      </c>
      <c r="E987">
        <f t="shared" si="45"/>
        <v>344738</v>
      </c>
      <c r="F987">
        <f t="shared" si="46"/>
        <v>316.48333333333329</v>
      </c>
      <c r="G987">
        <f t="shared" si="47"/>
        <v>2.2949073435749847</v>
      </c>
    </row>
    <row r="988" spans="1:7" x14ac:dyDescent="0.35">
      <c r="A988">
        <v>50</v>
      </c>
      <c r="B988">
        <v>120</v>
      </c>
      <c r="C988">
        <v>7.117</v>
      </c>
      <c r="E988">
        <f t="shared" si="45"/>
        <v>344738</v>
      </c>
      <c r="F988">
        <f t="shared" si="46"/>
        <v>322.03888888888889</v>
      </c>
      <c r="G988">
        <f t="shared" si="47"/>
        <v>2.2507311027333698</v>
      </c>
    </row>
    <row r="989" spans="1:7" x14ac:dyDescent="0.35">
      <c r="A989">
        <v>50</v>
      </c>
      <c r="B989">
        <v>130</v>
      </c>
      <c r="C989">
        <v>7.2519999999999998</v>
      </c>
      <c r="E989">
        <f t="shared" si="45"/>
        <v>344738</v>
      </c>
      <c r="F989">
        <f t="shared" si="46"/>
        <v>327.59444444444443</v>
      </c>
      <c r="G989">
        <f t="shared" si="47"/>
        <v>2.2088324956085761</v>
      </c>
    </row>
    <row r="990" spans="1:7" x14ac:dyDescent="0.35">
      <c r="A990">
        <v>50</v>
      </c>
      <c r="B990">
        <v>140</v>
      </c>
      <c r="C990">
        <v>7.3869999999999996</v>
      </c>
      <c r="E990">
        <f t="shared" si="45"/>
        <v>344738</v>
      </c>
      <c r="F990">
        <f t="shared" si="46"/>
        <v>333.15</v>
      </c>
      <c r="G990">
        <f t="shared" si="47"/>
        <v>2.1684653117846748</v>
      </c>
    </row>
    <row r="991" spans="1:7" x14ac:dyDescent="0.35">
      <c r="A991">
        <v>50</v>
      </c>
      <c r="B991">
        <v>150</v>
      </c>
      <c r="C991">
        <v>7.5209999999999999</v>
      </c>
      <c r="E991">
        <f t="shared" si="45"/>
        <v>344738</v>
      </c>
      <c r="F991">
        <f t="shared" si="46"/>
        <v>338.70555555555552</v>
      </c>
      <c r="G991">
        <f t="shared" si="47"/>
        <v>2.1298302430731808</v>
      </c>
    </row>
    <row r="992" spans="1:7" x14ac:dyDescent="0.35">
      <c r="A992">
        <v>50</v>
      </c>
      <c r="B992">
        <v>160</v>
      </c>
      <c r="C992">
        <v>7.6219999999999999</v>
      </c>
      <c r="E992">
        <f t="shared" si="45"/>
        <v>344738</v>
      </c>
      <c r="F992">
        <f t="shared" si="46"/>
        <v>344.26111111111106</v>
      </c>
      <c r="G992">
        <f t="shared" si="47"/>
        <v>2.1016076171809752</v>
      </c>
    </row>
    <row r="993" spans="1:7" x14ac:dyDescent="0.35">
      <c r="A993">
        <v>50</v>
      </c>
      <c r="B993">
        <v>170</v>
      </c>
      <c r="C993">
        <v>7.7880000000000003</v>
      </c>
      <c r="E993">
        <f t="shared" si="45"/>
        <v>344738</v>
      </c>
      <c r="F993">
        <f t="shared" si="46"/>
        <v>349.81666666666666</v>
      </c>
      <c r="G993">
        <f t="shared" si="47"/>
        <v>2.0568121800402404</v>
      </c>
    </row>
    <row r="994" spans="1:7" x14ac:dyDescent="0.35">
      <c r="A994">
        <v>50</v>
      </c>
      <c r="B994">
        <v>180</v>
      </c>
      <c r="C994">
        <v>7.9210000000000003</v>
      </c>
      <c r="E994">
        <f t="shared" si="45"/>
        <v>344738</v>
      </c>
      <c r="F994">
        <f t="shared" si="46"/>
        <v>355.37222222222221</v>
      </c>
      <c r="G994">
        <f t="shared" si="47"/>
        <v>2.0222766390800899</v>
      </c>
    </row>
    <row r="995" spans="1:7" x14ac:dyDescent="0.35">
      <c r="A995">
        <v>50</v>
      </c>
      <c r="B995">
        <v>190</v>
      </c>
      <c r="C995">
        <v>8.0530000000000008</v>
      </c>
      <c r="E995">
        <f t="shared" si="45"/>
        <v>344738</v>
      </c>
      <c r="F995">
        <f t="shared" si="46"/>
        <v>360.92777777777775</v>
      </c>
      <c r="G995">
        <f t="shared" si="47"/>
        <v>1.9891286797657259</v>
      </c>
    </row>
    <row r="996" spans="1:7" x14ac:dyDescent="0.35">
      <c r="A996">
        <v>50</v>
      </c>
      <c r="B996">
        <v>200</v>
      </c>
      <c r="C996">
        <v>8.1850000000000005</v>
      </c>
      <c r="E996">
        <f t="shared" si="45"/>
        <v>344738</v>
      </c>
      <c r="F996">
        <f t="shared" si="46"/>
        <v>366.48333333333329</v>
      </c>
      <c r="G996">
        <f t="shared" si="47"/>
        <v>1.9570498788214286</v>
      </c>
    </row>
    <row r="997" spans="1:7" x14ac:dyDescent="0.35">
      <c r="A997">
        <v>50</v>
      </c>
      <c r="B997">
        <v>220</v>
      </c>
      <c r="C997">
        <v>8.4480000000000004</v>
      </c>
      <c r="E997">
        <f t="shared" si="45"/>
        <v>344738</v>
      </c>
      <c r="F997">
        <f t="shared" si="46"/>
        <v>377.59444444444443</v>
      </c>
      <c r="G997">
        <f t="shared" si="47"/>
        <v>1.8961237284745966</v>
      </c>
    </row>
    <row r="998" spans="1:7" x14ac:dyDescent="0.35">
      <c r="A998">
        <v>50</v>
      </c>
      <c r="B998">
        <v>240</v>
      </c>
      <c r="C998">
        <v>8.7100000000000009</v>
      </c>
      <c r="E998">
        <f t="shared" si="45"/>
        <v>344738</v>
      </c>
      <c r="F998">
        <f t="shared" si="46"/>
        <v>388.70555555555552</v>
      </c>
      <c r="G998">
        <f t="shared" si="47"/>
        <v>1.8390876300979782</v>
      </c>
    </row>
    <row r="999" spans="1:7" x14ac:dyDescent="0.35">
      <c r="A999">
        <v>50</v>
      </c>
      <c r="B999">
        <v>260</v>
      </c>
      <c r="C999">
        <v>8.9700000000000006</v>
      </c>
      <c r="E999">
        <f t="shared" si="45"/>
        <v>344738</v>
      </c>
      <c r="F999">
        <f t="shared" si="46"/>
        <v>399.81666666666666</v>
      </c>
      <c r="G999">
        <f t="shared" si="47"/>
        <v>1.7857807422690515</v>
      </c>
    </row>
    <row r="1000" spans="1:7" x14ac:dyDescent="0.35">
      <c r="A1000">
        <v>50</v>
      </c>
      <c r="B1000">
        <v>280</v>
      </c>
      <c r="C1000">
        <v>9.23</v>
      </c>
      <c r="E1000">
        <f t="shared" si="45"/>
        <v>344738</v>
      </c>
      <c r="F1000">
        <f t="shared" si="46"/>
        <v>410.92777777777775</v>
      </c>
      <c r="G1000">
        <f t="shared" si="47"/>
        <v>1.7354770593882332</v>
      </c>
    </row>
    <row r="1001" spans="1:7" x14ac:dyDescent="0.35">
      <c r="A1001">
        <v>50</v>
      </c>
      <c r="B1001">
        <v>300</v>
      </c>
      <c r="C1001">
        <v>9.4890000000000008</v>
      </c>
      <c r="E1001">
        <f t="shared" si="45"/>
        <v>344738</v>
      </c>
      <c r="F1001">
        <f t="shared" si="46"/>
        <v>422.03888888888889</v>
      </c>
      <c r="G1001">
        <f t="shared" si="47"/>
        <v>1.6881076254772254</v>
      </c>
    </row>
    <row r="1002" spans="1:7" x14ac:dyDescent="0.35">
      <c r="A1002">
        <v>52</v>
      </c>
      <c r="B1002">
        <v>30</v>
      </c>
      <c r="C1002">
        <v>5.5990000000000002</v>
      </c>
      <c r="E1002">
        <f t="shared" si="45"/>
        <v>358527.52</v>
      </c>
      <c r="F1002">
        <f t="shared" si="46"/>
        <v>272.03888888888889</v>
      </c>
      <c r="G1002">
        <f t="shared" si="47"/>
        <v>2.8609489655569553</v>
      </c>
    </row>
    <row r="1003" spans="1:7" x14ac:dyDescent="0.35">
      <c r="A1003">
        <v>52</v>
      </c>
      <c r="B1003">
        <v>40</v>
      </c>
      <c r="C1003">
        <v>5.7439999999999998</v>
      </c>
      <c r="E1003">
        <f t="shared" si="45"/>
        <v>358527.52</v>
      </c>
      <c r="F1003">
        <f t="shared" si="46"/>
        <v>277.59444444444443</v>
      </c>
      <c r="G1003">
        <f t="shared" si="47"/>
        <v>2.7887279349152845</v>
      </c>
    </row>
    <row r="1004" spans="1:7" x14ac:dyDescent="0.35">
      <c r="A1004">
        <v>52</v>
      </c>
      <c r="B1004">
        <v>50</v>
      </c>
      <c r="C1004">
        <v>5.8869999999999996</v>
      </c>
      <c r="E1004">
        <f t="shared" si="45"/>
        <v>358527.52</v>
      </c>
      <c r="F1004">
        <f t="shared" si="46"/>
        <v>283.14999999999998</v>
      </c>
      <c r="G1004">
        <f t="shared" si="47"/>
        <v>2.7209874737817894</v>
      </c>
    </row>
    <row r="1005" spans="1:7" x14ac:dyDescent="0.35">
      <c r="A1005">
        <v>52</v>
      </c>
      <c r="B1005">
        <v>60</v>
      </c>
      <c r="C1005">
        <v>6.0270000000000001</v>
      </c>
      <c r="E1005">
        <f t="shared" si="45"/>
        <v>358527.52</v>
      </c>
      <c r="F1005">
        <f t="shared" si="46"/>
        <v>288.70555555555552</v>
      </c>
      <c r="G1005">
        <f t="shared" si="47"/>
        <v>2.6577821898379614</v>
      </c>
    </row>
    <row r="1006" spans="1:7" x14ac:dyDescent="0.35">
      <c r="A1006">
        <v>52</v>
      </c>
      <c r="B1006">
        <v>70</v>
      </c>
      <c r="C1006">
        <v>6.165</v>
      </c>
      <c r="E1006">
        <f t="shared" si="45"/>
        <v>358527.52</v>
      </c>
      <c r="F1006">
        <f t="shared" si="46"/>
        <v>294.26111111111106</v>
      </c>
      <c r="G1006">
        <f t="shared" si="47"/>
        <v>2.5982892551749219</v>
      </c>
    </row>
    <row r="1007" spans="1:7" x14ac:dyDescent="0.35">
      <c r="A1007">
        <v>52</v>
      </c>
      <c r="B1007">
        <v>80</v>
      </c>
      <c r="C1007">
        <v>6.3019999999999996</v>
      </c>
      <c r="E1007">
        <f t="shared" si="45"/>
        <v>358527.52</v>
      </c>
      <c r="F1007">
        <f t="shared" si="46"/>
        <v>299.81666666666666</v>
      </c>
      <c r="G1007">
        <f t="shared" si="47"/>
        <v>2.5418047061493803</v>
      </c>
    </row>
    <row r="1008" spans="1:7" x14ac:dyDescent="0.35">
      <c r="A1008">
        <v>52</v>
      </c>
      <c r="B1008">
        <v>90</v>
      </c>
      <c r="C1008">
        <v>6.4370000000000003</v>
      </c>
      <c r="E1008">
        <f t="shared" si="45"/>
        <v>358527.52</v>
      </c>
      <c r="F1008">
        <f t="shared" si="46"/>
        <v>305.37222222222221</v>
      </c>
      <c r="G1008">
        <f t="shared" si="47"/>
        <v>2.4884967000393652</v>
      </c>
    </row>
    <row r="1009" spans="1:7" x14ac:dyDescent="0.35">
      <c r="A1009">
        <v>52</v>
      </c>
      <c r="B1009">
        <v>100</v>
      </c>
      <c r="C1009">
        <v>6.5709999999999997</v>
      </c>
      <c r="E1009">
        <f t="shared" si="45"/>
        <v>358527.52</v>
      </c>
      <c r="F1009">
        <f t="shared" si="46"/>
        <v>310.92777777777775</v>
      </c>
      <c r="G1009">
        <f t="shared" si="47"/>
        <v>2.4377496968731385</v>
      </c>
    </row>
    <row r="1010" spans="1:7" x14ac:dyDescent="0.35">
      <c r="A1010">
        <v>52</v>
      </c>
      <c r="B1010">
        <v>110</v>
      </c>
      <c r="C1010">
        <v>6.7039999999999997</v>
      </c>
      <c r="E1010">
        <f t="shared" si="45"/>
        <v>358527.52</v>
      </c>
      <c r="F1010">
        <f t="shared" si="46"/>
        <v>316.48333333333329</v>
      </c>
      <c r="G1010">
        <f t="shared" si="47"/>
        <v>2.3893874191756255</v>
      </c>
    </row>
    <row r="1011" spans="1:7" x14ac:dyDescent="0.35">
      <c r="A1011">
        <v>52</v>
      </c>
      <c r="B1011">
        <v>120</v>
      </c>
      <c r="C1011">
        <v>6.835</v>
      </c>
      <c r="E1011">
        <f t="shared" si="45"/>
        <v>358527.52</v>
      </c>
      <c r="F1011">
        <f t="shared" si="46"/>
        <v>322.03888888888889</v>
      </c>
      <c r="G1011">
        <f t="shared" si="47"/>
        <v>2.3435922835630425</v>
      </c>
    </row>
    <row r="1012" spans="1:7" x14ac:dyDescent="0.35">
      <c r="A1012">
        <v>52</v>
      </c>
      <c r="B1012">
        <v>130</v>
      </c>
      <c r="C1012">
        <v>6.9660000000000002</v>
      </c>
      <c r="E1012">
        <f t="shared" si="45"/>
        <v>358527.52</v>
      </c>
      <c r="F1012">
        <f t="shared" si="46"/>
        <v>327.59444444444443</v>
      </c>
      <c r="G1012">
        <f t="shared" si="47"/>
        <v>2.2995195604584255</v>
      </c>
    </row>
    <row r="1013" spans="1:7" x14ac:dyDescent="0.35">
      <c r="A1013">
        <v>52</v>
      </c>
      <c r="B1013">
        <v>140</v>
      </c>
      <c r="C1013">
        <v>7.0960000000000001</v>
      </c>
      <c r="E1013">
        <f t="shared" si="45"/>
        <v>358527.52</v>
      </c>
      <c r="F1013">
        <f t="shared" si="46"/>
        <v>333.15</v>
      </c>
      <c r="G1013">
        <f t="shared" si="47"/>
        <v>2.2573919473158672</v>
      </c>
    </row>
    <row r="1014" spans="1:7" x14ac:dyDescent="0.35">
      <c r="A1014">
        <v>52</v>
      </c>
      <c r="B1014">
        <v>150</v>
      </c>
      <c r="C1014">
        <v>7.2249999999999996</v>
      </c>
      <c r="E1014">
        <f t="shared" si="45"/>
        <v>358527.52</v>
      </c>
      <c r="F1014">
        <f t="shared" si="46"/>
        <v>338.70555555555552</v>
      </c>
      <c r="G1014">
        <f t="shared" si="47"/>
        <v>2.2170869561457986</v>
      </c>
    </row>
    <row r="1015" spans="1:7" x14ac:dyDescent="0.35">
      <c r="A1015">
        <v>52</v>
      </c>
      <c r="B1015">
        <v>160</v>
      </c>
      <c r="C1015">
        <v>7.3540000000000001</v>
      </c>
      <c r="E1015">
        <f t="shared" si="45"/>
        <v>358527.52</v>
      </c>
      <c r="F1015">
        <f t="shared" si="46"/>
        <v>344.26111111111106</v>
      </c>
      <c r="G1015">
        <f t="shared" si="47"/>
        <v>2.1781959828873259</v>
      </c>
    </row>
    <row r="1016" spans="1:7" x14ac:dyDescent="0.35">
      <c r="A1016">
        <v>52</v>
      </c>
      <c r="B1016">
        <v>170</v>
      </c>
      <c r="C1016">
        <v>7.4829999999999997</v>
      </c>
      <c r="E1016">
        <f t="shared" si="45"/>
        <v>358527.52</v>
      </c>
      <c r="F1016">
        <f t="shared" si="46"/>
        <v>349.81666666666666</v>
      </c>
      <c r="G1016">
        <f t="shared" si="47"/>
        <v>2.1406458984569552</v>
      </c>
    </row>
    <row r="1017" spans="1:7" x14ac:dyDescent="0.35">
      <c r="A1017">
        <v>52</v>
      </c>
      <c r="B1017">
        <v>180</v>
      </c>
      <c r="C1017">
        <v>7.6109999999999998</v>
      </c>
      <c r="E1017">
        <f t="shared" si="45"/>
        <v>358527.52</v>
      </c>
      <c r="F1017">
        <f t="shared" si="46"/>
        <v>355.37222222222221</v>
      </c>
      <c r="G1017">
        <f t="shared" si="47"/>
        <v>2.1046450214365251</v>
      </c>
    </row>
    <row r="1018" spans="1:7" x14ac:dyDescent="0.35">
      <c r="A1018">
        <v>52</v>
      </c>
      <c r="B1018">
        <v>190</v>
      </c>
      <c r="C1018">
        <v>7.7380000000000004</v>
      </c>
      <c r="E1018">
        <f t="shared" si="45"/>
        <v>358527.52</v>
      </c>
      <c r="F1018">
        <f t="shared" si="46"/>
        <v>360.92777777777775</v>
      </c>
      <c r="G1018">
        <f t="shared" si="47"/>
        <v>2.07010251462308</v>
      </c>
    </row>
    <row r="1019" spans="1:7" x14ac:dyDescent="0.35">
      <c r="A1019">
        <v>52</v>
      </c>
      <c r="B1019">
        <v>200</v>
      </c>
      <c r="C1019">
        <v>7.8650000000000002</v>
      </c>
      <c r="E1019">
        <f t="shared" si="45"/>
        <v>358527.52</v>
      </c>
      <c r="F1019">
        <f t="shared" si="46"/>
        <v>366.48333333333329</v>
      </c>
      <c r="G1019">
        <f t="shared" si="47"/>
        <v>2.036675557298588</v>
      </c>
    </row>
    <row r="1020" spans="1:7" x14ac:dyDescent="0.35">
      <c r="A1020">
        <v>52</v>
      </c>
      <c r="B1020">
        <v>210</v>
      </c>
      <c r="C1020">
        <v>7.992</v>
      </c>
      <c r="E1020">
        <f t="shared" si="45"/>
        <v>358527.52</v>
      </c>
      <c r="F1020">
        <f t="shared" si="46"/>
        <v>372.03888888888889</v>
      </c>
      <c r="G1020">
        <f t="shared" si="47"/>
        <v>2.0043109682374118</v>
      </c>
    </row>
    <row r="1021" spans="1:7" x14ac:dyDescent="0.35">
      <c r="A1021">
        <v>52</v>
      </c>
      <c r="B1021">
        <v>220</v>
      </c>
      <c r="C1021">
        <v>8.1180000000000003</v>
      </c>
      <c r="E1021">
        <f t="shared" si="45"/>
        <v>358527.52</v>
      </c>
      <c r="F1021">
        <f t="shared" si="46"/>
        <v>377.59444444444443</v>
      </c>
      <c r="G1021">
        <f t="shared" si="47"/>
        <v>1.9732019288190923</v>
      </c>
    </row>
    <row r="1022" spans="1:7" x14ac:dyDescent="0.35">
      <c r="A1022">
        <v>52</v>
      </c>
      <c r="B1022">
        <v>240</v>
      </c>
      <c r="C1022">
        <v>8.3170000000000002</v>
      </c>
      <c r="E1022">
        <f t="shared" si="45"/>
        <v>358527.52</v>
      </c>
      <c r="F1022">
        <f t="shared" si="46"/>
        <v>388.70555555555552</v>
      </c>
      <c r="G1022">
        <f t="shared" si="47"/>
        <v>1.9259893300653352</v>
      </c>
    </row>
    <row r="1023" spans="1:7" x14ac:dyDescent="0.35">
      <c r="A1023">
        <v>52</v>
      </c>
      <c r="B1023">
        <v>260</v>
      </c>
      <c r="C1023">
        <v>8.6210000000000004</v>
      </c>
      <c r="E1023">
        <f t="shared" si="45"/>
        <v>358527.52</v>
      </c>
      <c r="F1023">
        <f t="shared" si="46"/>
        <v>399.81666666666666</v>
      </c>
      <c r="G1023">
        <f t="shared" si="47"/>
        <v>1.858073687293051</v>
      </c>
    </row>
    <row r="1024" spans="1:7" x14ac:dyDescent="0.35">
      <c r="A1024">
        <v>52</v>
      </c>
      <c r="B1024">
        <v>280</v>
      </c>
      <c r="C1024">
        <v>8.8710000000000004</v>
      </c>
      <c r="E1024">
        <f t="shared" si="45"/>
        <v>358527.52</v>
      </c>
      <c r="F1024">
        <f t="shared" si="46"/>
        <v>410.92777777777775</v>
      </c>
      <c r="G1024">
        <f t="shared" si="47"/>
        <v>1.8057099828828083</v>
      </c>
    </row>
    <row r="1025" spans="1:7" x14ac:dyDescent="0.35">
      <c r="A1025">
        <v>52</v>
      </c>
      <c r="B1025">
        <v>300</v>
      </c>
      <c r="C1025">
        <v>9.1199999999999992</v>
      </c>
      <c r="E1025">
        <f t="shared" si="45"/>
        <v>358527.52</v>
      </c>
      <c r="F1025">
        <f t="shared" si="46"/>
        <v>422.03888888888889</v>
      </c>
      <c r="G1025">
        <f t="shared" si="47"/>
        <v>1.7564093484817318</v>
      </c>
    </row>
    <row r="1026" spans="1:7" x14ac:dyDescent="0.35">
      <c r="A1026">
        <v>54</v>
      </c>
      <c r="B1026">
        <v>30</v>
      </c>
      <c r="C1026">
        <v>5.3780000000000001</v>
      </c>
      <c r="E1026">
        <f t="shared" ref="E1026:E1089" si="48">A1026*6894.76</f>
        <v>372317.04000000004</v>
      </c>
      <c r="F1026">
        <f t="shared" si="46"/>
        <v>272.03888888888889</v>
      </c>
      <c r="G1026">
        <f t="shared" si="47"/>
        <v>2.9785149234201178</v>
      </c>
    </row>
    <row r="1027" spans="1:7" x14ac:dyDescent="0.35">
      <c r="A1027">
        <v>54</v>
      </c>
      <c r="B1027">
        <v>40</v>
      </c>
      <c r="C1027">
        <v>5.5190000000000001</v>
      </c>
      <c r="E1027">
        <f t="shared" si="48"/>
        <v>372317.04000000004</v>
      </c>
      <c r="F1027">
        <f t="shared" ref="F1027:F1090" si="49">(B1027-32)*5/9+273.15</f>
        <v>277.59444444444443</v>
      </c>
      <c r="G1027">
        <f t="shared" ref="G1027:G1090" si="50">1/(C1027*0.062428)</f>
        <v>2.9024195068225027</v>
      </c>
    </row>
    <row r="1028" spans="1:7" x14ac:dyDescent="0.35">
      <c r="A1028">
        <v>54</v>
      </c>
      <c r="B1028">
        <v>50</v>
      </c>
      <c r="C1028">
        <v>5.657</v>
      </c>
      <c r="E1028">
        <f t="shared" si="48"/>
        <v>372317.04000000004</v>
      </c>
      <c r="F1028">
        <f t="shared" si="49"/>
        <v>283.14999999999998</v>
      </c>
      <c r="G1028">
        <f t="shared" si="50"/>
        <v>2.8316162733168451</v>
      </c>
    </row>
    <row r="1029" spans="1:7" x14ac:dyDescent="0.35">
      <c r="A1029">
        <v>54</v>
      </c>
      <c r="B1029">
        <v>60</v>
      </c>
      <c r="C1029">
        <v>5.7930000000000001</v>
      </c>
      <c r="E1029">
        <f t="shared" si="48"/>
        <v>372317.04000000004</v>
      </c>
      <c r="F1029">
        <f t="shared" si="49"/>
        <v>288.70555555555552</v>
      </c>
      <c r="G1029">
        <f t="shared" si="50"/>
        <v>2.7651395232441556</v>
      </c>
    </row>
    <row r="1030" spans="1:7" x14ac:dyDescent="0.35">
      <c r="A1030">
        <v>54</v>
      </c>
      <c r="B1030">
        <v>70</v>
      </c>
      <c r="C1030">
        <v>5.9269999999999996</v>
      </c>
      <c r="E1030">
        <f t="shared" si="48"/>
        <v>372317.04000000004</v>
      </c>
      <c r="F1030">
        <f t="shared" si="49"/>
        <v>294.26111111111106</v>
      </c>
      <c r="G1030">
        <f t="shared" si="50"/>
        <v>2.7026241366886108</v>
      </c>
    </row>
    <row r="1031" spans="1:7" x14ac:dyDescent="0.35">
      <c r="A1031">
        <v>54</v>
      </c>
      <c r="B1031">
        <v>80</v>
      </c>
      <c r="C1031">
        <v>6.0590000000000002</v>
      </c>
      <c r="E1031">
        <f t="shared" si="48"/>
        <v>372317.04000000004</v>
      </c>
      <c r="F1031">
        <f t="shared" si="49"/>
        <v>299.81666666666666</v>
      </c>
      <c r="G1031">
        <f t="shared" si="50"/>
        <v>2.6437453801210422</v>
      </c>
    </row>
    <row r="1032" spans="1:7" x14ac:dyDescent="0.35">
      <c r="A1032">
        <v>54</v>
      </c>
      <c r="B1032">
        <v>90</v>
      </c>
      <c r="C1032">
        <v>6.19</v>
      </c>
      <c r="E1032">
        <f t="shared" si="48"/>
        <v>372317.04000000004</v>
      </c>
      <c r="F1032">
        <f t="shared" si="49"/>
        <v>305.37222222222221</v>
      </c>
      <c r="G1032">
        <f t="shared" si="50"/>
        <v>2.5877953567291425</v>
      </c>
    </row>
    <row r="1033" spans="1:7" x14ac:dyDescent="0.35">
      <c r="A1033">
        <v>54</v>
      </c>
      <c r="B1033">
        <v>100</v>
      </c>
      <c r="C1033">
        <v>6.319</v>
      </c>
      <c r="E1033">
        <f t="shared" si="48"/>
        <v>372317.04000000004</v>
      </c>
      <c r="F1033">
        <f t="shared" si="49"/>
        <v>310.92777777777775</v>
      </c>
      <c r="G1033">
        <f t="shared" si="50"/>
        <v>2.5349664912412395</v>
      </c>
    </row>
    <row r="1034" spans="1:7" x14ac:dyDescent="0.35">
      <c r="A1034">
        <v>54</v>
      </c>
      <c r="B1034">
        <v>110</v>
      </c>
      <c r="C1034">
        <v>6.4470000000000001</v>
      </c>
      <c r="E1034">
        <f t="shared" si="48"/>
        <v>372317.04000000004</v>
      </c>
      <c r="F1034">
        <f t="shared" si="49"/>
        <v>316.48333333333329</v>
      </c>
      <c r="G1034">
        <f t="shared" si="50"/>
        <v>2.4846367703045438</v>
      </c>
    </row>
    <row r="1035" spans="1:7" x14ac:dyDescent="0.35">
      <c r="A1035">
        <v>54</v>
      </c>
      <c r="B1035">
        <v>120</v>
      </c>
      <c r="C1035">
        <v>6.5750000000000002</v>
      </c>
      <c r="E1035">
        <f t="shared" si="48"/>
        <v>372317.04000000004</v>
      </c>
      <c r="F1035">
        <f t="shared" si="49"/>
        <v>322.03888888888889</v>
      </c>
      <c r="G1035">
        <f t="shared" si="50"/>
        <v>2.4362666552324552</v>
      </c>
    </row>
    <row r="1036" spans="1:7" x14ac:dyDescent="0.35">
      <c r="A1036">
        <v>54</v>
      </c>
      <c r="B1036">
        <v>130</v>
      </c>
      <c r="C1036">
        <v>6.7009999999999996</v>
      </c>
      <c r="E1036">
        <f t="shared" si="48"/>
        <v>372317.04000000004</v>
      </c>
      <c r="F1036">
        <f t="shared" si="49"/>
        <v>327.59444444444443</v>
      </c>
      <c r="G1036">
        <f t="shared" si="50"/>
        <v>2.3904571344804348</v>
      </c>
    </row>
    <row r="1037" spans="1:7" x14ac:dyDescent="0.35">
      <c r="A1037">
        <v>54</v>
      </c>
      <c r="B1037">
        <v>140</v>
      </c>
      <c r="C1037">
        <v>6.827</v>
      </c>
      <c r="E1037">
        <f t="shared" si="48"/>
        <v>372317.04000000004</v>
      </c>
      <c r="F1037">
        <f t="shared" si="49"/>
        <v>333.15</v>
      </c>
      <c r="G1037">
        <f t="shared" si="50"/>
        <v>2.3463385466754643</v>
      </c>
    </row>
    <row r="1038" spans="1:7" x14ac:dyDescent="0.35">
      <c r="A1038">
        <v>54</v>
      </c>
      <c r="B1038">
        <v>150</v>
      </c>
      <c r="C1038">
        <v>6.952</v>
      </c>
      <c r="E1038">
        <f t="shared" si="48"/>
        <v>372317.04000000004</v>
      </c>
      <c r="F1038">
        <f t="shared" si="49"/>
        <v>338.70555555555552</v>
      </c>
      <c r="G1038">
        <f t="shared" si="50"/>
        <v>2.3041503535893835</v>
      </c>
    </row>
    <row r="1039" spans="1:7" x14ac:dyDescent="0.35">
      <c r="A1039">
        <v>54</v>
      </c>
      <c r="B1039">
        <v>160</v>
      </c>
      <c r="C1039">
        <v>7.0759999999999996</v>
      </c>
      <c r="E1039">
        <f t="shared" si="48"/>
        <v>372317.04000000004</v>
      </c>
      <c r="F1039">
        <f t="shared" si="49"/>
        <v>344.26111111111106</v>
      </c>
      <c r="G1039">
        <f t="shared" si="50"/>
        <v>2.2637723654823905</v>
      </c>
    </row>
    <row r="1040" spans="1:7" x14ac:dyDescent="0.35">
      <c r="A1040">
        <v>54</v>
      </c>
      <c r="B1040">
        <v>170</v>
      </c>
      <c r="C1040">
        <v>7.2</v>
      </c>
      <c r="E1040">
        <f t="shared" si="48"/>
        <v>372317.04000000004</v>
      </c>
      <c r="F1040">
        <f t="shared" si="49"/>
        <v>349.81666666666666</v>
      </c>
      <c r="G1040">
        <f t="shared" si="50"/>
        <v>2.224785174743527</v>
      </c>
    </row>
    <row r="1041" spans="1:7" x14ac:dyDescent="0.35">
      <c r="A1041">
        <v>54</v>
      </c>
      <c r="B1041">
        <v>180</v>
      </c>
      <c r="C1041">
        <v>7.3230000000000004</v>
      </c>
      <c r="E1041">
        <f t="shared" si="48"/>
        <v>372317.04000000004</v>
      </c>
      <c r="F1041">
        <f t="shared" si="49"/>
        <v>355.37222222222221</v>
      </c>
      <c r="G1041">
        <f t="shared" si="50"/>
        <v>2.187416804336118</v>
      </c>
    </row>
    <row r="1042" spans="1:7" x14ac:dyDescent="0.35">
      <c r="A1042">
        <v>54</v>
      </c>
      <c r="B1042">
        <v>190</v>
      </c>
      <c r="C1042">
        <v>7.4450000000000003</v>
      </c>
      <c r="E1042">
        <f t="shared" si="48"/>
        <v>372317.04000000004</v>
      </c>
      <c r="F1042">
        <f t="shared" si="49"/>
        <v>360.92777777777775</v>
      </c>
      <c r="G1042">
        <f t="shared" si="50"/>
        <v>2.1515719621428331</v>
      </c>
    </row>
    <row r="1043" spans="1:7" x14ac:dyDescent="0.35">
      <c r="A1043">
        <v>54</v>
      </c>
      <c r="B1043">
        <v>200</v>
      </c>
      <c r="C1043">
        <v>7.569</v>
      </c>
      <c r="E1043">
        <f t="shared" si="48"/>
        <v>372317.04000000004</v>
      </c>
      <c r="F1043">
        <f t="shared" si="49"/>
        <v>366.48333333333329</v>
      </c>
      <c r="G1043">
        <f t="shared" si="50"/>
        <v>2.1163235907191695</v>
      </c>
    </row>
    <row r="1044" spans="1:7" x14ac:dyDescent="0.35">
      <c r="A1044">
        <v>54</v>
      </c>
      <c r="B1044">
        <v>210</v>
      </c>
      <c r="C1044">
        <v>7.6909999999999998</v>
      </c>
      <c r="E1044">
        <f t="shared" si="48"/>
        <v>372317.04000000004</v>
      </c>
      <c r="F1044">
        <f t="shared" si="49"/>
        <v>372.03888888888889</v>
      </c>
      <c r="G1044">
        <f t="shared" si="50"/>
        <v>2.0827529915685079</v>
      </c>
    </row>
    <row r="1045" spans="1:7" x14ac:dyDescent="0.35">
      <c r="A1045">
        <v>54</v>
      </c>
      <c r="B1045">
        <v>220</v>
      </c>
      <c r="C1045">
        <v>7.8129999999999997</v>
      </c>
      <c r="E1045">
        <f t="shared" si="48"/>
        <v>372317.04000000004</v>
      </c>
      <c r="F1045">
        <f t="shared" si="49"/>
        <v>377.59444444444443</v>
      </c>
      <c r="G1045">
        <f t="shared" si="50"/>
        <v>2.050230802272289</v>
      </c>
    </row>
    <row r="1046" spans="1:7" x14ac:dyDescent="0.35">
      <c r="A1046">
        <v>54</v>
      </c>
      <c r="B1046">
        <v>240</v>
      </c>
      <c r="C1046">
        <v>8.0559999999999992</v>
      </c>
      <c r="E1046">
        <f t="shared" si="48"/>
        <v>372317.04000000004</v>
      </c>
      <c r="F1046">
        <f t="shared" si="49"/>
        <v>388.70555555555552</v>
      </c>
      <c r="G1046">
        <f t="shared" si="50"/>
        <v>1.9883879416774324</v>
      </c>
    </row>
    <row r="1047" spans="1:7" x14ac:dyDescent="0.35">
      <c r="A1047">
        <v>54</v>
      </c>
      <c r="B1047">
        <v>260</v>
      </c>
      <c r="C1047">
        <v>8.298</v>
      </c>
      <c r="E1047">
        <f t="shared" si="48"/>
        <v>372317.04000000004</v>
      </c>
      <c r="F1047">
        <f t="shared" si="49"/>
        <v>399.81666666666666</v>
      </c>
      <c r="G1047">
        <f t="shared" si="50"/>
        <v>1.9303992839423227</v>
      </c>
    </row>
    <row r="1048" spans="1:7" x14ac:dyDescent="0.35">
      <c r="A1048">
        <v>54</v>
      </c>
      <c r="B1048">
        <v>280</v>
      </c>
      <c r="C1048">
        <v>8.5389999999999997</v>
      </c>
      <c r="E1048">
        <f t="shared" si="48"/>
        <v>372317.04000000004</v>
      </c>
      <c r="F1048">
        <f t="shared" si="49"/>
        <v>410.92777777777775</v>
      </c>
      <c r="G1048">
        <f t="shared" si="50"/>
        <v>1.8759167652129516</v>
      </c>
    </row>
    <row r="1049" spans="1:7" x14ac:dyDescent="0.35">
      <c r="A1049">
        <v>54</v>
      </c>
      <c r="B1049">
        <v>300</v>
      </c>
      <c r="C1049">
        <v>8.7789999999999999</v>
      </c>
      <c r="E1049">
        <f t="shared" si="48"/>
        <v>372317.04000000004</v>
      </c>
      <c r="F1049">
        <f t="shared" si="49"/>
        <v>422.03888888888889</v>
      </c>
      <c r="G1049">
        <f t="shared" si="50"/>
        <v>1.8246330172176095</v>
      </c>
    </row>
    <row r="1050" spans="1:7" x14ac:dyDescent="0.35">
      <c r="A1050">
        <v>56</v>
      </c>
      <c r="B1050">
        <v>30</v>
      </c>
      <c r="C1050">
        <v>5.1719999999999997</v>
      </c>
      <c r="E1050">
        <f t="shared" si="48"/>
        <v>386106.56</v>
      </c>
      <c r="F1050">
        <f t="shared" si="49"/>
        <v>272.03888888888889</v>
      </c>
      <c r="G1050">
        <f t="shared" si="50"/>
        <v>3.097148735141801</v>
      </c>
    </row>
    <row r="1051" spans="1:7" x14ac:dyDescent="0.35">
      <c r="A1051">
        <v>56</v>
      </c>
      <c r="B1051">
        <v>40</v>
      </c>
      <c r="C1051">
        <v>5.31</v>
      </c>
      <c r="E1051">
        <f t="shared" si="48"/>
        <v>386106.56</v>
      </c>
      <c r="F1051">
        <f t="shared" si="49"/>
        <v>277.59444444444443</v>
      </c>
      <c r="G1051">
        <f t="shared" si="50"/>
        <v>3.0166578640590194</v>
      </c>
    </row>
    <row r="1052" spans="1:7" x14ac:dyDescent="0.35">
      <c r="A1052">
        <v>56</v>
      </c>
      <c r="B1052">
        <v>50</v>
      </c>
      <c r="C1052">
        <v>5.444</v>
      </c>
      <c r="E1052">
        <f t="shared" si="48"/>
        <v>386106.56</v>
      </c>
      <c r="F1052">
        <f t="shared" si="49"/>
        <v>283.14999999999998</v>
      </c>
      <c r="G1052">
        <f t="shared" si="50"/>
        <v>2.9424050804837241</v>
      </c>
    </row>
    <row r="1053" spans="1:7" x14ac:dyDescent="0.35">
      <c r="A1053">
        <v>56</v>
      </c>
      <c r="B1053">
        <v>60</v>
      </c>
      <c r="C1053">
        <v>5.5759999999999996</v>
      </c>
      <c r="E1053">
        <f t="shared" si="48"/>
        <v>386106.56</v>
      </c>
      <c r="F1053">
        <f t="shared" si="49"/>
        <v>288.70555555555552</v>
      </c>
      <c r="G1053">
        <f t="shared" si="50"/>
        <v>2.8727498669572085</v>
      </c>
    </row>
    <row r="1054" spans="1:7" x14ac:dyDescent="0.35">
      <c r="A1054">
        <v>56</v>
      </c>
      <c r="B1054">
        <v>70</v>
      </c>
      <c r="C1054">
        <v>5.7060000000000004</v>
      </c>
      <c r="E1054">
        <f t="shared" si="48"/>
        <v>386106.56</v>
      </c>
      <c r="F1054">
        <f t="shared" si="49"/>
        <v>294.26111111111106</v>
      </c>
      <c r="G1054">
        <f t="shared" si="50"/>
        <v>2.8072999050391507</v>
      </c>
    </row>
    <row r="1055" spans="1:7" x14ac:dyDescent="0.35">
      <c r="A1055">
        <v>56</v>
      </c>
      <c r="B1055">
        <v>80</v>
      </c>
      <c r="C1055">
        <v>5.8339999999999996</v>
      </c>
      <c r="E1055">
        <f t="shared" si="48"/>
        <v>386106.56</v>
      </c>
      <c r="F1055">
        <f t="shared" si="49"/>
        <v>299.81666666666666</v>
      </c>
      <c r="G1055">
        <f t="shared" si="50"/>
        <v>2.7457067634818983</v>
      </c>
    </row>
    <row r="1056" spans="1:7" x14ac:dyDescent="0.35">
      <c r="A1056">
        <v>56</v>
      </c>
      <c r="B1056">
        <v>90</v>
      </c>
      <c r="C1056">
        <v>5.96</v>
      </c>
      <c r="E1056">
        <f t="shared" si="48"/>
        <v>386106.56</v>
      </c>
      <c r="F1056">
        <f t="shared" si="49"/>
        <v>305.37222222222221</v>
      </c>
      <c r="G1056">
        <f t="shared" si="50"/>
        <v>2.6876599426431866</v>
      </c>
    </row>
    <row r="1057" spans="1:7" x14ac:dyDescent="0.35">
      <c r="A1057">
        <v>56</v>
      </c>
      <c r="B1057">
        <v>100</v>
      </c>
      <c r="C1057">
        <v>6.085</v>
      </c>
      <c r="E1057">
        <f t="shared" si="48"/>
        <v>386106.56</v>
      </c>
      <c r="F1057">
        <f t="shared" si="49"/>
        <v>310.92777777777775</v>
      </c>
      <c r="G1057">
        <f t="shared" si="50"/>
        <v>2.6324491796472298</v>
      </c>
    </row>
    <row r="1058" spans="1:7" x14ac:dyDescent="0.35">
      <c r="A1058">
        <v>56</v>
      </c>
      <c r="B1058">
        <v>110</v>
      </c>
      <c r="C1058">
        <v>6.2089999999999996</v>
      </c>
      <c r="E1058">
        <f t="shared" si="48"/>
        <v>386106.56</v>
      </c>
      <c r="F1058">
        <f t="shared" si="49"/>
        <v>316.48333333333329</v>
      </c>
      <c r="G1058">
        <f t="shared" si="50"/>
        <v>2.5798765112181341</v>
      </c>
    </row>
    <row r="1059" spans="1:7" x14ac:dyDescent="0.35">
      <c r="A1059">
        <v>56</v>
      </c>
      <c r="B1059">
        <v>120</v>
      </c>
      <c r="C1059">
        <v>6.3330000000000002</v>
      </c>
      <c r="E1059">
        <f t="shared" si="48"/>
        <v>386106.56</v>
      </c>
      <c r="F1059">
        <f t="shared" si="49"/>
        <v>322.03888888888889</v>
      </c>
      <c r="G1059">
        <f t="shared" si="50"/>
        <v>2.5293625861603335</v>
      </c>
    </row>
    <row r="1060" spans="1:7" x14ac:dyDescent="0.35">
      <c r="A1060">
        <v>56</v>
      </c>
      <c r="B1060">
        <v>130</v>
      </c>
      <c r="C1060">
        <v>6.4550000000000001</v>
      </c>
      <c r="E1060">
        <f t="shared" si="48"/>
        <v>386106.56</v>
      </c>
      <c r="F1060">
        <f t="shared" si="49"/>
        <v>327.59444444444443</v>
      </c>
      <c r="G1060">
        <f t="shared" si="50"/>
        <v>2.4815574373591622</v>
      </c>
    </row>
    <row r="1061" spans="1:7" x14ac:dyDescent="0.35">
      <c r="A1061">
        <v>56</v>
      </c>
      <c r="B1061">
        <v>140</v>
      </c>
      <c r="C1061">
        <v>6.5759999999999996</v>
      </c>
      <c r="E1061">
        <f t="shared" si="48"/>
        <v>386106.56</v>
      </c>
      <c r="F1061">
        <f t="shared" si="49"/>
        <v>333.15</v>
      </c>
      <c r="G1061">
        <f t="shared" si="50"/>
        <v>2.4358961767264895</v>
      </c>
    </row>
    <row r="1062" spans="1:7" x14ac:dyDescent="0.35">
      <c r="A1062">
        <v>56</v>
      </c>
      <c r="B1062">
        <v>150</v>
      </c>
      <c r="C1062">
        <v>6.6970000000000001</v>
      </c>
      <c r="E1062">
        <f t="shared" si="48"/>
        <v>386106.56</v>
      </c>
      <c r="F1062">
        <f t="shared" si="49"/>
        <v>338.70555555555552</v>
      </c>
      <c r="G1062">
        <f t="shared" si="50"/>
        <v>2.3918849123717174</v>
      </c>
    </row>
    <row r="1063" spans="1:7" x14ac:dyDescent="0.35">
      <c r="A1063">
        <v>56</v>
      </c>
      <c r="B1063">
        <v>160</v>
      </c>
      <c r="C1063">
        <v>6.8170000000000002</v>
      </c>
      <c r="E1063">
        <f t="shared" si="48"/>
        <v>386106.56</v>
      </c>
      <c r="F1063">
        <f t="shared" si="49"/>
        <v>344.26111111111106</v>
      </c>
      <c r="G1063">
        <f t="shared" si="50"/>
        <v>2.349780439805397</v>
      </c>
    </row>
    <row r="1064" spans="1:7" x14ac:dyDescent="0.35">
      <c r="A1064">
        <v>56</v>
      </c>
      <c r="B1064">
        <v>170</v>
      </c>
      <c r="C1064">
        <v>6.9370000000000003</v>
      </c>
      <c r="E1064">
        <f t="shared" si="48"/>
        <v>386106.56</v>
      </c>
      <c r="F1064">
        <f t="shared" si="49"/>
        <v>349.81666666666666</v>
      </c>
      <c r="G1064">
        <f t="shared" si="50"/>
        <v>2.3091326593849493</v>
      </c>
    </row>
    <row r="1065" spans="1:7" x14ac:dyDescent="0.35">
      <c r="A1065">
        <v>56</v>
      </c>
      <c r="B1065">
        <v>180</v>
      </c>
      <c r="C1065">
        <v>7.056</v>
      </c>
      <c r="E1065">
        <f t="shared" si="48"/>
        <v>386106.56</v>
      </c>
      <c r="F1065">
        <f t="shared" si="49"/>
        <v>355.37222222222221</v>
      </c>
      <c r="G1065">
        <f t="shared" si="50"/>
        <v>2.2701889538199254</v>
      </c>
    </row>
    <row r="1066" spans="1:7" x14ac:dyDescent="0.35">
      <c r="A1066">
        <v>56</v>
      </c>
      <c r="B1066">
        <v>190</v>
      </c>
      <c r="C1066">
        <v>7.1749999999999998</v>
      </c>
      <c r="E1066">
        <f t="shared" si="48"/>
        <v>386106.56</v>
      </c>
      <c r="F1066">
        <f t="shared" si="49"/>
        <v>360.92777777777775</v>
      </c>
      <c r="G1066">
        <f t="shared" si="50"/>
        <v>2.2325370394638879</v>
      </c>
    </row>
    <row r="1067" spans="1:7" x14ac:dyDescent="0.35">
      <c r="A1067">
        <v>56</v>
      </c>
      <c r="B1067">
        <v>200</v>
      </c>
      <c r="C1067">
        <v>7.2939999999999996</v>
      </c>
      <c r="E1067">
        <f t="shared" si="48"/>
        <v>386106.56</v>
      </c>
      <c r="F1067">
        <f t="shared" si="49"/>
        <v>366.48333333333329</v>
      </c>
      <c r="G1067">
        <f t="shared" si="50"/>
        <v>2.1961136904515208</v>
      </c>
    </row>
    <row r="1068" spans="1:7" x14ac:dyDescent="0.35">
      <c r="A1068">
        <v>56</v>
      </c>
      <c r="B1068">
        <v>210</v>
      </c>
      <c r="C1068">
        <v>7.4119999999999999</v>
      </c>
      <c r="E1068">
        <f t="shared" si="48"/>
        <v>386106.56</v>
      </c>
      <c r="F1068">
        <f t="shared" si="49"/>
        <v>372.03888888888889</v>
      </c>
      <c r="G1068">
        <f t="shared" si="50"/>
        <v>2.1611512760595515</v>
      </c>
    </row>
    <row r="1069" spans="1:7" x14ac:dyDescent="0.35">
      <c r="A1069">
        <v>56</v>
      </c>
      <c r="B1069">
        <v>220</v>
      </c>
      <c r="C1069">
        <v>7.5289999999999999</v>
      </c>
      <c r="E1069">
        <f t="shared" si="48"/>
        <v>386106.56</v>
      </c>
      <c r="F1069">
        <f t="shared" si="49"/>
        <v>377.59444444444443</v>
      </c>
      <c r="G1069">
        <f t="shared" si="50"/>
        <v>2.1275671746783629</v>
      </c>
    </row>
    <row r="1070" spans="1:7" x14ac:dyDescent="0.35">
      <c r="A1070">
        <v>56</v>
      </c>
      <c r="B1070">
        <v>240</v>
      </c>
      <c r="C1070">
        <v>7.7640000000000002</v>
      </c>
      <c r="E1070">
        <f t="shared" si="48"/>
        <v>386106.56</v>
      </c>
      <c r="F1070">
        <f t="shared" si="49"/>
        <v>388.70555555555552</v>
      </c>
      <c r="G1070">
        <f t="shared" si="50"/>
        <v>2.0631701775055888</v>
      </c>
    </row>
    <row r="1071" spans="1:7" x14ac:dyDescent="0.35">
      <c r="A1071">
        <v>56</v>
      </c>
      <c r="B1071">
        <v>260</v>
      </c>
      <c r="C1071">
        <v>7.9980000000000002</v>
      </c>
      <c r="E1071">
        <f t="shared" si="48"/>
        <v>386106.56</v>
      </c>
      <c r="F1071">
        <f t="shared" si="49"/>
        <v>399.81666666666666</v>
      </c>
      <c r="G1071">
        <f t="shared" si="50"/>
        <v>2.0028073591089512</v>
      </c>
    </row>
    <row r="1072" spans="1:7" x14ac:dyDescent="0.35">
      <c r="A1072">
        <v>56</v>
      </c>
      <c r="B1072">
        <v>280</v>
      </c>
      <c r="C1072">
        <v>8.23</v>
      </c>
      <c r="E1072">
        <f t="shared" si="48"/>
        <v>386106.56</v>
      </c>
      <c r="F1072">
        <f t="shared" si="49"/>
        <v>410.92777777777775</v>
      </c>
      <c r="G1072">
        <f t="shared" si="50"/>
        <v>1.9463491200672411</v>
      </c>
    </row>
    <row r="1073" spans="1:7" x14ac:dyDescent="0.35">
      <c r="A1073">
        <v>56</v>
      </c>
      <c r="B1073">
        <v>300</v>
      </c>
      <c r="C1073">
        <v>8.4619999999999997</v>
      </c>
      <c r="E1073">
        <f t="shared" si="48"/>
        <v>386106.56</v>
      </c>
      <c r="F1073">
        <f t="shared" si="49"/>
        <v>422.03888888888889</v>
      </c>
      <c r="G1073">
        <f t="shared" si="50"/>
        <v>1.892986676690309</v>
      </c>
    </row>
    <row r="1074" spans="1:7" x14ac:dyDescent="0.35">
      <c r="A1074">
        <v>58</v>
      </c>
      <c r="B1074">
        <v>30</v>
      </c>
      <c r="C1074">
        <v>4.9809999999999999</v>
      </c>
      <c r="E1074">
        <f t="shared" si="48"/>
        <v>399896.08</v>
      </c>
      <c r="F1074">
        <f t="shared" si="49"/>
        <v>272.03888888888889</v>
      </c>
      <c r="G1074">
        <f t="shared" si="50"/>
        <v>3.2159111138633598</v>
      </c>
    </row>
    <row r="1075" spans="1:7" x14ac:dyDescent="0.35">
      <c r="A1075">
        <v>58</v>
      </c>
      <c r="B1075">
        <v>40</v>
      </c>
      <c r="C1075">
        <v>5.1150000000000002</v>
      </c>
      <c r="E1075">
        <f t="shared" si="48"/>
        <v>399896.08</v>
      </c>
      <c r="F1075">
        <f t="shared" si="49"/>
        <v>277.59444444444443</v>
      </c>
      <c r="G1075">
        <f t="shared" si="50"/>
        <v>3.1316624160612694</v>
      </c>
    </row>
    <row r="1076" spans="1:7" x14ac:dyDescent="0.35">
      <c r="A1076">
        <v>58</v>
      </c>
      <c r="B1076">
        <v>50</v>
      </c>
      <c r="C1076">
        <v>5.2450000000000001</v>
      </c>
      <c r="E1076">
        <f t="shared" si="48"/>
        <v>399896.08</v>
      </c>
      <c r="F1076">
        <f t="shared" si="49"/>
        <v>283.14999999999998</v>
      </c>
      <c r="G1076">
        <f t="shared" si="50"/>
        <v>3.0540425659015047</v>
      </c>
    </row>
    <row r="1077" spans="1:7" x14ac:dyDescent="0.35">
      <c r="A1077">
        <v>58</v>
      </c>
      <c r="B1077">
        <v>60</v>
      </c>
      <c r="C1077">
        <v>5.3730000000000002</v>
      </c>
      <c r="E1077">
        <f t="shared" si="48"/>
        <v>399896.08</v>
      </c>
      <c r="F1077">
        <f t="shared" si="49"/>
        <v>288.70555555555552</v>
      </c>
      <c r="G1077">
        <f t="shared" si="50"/>
        <v>2.9812866663229838</v>
      </c>
    </row>
    <row r="1078" spans="1:7" x14ac:dyDescent="0.35">
      <c r="A1078">
        <v>58</v>
      </c>
      <c r="B1078">
        <v>70</v>
      </c>
      <c r="C1078">
        <v>5.4989999999999997</v>
      </c>
      <c r="E1078">
        <f t="shared" si="48"/>
        <v>399896.08</v>
      </c>
      <c r="F1078">
        <f t="shared" si="49"/>
        <v>294.26111111111106</v>
      </c>
      <c r="G1078">
        <f t="shared" si="50"/>
        <v>2.912975678878595</v>
      </c>
    </row>
    <row r="1079" spans="1:7" x14ac:dyDescent="0.35">
      <c r="A1079">
        <v>58</v>
      </c>
      <c r="B1079">
        <v>80</v>
      </c>
      <c r="C1079">
        <v>5.6239999999999997</v>
      </c>
      <c r="E1079">
        <f t="shared" si="48"/>
        <v>399896.08</v>
      </c>
      <c r="F1079">
        <f t="shared" si="49"/>
        <v>299.81666666666666</v>
      </c>
      <c r="G1079">
        <f t="shared" si="50"/>
        <v>2.8482313759163218</v>
      </c>
    </row>
    <row r="1080" spans="1:7" x14ac:dyDescent="0.35">
      <c r="A1080">
        <v>58</v>
      </c>
      <c r="B1080">
        <v>90</v>
      </c>
      <c r="C1080">
        <v>5.7460000000000004</v>
      </c>
      <c r="E1080">
        <f t="shared" si="48"/>
        <v>399896.08</v>
      </c>
      <c r="F1080">
        <f t="shared" si="49"/>
        <v>305.37222222222221</v>
      </c>
      <c r="G1080">
        <f t="shared" si="50"/>
        <v>2.7877572673430895</v>
      </c>
    </row>
    <row r="1081" spans="1:7" x14ac:dyDescent="0.35">
      <c r="A1081">
        <v>58</v>
      </c>
      <c r="B1081">
        <v>100</v>
      </c>
      <c r="C1081">
        <v>5.8680000000000003</v>
      </c>
      <c r="E1081">
        <f t="shared" si="48"/>
        <v>399896.08</v>
      </c>
      <c r="F1081">
        <f t="shared" si="49"/>
        <v>310.92777777777775</v>
      </c>
      <c r="G1081">
        <f t="shared" si="50"/>
        <v>2.7297977604215049</v>
      </c>
    </row>
    <row r="1082" spans="1:7" x14ac:dyDescent="0.35">
      <c r="A1082">
        <v>58</v>
      </c>
      <c r="B1082">
        <v>110</v>
      </c>
      <c r="C1082">
        <v>5.9880000000000004</v>
      </c>
      <c r="E1082">
        <f t="shared" si="48"/>
        <v>399896.08</v>
      </c>
      <c r="F1082">
        <f t="shared" si="49"/>
        <v>316.48333333333329</v>
      </c>
      <c r="G1082">
        <f t="shared" si="50"/>
        <v>2.6750923944811942</v>
      </c>
    </row>
    <row r="1083" spans="1:7" x14ac:dyDescent="0.35">
      <c r="A1083">
        <v>58</v>
      </c>
      <c r="B1083">
        <v>120</v>
      </c>
      <c r="C1083">
        <v>6.1070000000000002</v>
      </c>
      <c r="E1083">
        <f t="shared" si="48"/>
        <v>399896.08</v>
      </c>
      <c r="F1083">
        <f t="shared" si="49"/>
        <v>322.03888888888889</v>
      </c>
      <c r="G1083">
        <f t="shared" si="50"/>
        <v>2.6229659829954795</v>
      </c>
    </row>
    <row r="1084" spans="1:7" x14ac:dyDescent="0.35">
      <c r="A1084">
        <v>58</v>
      </c>
      <c r="B1084">
        <v>130</v>
      </c>
      <c r="C1084">
        <v>6.226</v>
      </c>
      <c r="E1084">
        <f t="shared" si="48"/>
        <v>399896.08</v>
      </c>
      <c r="F1084">
        <f t="shared" si="49"/>
        <v>327.59444444444443</v>
      </c>
      <c r="G1084">
        <f t="shared" si="50"/>
        <v>2.5728321969407957</v>
      </c>
    </row>
    <row r="1085" spans="1:7" x14ac:dyDescent="0.35">
      <c r="A1085">
        <v>58</v>
      </c>
      <c r="B1085">
        <v>140</v>
      </c>
      <c r="C1085">
        <v>6.343</v>
      </c>
      <c r="E1085">
        <f t="shared" si="48"/>
        <v>399896.08</v>
      </c>
      <c r="F1085">
        <f t="shared" si="49"/>
        <v>333.15</v>
      </c>
      <c r="G1085">
        <f t="shared" si="50"/>
        <v>2.5253749421651261</v>
      </c>
    </row>
    <row r="1086" spans="1:7" x14ac:dyDescent="0.35">
      <c r="A1086">
        <v>58</v>
      </c>
      <c r="B1086">
        <v>150</v>
      </c>
      <c r="C1086">
        <v>6.46</v>
      </c>
      <c r="E1086">
        <f t="shared" si="48"/>
        <v>399896.08</v>
      </c>
      <c r="F1086">
        <f t="shared" si="49"/>
        <v>338.70555555555552</v>
      </c>
      <c r="G1086">
        <f t="shared" si="50"/>
        <v>2.4796367272683275</v>
      </c>
    </row>
    <row r="1087" spans="1:7" x14ac:dyDescent="0.35">
      <c r="A1087">
        <v>58</v>
      </c>
      <c r="B1087">
        <v>160</v>
      </c>
      <c r="C1087">
        <v>6.577</v>
      </c>
      <c r="E1087">
        <f t="shared" si="48"/>
        <v>399896.08</v>
      </c>
      <c r="F1087">
        <f t="shared" si="49"/>
        <v>344.26111111111106</v>
      </c>
      <c r="G1087">
        <f t="shared" si="50"/>
        <v>2.4355258108793358</v>
      </c>
    </row>
    <row r="1088" spans="1:7" x14ac:dyDescent="0.35">
      <c r="A1088">
        <v>58</v>
      </c>
      <c r="B1088">
        <v>170</v>
      </c>
      <c r="C1088">
        <v>6.6920000000000002</v>
      </c>
      <c r="E1088">
        <f t="shared" si="48"/>
        <v>399896.08</v>
      </c>
      <c r="F1088">
        <f t="shared" si="49"/>
        <v>349.81666666666666</v>
      </c>
      <c r="G1088">
        <f t="shared" si="50"/>
        <v>2.3936720349900469</v>
      </c>
    </row>
    <row r="1089" spans="1:7" x14ac:dyDescent="0.35">
      <c r="A1089">
        <v>58</v>
      </c>
      <c r="B1089">
        <v>180</v>
      </c>
      <c r="C1089">
        <v>6.8079999999999998</v>
      </c>
      <c r="E1089">
        <f t="shared" si="48"/>
        <v>399896.08</v>
      </c>
      <c r="F1089">
        <f t="shared" si="49"/>
        <v>355.37222222222221</v>
      </c>
      <c r="G1089">
        <f t="shared" si="50"/>
        <v>2.3528867888004399</v>
      </c>
    </row>
    <row r="1090" spans="1:7" x14ac:dyDescent="0.35">
      <c r="A1090">
        <v>58</v>
      </c>
      <c r="B1090">
        <v>190</v>
      </c>
      <c r="C1090">
        <v>6.923</v>
      </c>
      <c r="E1090">
        <f t="shared" ref="E1090:E1153" si="51">A1090*6894.76</f>
        <v>399896.08</v>
      </c>
      <c r="F1090">
        <f t="shared" si="49"/>
        <v>360.92777777777775</v>
      </c>
      <c r="G1090">
        <f t="shared" si="50"/>
        <v>2.3138022906476086</v>
      </c>
    </row>
    <row r="1091" spans="1:7" x14ac:dyDescent="0.35">
      <c r="A1091">
        <v>58</v>
      </c>
      <c r="B1091">
        <v>200</v>
      </c>
      <c r="C1091">
        <v>7.0369999999999999</v>
      </c>
      <c r="E1091">
        <f t="shared" si="51"/>
        <v>399896.08</v>
      </c>
      <c r="F1091">
        <f t="shared" ref="F1091:F1154" si="52">(B1091-32)*5/9+273.15</f>
        <v>366.48333333333329</v>
      </c>
      <c r="G1091">
        <f t="shared" ref="G1091:G1154" si="53">1/(C1091*0.062428)</f>
        <v>2.276318496255989</v>
      </c>
    </row>
    <row r="1092" spans="1:7" x14ac:dyDescent="0.35">
      <c r="A1092">
        <v>58</v>
      </c>
      <c r="B1092">
        <v>210</v>
      </c>
      <c r="C1092">
        <v>7.1509999999999998</v>
      </c>
      <c r="E1092">
        <f t="shared" si="51"/>
        <v>399896.08</v>
      </c>
      <c r="F1092">
        <f t="shared" si="52"/>
        <v>372.03888888888889</v>
      </c>
      <c r="G1092">
        <f t="shared" si="53"/>
        <v>2.2400298221442307</v>
      </c>
    </row>
    <row r="1093" spans="1:7" x14ac:dyDescent="0.35">
      <c r="A1093">
        <v>58</v>
      </c>
      <c r="B1093">
        <v>220</v>
      </c>
      <c r="C1093">
        <v>7.2649999999999997</v>
      </c>
      <c r="E1093">
        <f t="shared" si="51"/>
        <v>399896.08</v>
      </c>
      <c r="F1093">
        <f t="shared" si="52"/>
        <v>377.59444444444443</v>
      </c>
      <c r="G1093">
        <f t="shared" si="53"/>
        <v>2.2048800080045967</v>
      </c>
    </row>
    <row r="1094" spans="1:7" x14ac:dyDescent="0.35">
      <c r="A1094">
        <v>58</v>
      </c>
      <c r="B1094">
        <v>240</v>
      </c>
      <c r="C1094">
        <v>7.4950000000000001</v>
      </c>
      <c r="E1094">
        <f t="shared" si="51"/>
        <v>399896.08</v>
      </c>
      <c r="F1094">
        <f t="shared" si="52"/>
        <v>388.70555555555552</v>
      </c>
      <c r="G1094">
        <f t="shared" si="53"/>
        <v>2.1372185801405461</v>
      </c>
    </row>
    <row r="1095" spans="1:7" x14ac:dyDescent="0.35">
      <c r="A1095">
        <v>58</v>
      </c>
      <c r="B1095">
        <v>260</v>
      </c>
      <c r="C1095">
        <v>7.718</v>
      </c>
      <c r="E1095">
        <f t="shared" si="51"/>
        <v>399896.08</v>
      </c>
      <c r="F1095">
        <f t="shared" si="52"/>
        <v>399.81666666666666</v>
      </c>
      <c r="G1095">
        <f t="shared" si="53"/>
        <v>2.0754668642334013</v>
      </c>
    </row>
    <row r="1096" spans="1:7" x14ac:dyDescent="0.35">
      <c r="A1096">
        <v>58</v>
      </c>
      <c r="B1096">
        <v>280</v>
      </c>
      <c r="C1096">
        <v>7.9429999999999996</v>
      </c>
      <c r="E1096">
        <f t="shared" si="51"/>
        <v>399896.08</v>
      </c>
      <c r="F1096">
        <f t="shared" si="52"/>
        <v>410.92777777777775</v>
      </c>
      <c r="G1096">
        <f t="shared" si="53"/>
        <v>2.0166754699928733</v>
      </c>
    </row>
    <row r="1097" spans="1:7" x14ac:dyDescent="0.35">
      <c r="A1097">
        <v>58</v>
      </c>
      <c r="B1097">
        <v>300</v>
      </c>
      <c r="C1097">
        <v>8.1669999999999998</v>
      </c>
      <c r="E1097">
        <f t="shared" si="51"/>
        <v>399896.08</v>
      </c>
      <c r="F1097">
        <f t="shared" si="52"/>
        <v>422.03888888888889</v>
      </c>
      <c r="G1097">
        <f t="shared" si="53"/>
        <v>1.9613632004595805</v>
      </c>
    </row>
    <row r="1098" spans="1:7" x14ac:dyDescent="0.35">
      <c r="A1098">
        <v>60</v>
      </c>
      <c r="B1098">
        <v>40</v>
      </c>
      <c r="C1098">
        <v>4.9329999999999998</v>
      </c>
      <c r="E1098">
        <f t="shared" si="51"/>
        <v>413685.60000000003</v>
      </c>
      <c r="F1098">
        <f t="shared" si="52"/>
        <v>277.59444444444443</v>
      </c>
      <c r="G1098">
        <f t="shared" si="53"/>
        <v>3.2472031741644827</v>
      </c>
    </row>
    <row r="1099" spans="1:7" x14ac:dyDescent="0.35">
      <c r="A1099">
        <v>60</v>
      </c>
      <c r="B1099">
        <v>50</v>
      </c>
      <c r="C1099">
        <v>5.0599999999999996</v>
      </c>
      <c r="E1099">
        <f t="shared" si="51"/>
        <v>413685.60000000003</v>
      </c>
      <c r="F1099">
        <f t="shared" si="52"/>
        <v>283.14999999999998</v>
      </c>
      <c r="G1099">
        <f t="shared" si="53"/>
        <v>3.165702224931501</v>
      </c>
    </row>
    <row r="1100" spans="1:7" x14ac:dyDescent="0.35">
      <c r="A1100">
        <v>60</v>
      </c>
      <c r="B1100">
        <v>60</v>
      </c>
      <c r="C1100">
        <v>5.1840000000000002</v>
      </c>
      <c r="E1100">
        <f t="shared" si="51"/>
        <v>413685.60000000003</v>
      </c>
      <c r="F1100">
        <f t="shared" si="52"/>
        <v>288.70555555555552</v>
      </c>
      <c r="G1100">
        <f t="shared" si="53"/>
        <v>3.0899794093660091</v>
      </c>
    </row>
    <row r="1101" spans="1:7" x14ac:dyDescent="0.35">
      <c r="A1101">
        <v>60</v>
      </c>
      <c r="B1101">
        <v>70</v>
      </c>
      <c r="C1101">
        <v>5.3070000000000004</v>
      </c>
      <c r="E1101">
        <f t="shared" si="51"/>
        <v>413685.60000000003</v>
      </c>
      <c r="F1101">
        <f t="shared" si="52"/>
        <v>294.26111111111106</v>
      </c>
      <c r="G1101">
        <f t="shared" si="53"/>
        <v>3.0183631539765199</v>
      </c>
    </row>
    <row r="1102" spans="1:7" x14ac:dyDescent="0.35">
      <c r="A1102">
        <v>60</v>
      </c>
      <c r="B1102">
        <v>80</v>
      </c>
      <c r="C1102">
        <v>5.4279999999999999</v>
      </c>
      <c r="E1102">
        <f t="shared" si="51"/>
        <v>413685.60000000003</v>
      </c>
      <c r="F1102">
        <f t="shared" si="52"/>
        <v>299.81666666666666</v>
      </c>
      <c r="G1102">
        <f t="shared" si="53"/>
        <v>2.9510783452751279</v>
      </c>
    </row>
    <row r="1103" spans="1:7" x14ac:dyDescent="0.35">
      <c r="A1103">
        <v>60</v>
      </c>
      <c r="B1103">
        <v>90</v>
      </c>
      <c r="C1103">
        <v>5.5469999999999997</v>
      </c>
      <c r="E1103">
        <f t="shared" si="51"/>
        <v>413685.60000000003</v>
      </c>
      <c r="F1103">
        <f t="shared" si="52"/>
        <v>305.37222222222221</v>
      </c>
      <c r="G1103">
        <f t="shared" si="53"/>
        <v>2.8877687503431395</v>
      </c>
    </row>
    <row r="1104" spans="1:7" x14ac:dyDescent="0.35">
      <c r="A1104">
        <v>60</v>
      </c>
      <c r="B1104">
        <v>100</v>
      </c>
      <c r="C1104">
        <v>5.665</v>
      </c>
      <c r="E1104">
        <f t="shared" si="51"/>
        <v>413685.60000000003</v>
      </c>
      <c r="F1104">
        <f t="shared" si="52"/>
        <v>310.92777777777775</v>
      </c>
      <c r="G1104">
        <f t="shared" si="53"/>
        <v>2.8276175212980394</v>
      </c>
    </row>
    <row r="1105" spans="1:7" x14ac:dyDescent="0.35">
      <c r="A1105">
        <v>60</v>
      </c>
      <c r="B1105">
        <v>110</v>
      </c>
      <c r="C1105">
        <v>5.7809999999999997</v>
      </c>
      <c r="E1105">
        <f t="shared" si="51"/>
        <v>413685.60000000003</v>
      </c>
      <c r="F1105">
        <f t="shared" si="52"/>
        <v>316.48333333333329</v>
      </c>
      <c r="G1105">
        <f t="shared" si="53"/>
        <v>2.7708793042991515</v>
      </c>
    </row>
    <row r="1106" spans="1:7" x14ac:dyDescent="0.35">
      <c r="A1106">
        <v>60</v>
      </c>
      <c r="B1106">
        <v>120</v>
      </c>
      <c r="C1106">
        <v>5.8970000000000002</v>
      </c>
      <c r="E1106">
        <f t="shared" si="51"/>
        <v>413685.60000000003</v>
      </c>
      <c r="F1106">
        <f t="shared" si="52"/>
        <v>322.03888888888889</v>
      </c>
      <c r="G1106">
        <f t="shared" si="53"/>
        <v>2.7163732844079012</v>
      </c>
    </row>
    <row r="1107" spans="1:7" x14ac:dyDescent="0.35">
      <c r="A1107">
        <v>60</v>
      </c>
      <c r="B1107">
        <v>130</v>
      </c>
      <c r="C1107">
        <v>6.0119999999999996</v>
      </c>
      <c r="E1107">
        <f t="shared" si="51"/>
        <v>413685.60000000003</v>
      </c>
      <c r="F1107">
        <f t="shared" si="52"/>
        <v>327.59444444444443</v>
      </c>
      <c r="G1107">
        <f t="shared" si="53"/>
        <v>2.6644133829263796</v>
      </c>
    </row>
    <row r="1108" spans="1:7" x14ac:dyDescent="0.35">
      <c r="A1108">
        <v>60</v>
      </c>
      <c r="B1108">
        <v>140</v>
      </c>
      <c r="C1108">
        <v>6.1260000000000003</v>
      </c>
      <c r="E1108">
        <f t="shared" si="51"/>
        <v>413685.60000000003</v>
      </c>
      <c r="F1108">
        <f t="shared" si="52"/>
        <v>333.15</v>
      </c>
      <c r="G1108">
        <f t="shared" si="53"/>
        <v>2.6148307636554673</v>
      </c>
    </row>
    <row r="1109" spans="1:7" x14ac:dyDescent="0.35">
      <c r="A1109">
        <v>60</v>
      </c>
      <c r="B1109">
        <v>150</v>
      </c>
      <c r="C1109">
        <v>6.2389999999999999</v>
      </c>
      <c r="E1109">
        <f t="shared" si="51"/>
        <v>413685.60000000003</v>
      </c>
      <c r="F1109">
        <f t="shared" si="52"/>
        <v>338.70555555555552</v>
      </c>
      <c r="G1109">
        <f t="shared" si="53"/>
        <v>2.5674712707410472</v>
      </c>
    </row>
    <row r="1110" spans="1:7" x14ac:dyDescent="0.35">
      <c r="A1110">
        <v>60</v>
      </c>
      <c r="B1110">
        <v>160</v>
      </c>
      <c r="C1110">
        <v>6.3520000000000003</v>
      </c>
      <c r="E1110">
        <f t="shared" si="51"/>
        <v>413685.60000000003</v>
      </c>
      <c r="F1110">
        <f t="shared" si="52"/>
        <v>344.26111111111106</v>
      </c>
      <c r="G1110">
        <f t="shared" si="53"/>
        <v>2.5217967975682294</v>
      </c>
    </row>
    <row r="1111" spans="1:7" x14ac:dyDescent="0.35">
      <c r="A1111">
        <v>60</v>
      </c>
      <c r="B1111">
        <v>170</v>
      </c>
      <c r="C1111">
        <v>6.4640000000000004</v>
      </c>
      <c r="E1111">
        <f t="shared" si="51"/>
        <v>413685.60000000003</v>
      </c>
      <c r="F1111">
        <f t="shared" si="52"/>
        <v>349.81666666666666</v>
      </c>
      <c r="G1111">
        <f t="shared" si="53"/>
        <v>2.4781022986004628</v>
      </c>
    </row>
    <row r="1112" spans="1:7" x14ac:dyDescent="0.35">
      <c r="A1112">
        <v>60</v>
      </c>
      <c r="B1112">
        <v>180</v>
      </c>
      <c r="C1112">
        <v>6.5759999999999996</v>
      </c>
      <c r="E1112">
        <f t="shared" si="51"/>
        <v>413685.60000000003</v>
      </c>
      <c r="F1112">
        <f t="shared" si="52"/>
        <v>355.37222222222221</v>
      </c>
      <c r="G1112">
        <f t="shared" si="53"/>
        <v>2.4358961767264895</v>
      </c>
    </row>
    <row r="1113" spans="1:7" x14ac:dyDescent="0.35">
      <c r="A1113">
        <v>60</v>
      </c>
      <c r="B1113">
        <v>190</v>
      </c>
      <c r="C1113">
        <v>6.6870000000000003</v>
      </c>
      <c r="E1113">
        <f t="shared" si="51"/>
        <v>413685.60000000003</v>
      </c>
      <c r="F1113">
        <f t="shared" si="52"/>
        <v>360.92777777777775</v>
      </c>
      <c r="G1113">
        <f t="shared" si="53"/>
        <v>2.3954618301410786</v>
      </c>
    </row>
    <row r="1114" spans="1:7" x14ac:dyDescent="0.35">
      <c r="A1114">
        <v>60</v>
      </c>
      <c r="B1114">
        <v>200</v>
      </c>
      <c r="C1114">
        <v>6.7990000000000004</v>
      </c>
      <c r="E1114">
        <f t="shared" si="51"/>
        <v>413685.60000000003</v>
      </c>
      <c r="F1114">
        <f t="shared" si="52"/>
        <v>366.48333333333329</v>
      </c>
      <c r="G1114">
        <f t="shared" si="53"/>
        <v>2.3560013616933948</v>
      </c>
    </row>
    <row r="1115" spans="1:7" x14ac:dyDescent="0.35">
      <c r="A1115">
        <v>60</v>
      </c>
      <c r="B1115">
        <v>210</v>
      </c>
      <c r="C1115">
        <v>6.9089999999999998</v>
      </c>
      <c r="E1115">
        <f t="shared" si="51"/>
        <v>413685.60000000003</v>
      </c>
      <c r="F1115">
        <f t="shared" si="52"/>
        <v>372.03888888888889</v>
      </c>
      <c r="G1115">
        <f t="shared" si="53"/>
        <v>2.3184908464543921</v>
      </c>
    </row>
    <row r="1116" spans="1:7" x14ac:dyDescent="0.35">
      <c r="A1116">
        <v>60</v>
      </c>
      <c r="B1116">
        <v>220</v>
      </c>
      <c r="C1116">
        <v>7.0190000000000001</v>
      </c>
      <c r="E1116">
        <f t="shared" si="51"/>
        <v>413685.60000000003</v>
      </c>
      <c r="F1116">
        <f t="shared" si="52"/>
        <v>377.59444444444443</v>
      </c>
      <c r="G1116">
        <f t="shared" si="53"/>
        <v>2.2821560419081623</v>
      </c>
    </row>
    <row r="1117" spans="1:7" x14ac:dyDescent="0.35">
      <c r="A1117">
        <v>60</v>
      </c>
      <c r="B1117">
        <v>240</v>
      </c>
      <c r="C1117">
        <v>7.2380000000000004</v>
      </c>
      <c r="E1117">
        <f t="shared" si="51"/>
        <v>413685.60000000003</v>
      </c>
      <c r="F1117">
        <f t="shared" si="52"/>
        <v>388.70555555555552</v>
      </c>
      <c r="G1117">
        <f t="shared" si="53"/>
        <v>2.2131048988882829</v>
      </c>
    </row>
    <row r="1118" spans="1:7" x14ac:dyDescent="0.35">
      <c r="A1118">
        <v>60</v>
      </c>
      <c r="B1118">
        <v>260</v>
      </c>
      <c r="C1118">
        <v>7.4569999999999999</v>
      </c>
      <c r="E1118">
        <f t="shared" si="51"/>
        <v>413685.60000000003</v>
      </c>
      <c r="F1118">
        <f t="shared" si="52"/>
        <v>399.81666666666666</v>
      </c>
      <c r="G1118">
        <f t="shared" si="53"/>
        <v>2.1481095961047867</v>
      </c>
    </row>
    <row r="1119" spans="1:7" x14ac:dyDescent="0.35">
      <c r="A1119">
        <v>60</v>
      </c>
      <c r="B1119">
        <v>280</v>
      </c>
      <c r="C1119">
        <v>7.6749999999999998</v>
      </c>
      <c r="E1119">
        <f t="shared" si="51"/>
        <v>413685.60000000003</v>
      </c>
      <c r="F1119">
        <f t="shared" si="52"/>
        <v>410.92777777777775</v>
      </c>
      <c r="G1119">
        <f t="shared" si="53"/>
        <v>2.0870948870558168</v>
      </c>
    </row>
    <row r="1120" spans="1:7" x14ac:dyDescent="0.35">
      <c r="A1120">
        <v>60</v>
      </c>
      <c r="B1120">
        <v>300</v>
      </c>
      <c r="C1120">
        <v>7.8920000000000003</v>
      </c>
      <c r="E1120">
        <f t="shared" si="51"/>
        <v>413685.60000000003</v>
      </c>
      <c r="F1120">
        <f t="shared" si="52"/>
        <v>422.03888888888889</v>
      </c>
      <c r="G1120">
        <f t="shared" si="53"/>
        <v>2.0297077113727053</v>
      </c>
    </row>
    <row r="1121" spans="1:7" x14ac:dyDescent="0.35">
      <c r="A1121">
        <v>62</v>
      </c>
      <c r="B1121">
        <v>40</v>
      </c>
      <c r="C1121">
        <v>4.7619999999999996</v>
      </c>
      <c r="E1121">
        <f t="shared" si="51"/>
        <v>427475.12</v>
      </c>
      <c r="F1121">
        <f t="shared" si="52"/>
        <v>277.59444444444443</v>
      </c>
      <c r="G1121">
        <f t="shared" si="53"/>
        <v>3.3638079080540515</v>
      </c>
    </row>
    <row r="1122" spans="1:7" x14ac:dyDescent="0.35">
      <c r="A1122">
        <v>62</v>
      </c>
      <c r="B1122">
        <v>50</v>
      </c>
      <c r="C1122">
        <v>4.8860000000000001</v>
      </c>
      <c r="E1122">
        <f t="shared" si="51"/>
        <v>427475.12</v>
      </c>
      <c r="F1122">
        <f t="shared" si="52"/>
        <v>283.14999999999998</v>
      </c>
      <c r="G1122">
        <f t="shared" si="53"/>
        <v>3.2784390622499782</v>
      </c>
    </row>
    <row r="1123" spans="1:7" x14ac:dyDescent="0.35">
      <c r="A1123">
        <v>62</v>
      </c>
      <c r="B1123">
        <v>60</v>
      </c>
      <c r="C1123">
        <v>5.0069999999999997</v>
      </c>
      <c r="E1123">
        <f t="shared" si="51"/>
        <v>427475.12</v>
      </c>
      <c r="F1123">
        <f t="shared" si="52"/>
        <v>288.70555555555552</v>
      </c>
      <c r="G1123">
        <f t="shared" si="53"/>
        <v>3.1992117551734363</v>
      </c>
    </row>
    <row r="1124" spans="1:7" x14ac:dyDescent="0.35">
      <c r="A1124">
        <v>62</v>
      </c>
      <c r="B1124">
        <v>70</v>
      </c>
      <c r="C1124">
        <v>5.1269999999999998</v>
      </c>
      <c r="E1124">
        <f t="shared" si="51"/>
        <v>427475.12</v>
      </c>
      <c r="F1124">
        <f t="shared" si="52"/>
        <v>294.26111111111106</v>
      </c>
      <c r="G1124">
        <f t="shared" si="53"/>
        <v>3.1243326035017347</v>
      </c>
    </row>
    <row r="1125" spans="1:7" x14ac:dyDescent="0.35">
      <c r="A1125">
        <v>62</v>
      </c>
      <c r="B1125">
        <v>80</v>
      </c>
      <c r="C1125">
        <v>5.2439999999999998</v>
      </c>
      <c r="E1125">
        <f t="shared" si="51"/>
        <v>427475.12</v>
      </c>
      <c r="F1125">
        <f t="shared" si="52"/>
        <v>299.81666666666666</v>
      </c>
      <c r="G1125">
        <f t="shared" si="53"/>
        <v>3.0546249538812726</v>
      </c>
    </row>
    <row r="1126" spans="1:7" x14ac:dyDescent="0.35">
      <c r="A1126">
        <v>62</v>
      </c>
      <c r="B1126">
        <v>90</v>
      </c>
      <c r="C1126">
        <v>5.36</v>
      </c>
      <c r="E1126">
        <f t="shared" si="51"/>
        <v>427475.12</v>
      </c>
      <c r="F1126">
        <f t="shared" si="52"/>
        <v>305.37222222222221</v>
      </c>
      <c r="G1126">
        <f t="shared" si="53"/>
        <v>2.9885173989092153</v>
      </c>
    </row>
    <row r="1127" spans="1:7" x14ac:dyDescent="0.35">
      <c r="A1127">
        <v>62</v>
      </c>
      <c r="B1127">
        <v>100</v>
      </c>
      <c r="C1127">
        <v>5.4740000000000002</v>
      </c>
      <c r="E1127">
        <f t="shared" si="51"/>
        <v>427475.12</v>
      </c>
      <c r="F1127">
        <f t="shared" si="52"/>
        <v>310.92777777777775</v>
      </c>
      <c r="G1127">
        <f t="shared" si="53"/>
        <v>2.92627936758374</v>
      </c>
    </row>
    <row r="1128" spans="1:7" x14ac:dyDescent="0.35">
      <c r="A1128">
        <v>62</v>
      </c>
      <c r="B1128">
        <v>110</v>
      </c>
      <c r="C1128">
        <v>5.5880000000000001</v>
      </c>
      <c r="E1128">
        <f t="shared" si="51"/>
        <v>427475.12</v>
      </c>
      <c r="F1128">
        <f t="shared" si="52"/>
        <v>316.48333333333329</v>
      </c>
      <c r="G1128">
        <f t="shared" si="53"/>
        <v>2.8665807548592328</v>
      </c>
    </row>
    <row r="1129" spans="1:7" x14ac:dyDescent="0.35">
      <c r="A1129">
        <v>62</v>
      </c>
      <c r="B1129">
        <v>120</v>
      </c>
      <c r="C1129">
        <v>5.7</v>
      </c>
      <c r="E1129">
        <f t="shared" si="51"/>
        <v>427475.12</v>
      </c>
      <c r="F1129">
        <f t="shared" si="52"/>
        <v>322.03888888888889</v>
      </c>
      <c r="G1129">
        <f t="shared" si="53"/>
        <v>2.8102549575707707</v>
      </c>
    </row>
    <row r="1130" spans="1:7" x14ac:dyDescent="0.35">
      <c r="A1130">
        <v>62</v>
      </c>
      <c r="B1130">
        <v>130</v>
      </c>
      <c r="C1130">
        <v>5.8109999999999999</v>
      </c>
      <c r="E1130">
        <f t="shared" si="51"/>
        <v>427475.12</v>
      </c>
      <c r="F1130">
        <f t="shared" si="52"/>
        <v>327.59444444444443</v>
      </c>
      <c r="G1130">
        <f t="shared" si="53"/>
        <v>2.7565743001468581</v>
      </c>
    </row>
    <row r="1131" spans="1:7" x14ac:dyDescent="0.35">
      <c r="A1131">
        <v>62</v>
      </c>
      <c r="B1131">
        <v>140</v>
      </c>
      <c r="C1131">
        <v>5.9219999999999997</v>
      </c>
      <c r="E1131">
        <f t="shared" si="51"/>
        <v>427475.12</v>
      </c>
      <c r="F1131">
        <f t="shared" si="52"/>
        <v>333.15</v>
      </c>
      <c r="G1131">
        <f t="shared" si="53"/>
        <v>2.704905987530124</v>
      </c>
    </row>
    <row r="1132" spans="1:7" x14ac:dyDescent="0.35">
      <c r="A1132">
        <v>62</v>
      </c>
      <c r="B1132">
        <v>150</v>
      </c>
      <c r="C1132">
        <v>6.032</v>
      </c>
      <c r="E1132">
        <f t="shared" si="51"/>
        <v>427475.12</v>
      </c>
      <c r="F1132">
        <f t="shared" si="52"/>
        <v>338.70555555555552</v>
      </c>
      <c r="G1132">
        <f t="shared" si="53"/>
        <v>2.6555791210466499</v>
      </c>
    </row>
    <row r="1133" spans="1:7" x14ac:dyDescent="0.35">
      <c r="A1133">
        <v>62</v>
      </c>
      <c r="B1133">
        <v>160</v>
      </c>
      <c r="C1133">
        <v>6.1420000000000003</v>
      </c>
      <c r="E1133">
        <f t="shared" si="51"/>
        <v>427475.12</v>
      </c>
      <c r="F1133">
        <f t="shared" si="52"/>
        <v>344.26111111111106</v>
      </c>
      <c r="G1133">
        <f t="shared" si="53"/>
        <v>2.6080190912004872</v>
      </c>
    </row>
    <row r="1134" spans="1:7" x14ac:dyDescent="0.35">
      <c r="A1134">
        <v>62</v>
      </c>
      <c r="B1134">
        <v>170</v>
      </c>
      <c r="C1134">
        <v>6.25</v>
      </c>
      <c r="E1134">
        <f t="shared" si="51"/>
        <v>427475.12</v>
      </c>
      <c r="F1134">
        <f t="shared" si="52"/>
        <v>349.81666666666666</v>
      </c>
      <c r="G1134">
        <f t="shared" si="53"/>
        <v>2.5629525213045428</v>
      </c>
    </row>
    <row r="1135" spans="1:7" x14ac:dyDescent="0.35">
      <c r="A1135">
        <v>62</v>
      </c>
      <c r="B1135">
        <v>180</v>
      </c>
      <c r="C1135">
        <v>6.359</v>
      </c>
      <c r="E1135">
        <f t="shared" si="51"/>
        <v>427475.12</v>
      </c>
      <c r="F1135">
        <f t="shared" si="52"/>
        <v>355.37222222222221</v>
      </c>
      <c r="G1135">
        <f t="shared" si="53"/>
        <v>2.5190207985773538</v>
      </c>
    </row>
    <row r="1136" spans="1:7" x14ac:dyDescent="0.35">
      <c r="A1136">
        <v>62</v>
      </c>
      <c r="B1136">
        <v>190</v>
      </c>
      <c r="C1136">
        <v>6.4669999999999996</v>
      </c>
      <c r="E1136">
        <f t="shared" si="51"/>
        <v>427475.12</v>
      </c>
      <c r="F1136">
        <f t="shared" si="52"/>
        <v>360.92777777777775</v>
      </c>
      <c r="G1136">
        <f t="shared" si="53"/>
        <v>2.4769527227699695</v>
      </c>
    </row>
    <row r="1137" spans="1:7" x14ac:dyDescent="0.35">
      <c r="A1137">
        <v>62</v>
      </c>
      <c r="B1137">
        <v>200</v>
      </c>
      <c r="C1137">
        <v>6.5739999999999998</v>
      </c>
      <c r="E1137">
        <f t="shared" si="51"/>
        <v>427475.12</v>
      </c>
      <c r="F1137">
        <f t="shared" si="52"/>
        <v>366.48333333333329</v>
      </c>
      <c r="G1137">
        <f t="shared" si="53"/>
        <v>2.4366372464486452</v>
      </c>
    </row>
    <row r="1138" spans="1:7" x14ac:dyDescent="0.35">
      <c r="A1138">
        <v>62</v>
      </c>
      <c r="B1138">
        <v>210</v>
      </c>
      <c r="C1138">
        <v>6.681</v>
      </c>
      <c r="E1138">
        <f t="shared" si="51"/>
        <v>427475.12</v>
      </c>
      <c r="F1138">
        <f t="shared" si="52"/>
        <v>372.03888888888889</v>
      </c>
      <c r="G1138">
        <f t="shared" si="53"/>
        <v>2.397613120513904</v>
      </c>
    </row>
    <row r="1139" spans="1:7" x14ac:dyDescent="0.35">
      <c r="A1139">
        <v>62</v>
      </c>
      <c r="B1139">
        <v>220</v>
      </c>
      <c r="C1139">
        <v>6.7880000000000003</v>
      </c>
      <c r="E1139">
        <f t="shared" si="51"/>
        <v>427475.12</v>
      </c>
      <c r="F1139">
        <f t="shared" si="52"/>
        <v>377.59444444444443</v>
      </c>
      <c r="G1139">
        <f t="shared" si="53"/>
        <v>2.3598192778658507</v>
      </c>
    </row>
    <row r="1140" spans="1:7" x14ac:dyDescent="0.35">
      <c r="A1140">
        <v>62</v>
      </c>
      <c r="B1140">
        <v>230</v>
      </c>
      <c r="C1140">
        <v>6.8949999999999996</v>
      </c>
      <c r="E1140">
        <f t="shared" si="51"/>
        <v>427475.12</v>
      </c>
      <c r="F1140">
        <f t="shared" si="52"/>
        <v>383.15</v>
      </c>
      <c r="G1140">
        <f t="shared" si="53"/>
        <v>2.3231984420817109</v>
      </c>
    </row>
    <row r="1141" spans="1:7" x14ac:dyDescent="0.35">
      <c r="A1141">
        <v>62</v>
      </c>
      <c r="B1141">
        <v>240</v>
      </c>
      <c r="C1141">
        <v>7.0010000000000003</v>
      </c>
      <c r="E1141">
        <f t="shared" si="51"/>
        <v>427475.12</v>
      </c>
      <c r="F1141">
        <f t="shared" si="52"/>
        <v>388.70555555555552</v>
      </c>
      <c r="G1141">
        <f t="shared" si="53"/>
        <v>2.2880236049354941</v>
      </c>
    </row>
    <row r="1142" spans="1:7" x14ac:dyDescent="0.35">
      <c r="A1142">
        <v>62</v>
      </c>
      <c r="B1142">
        <v>260</v>
      </c>
      <c r="C1142">
        <v>7.2130000000000001</v>
      </c>
      <c r="E1142">
        <f t="shared" si="51"/>
        <v>427475.12</v>
      </c>
      <c r="F1142">
        <f t="shared" si="52"/>
        <v>399.81666666666666</v>
      </c>
      <c r="G1142">
        <f t="shared" si="53"/>
        <v>2.2207754413078322</v>
      </c>
    </row>
    <row r="1143" spans="1:7" x14ac:dyDescent="0.35">
      <c r="A1143">
        <v>62</v>
      </c>
      <c r="B1143">
        <v>280</v>
      </c>
      <c r="C1143">
        <v>7.4240000000000004</v>
      </c>
      <c r="E1143">
        <f t="shared" si="51"/>
        <v>427475.12</v>
      </c>
      <c r="F1143">
        <f t="shared" si="52"/>
        <v>410.92777777777775</v>
      </c>
      <c r="G1143">
        <f t="shared" si="53"/>
        <v>2.1576580358504032</v>
      </c>
    </row>
    <row r="1144" spans="1:7" x14ac:dyDescent="0.35">
      <c r="A1144">
        <v>62</v>
      </c>
      <c r="B1144">
        <v>300</v>
      </c>
      <c r="C1144">
        <v>7.6340000000000003</v>
      </c>
      <c r="E1144">
        <f t="shared" si="51"/>
        <v>427475.12</v>
      </c>
      <c r="F1144">
        <f t="shared" si="52"/>
        <v>422.03888888888889</v>
      </c>
      <c r="G1144">
        <f t="shared" si="53"/>
        <v>2.0983040683984009</v>
      </c>
    </row>
    <row r="1145" spans="1:7" x14ac:dyDescent="0.35">
      <c r="A1145">
        <v>64</v>
      </c>
      <c r="B1145">
        <v>40</v>
      </c>
      <c r="C1145">
        <v>4.6020000000000003</v>
      </c>
      <c r="E1145">
        <f t="shared" si="51"/>
        <v>441264.64000000001</v>
      </c>
      <c r="F1145">
        <f t="shared" si="52"/>
        <v>277.59444444444443</v>
      </c>
      <c r="G1145">
        <f t="shared" si="53"/>
        <v>3.4807590739142529</v>
      </c>
    </row>
    <row r="1146" spans="1:7" x14ac:dyDescent="0.35">
      <c r="A1146">
        <v>64</v>
      </c>
      <c r="B1146">
        <v>50</v>
      </c>
      <c r="C1146">
        <v>4.7229999999999999</v>
      </c>
      <c r="E1146">
        <f t="shared" si="51"/>
        <v>441264.64000000001</v>
      </c>
      <c r="F1146">
        <f t="shared" si="52"/>
        <v>283.14999999999998</v>
      </c>
      <c r="G1146">
        <f t="shared" si="53"/>
        <v>3.3915844289971195</v>
      </c>
    </row>
    <row r="1147" spans="1:7" x14ac:dyDescent="0.35">
      <c r="A1147">
        <v>64</v>
      </c>
      <c r="B1147">
        <v>60</v>
      </c>
      <c r="C1147">
        <v>4.8419999999999996</v>
      </c>
      <c r="E1147">
        <f t="shared" si="51"/>
        <v>441264.64000000001</v>
      </c>
      <c r="F1147">
        <f t="shared" si="52"/>
        <v>288.70555555555552</v>
      </c>
      <c r="G1147">
        <f t="shared" si="53"/>
        <v>3.3082307431130515</v>
      </c>
    </row>
    <row r="1148" spans="1:7" x14ac:dyDescent="0.35">
      <c r="A1148">
        <v>64</v>
      </c>
      <c r="B1148">
        <v>70</v>
      </c>
      <c r="C1148">
        <v>4.9580000000000002</v>
      </c>
      <c r="E1148">
        <f t="shared" si="51"/>
        <v>441264.64000000001</v>
      </c>
      <c r="F1148">
        <f t="shared" si="52"/>
        <v>294.26111111111106</v>
      </c>
      <c r="G1148">
        <f t="shared" si="53"/>
        <v>3.2308296204423947</v>
      </c>
    </row>
    <row r="1149" spans="1:7" x14ac:dyDescent="0.35">
      <c r="A1149">
        <v>64</v>
      </c>
      <c r="B1149">
        <v>80</v>
      </c>
      <c r="C1149">
        <v>5.0720000000000001</v>
      </c>
      <c r="E1149">
        <f t="shared" si="51"/>
        <v>441264.64000000001</v>
      </c>
      <c r="F1149">
        <f t="shared" si="52"/>
        <v>299.81666666666666</v>
      </c>
      <c r="G1149">
        <f t="shared" si="53"/>
        <v>3.1582123931690442</v>
      </c>
    </row>
    <row r="1150" spans="1:7" x14ac:dyDescent="0.35">
      <c r="A1150">
        <v>64</v>
      </c>
      <c r="B1150">
        <v>90</v>
      </c>
      <c r="C1150">
        <v>5.1849999999999996</v>
      </c>
      <c r="E1150">
        <f t="shared" si="51"/>
        <v>441264.64000000001</v>
      </c>
      <c r="F1150">
        <f t="shared" si="52"/>
        <v>305.37222222222221</v>
      </c>
      <c r="G1150">
        <f t="shared" si="53"/>
        <v>3.0893834634818504</v>
      </c>
    </row>
    <row r="1151" spans="1:7" x14ac:dyDescent="0.35">
      <c r="A1151">
        <v>64</v>
      </c>
      <c r="B1151">
        <v>100</v>
      </c>
      <c r="C1151">
        <v>5.2960000000000003</v>
      </c>
      <c r="E1151">
        <f t="shared" si="51"/>
        <v>441264.64000000001</v>
      </c>
      <c r="F1151">
        <f t="shared" si="52"/>
        <v>310.92777777777775</v>
      </c>
      <c r="G1151">
        <f t="shared" si="53"/>
        <v>3.0246324127933142</v>
      </c>
    </row>
    <row r="1152" spans="1:7" x14ac:dyDescent="0.35">
      <c r="A1152">
        <v>64</v>
      </c>
      <c r="B1152">
        <v>110</v>
      </c>
      <c r="C1152">
        <v>5.4059999999999997</v>
      </c>
      <c r="E1152">
        <f t="shared" si="51"/>
        <v>441264.64000000001</v>
      </c>
      <c r="F1152">
        <f t="shared" si="52"/>
        <v>316.48333333333329</v>
      </c>
      <c r="G1152">
        <f t="shared" si="53"/>
        <v>2.9630879130879384</v>
      </c>
    </row>
    <row r="1153" spans="1:7" x14ac:dyDescent="0.35">
      <c r="A1153">
        <v>64</v>
      </c>
      <c r="B1153">
        <v>120</v>
      </c>
      <c r="C1153">
        <v>5.516</v>
      </c>
      <c r="E1153">
        <f t="shared" si="51"/>
        <v>441264.64000000001</v>
      </c>
      <c r="F1153">
        <f t="shared" si="52"/>
        <v>322.03888888888889</v>
      </c>
      <c r="G1153">
        <f t="shared" si="53"/>
        <v>2.9039980526021378</v>
      </c>
    </row>
    <row r="1154" spans="1:7" x14ac:dyDescent="0.35">
      <c r="A1154">
        <v>64</v>
      </c>
      <c r="B1154">
        <v>130</v>
      </c>
      <c r="C1154">
        <v>5.6239999999999997</v>
      </c>
      <c r="E1154">
        <f t="shared" ref="E1154:E1217" si="54">A1154*6894.76</f>
        <v>441264.64000000001</v>
      </c>
      <c r="F1154">
        <f t="shared" si="52"/>
        <v>327.59444444444443</v>
      </c>
      <c r="G1154">
        <f t="shared" si="53"/>
        <v>2.8482313759163218</v>
      </c>
    </row>
    <row r="1155" spans="1:7" x14ac:dyDescent="0.35">
      <c r="A1155">
        <v>64</v>
      </c>
      <c r="B1155">
        <v>140</v>
      </c>
      <c r="C1155">
        <v>5.7309999999999999</v>
      </c>
      <c r="E1155">
        <f t="shared" si="54"/>
        <v>441264.64000000001</v>
      </c>
      <c r="F1155">
        <f t="shared" ref="F1155:F1218" si="55">(B1155-32)*5/9+273.15</f>
        <v>333.15</v>
      </c>
      <c r="G1155">
        <f t="shared" ref="G1155:G1218" si="56">1/(C1155*0.062428)</f>
        <v>2.7950537878473902</v>
      </c>
    </row>
    <row r="1156" spans="1:7" x14ac:dyDescent="0.35">
      <c r="A1156">
        <v>64</v>
      </c>
      <c r="B1156">
        <v>150</v>
      </c>
      <c r="C1156">
        <v>5.8380000000000001</v>
      </c>
      <c r="E1156">
        <f t="shared" si="54"/>
        <v>441264.64000000001</v>
      </c>
      <c r="F1156">
        <f t="shared" si="55"/>
        <v>338.70555555555552</v>
      </c>
      <c r="G1156">
        <f t="shared" si="56"/>
        <v>2.7438254981420682</v>
      </c>
    </row>
    <row r="1157" spans="1:7" x14ac:dyDescent="0.35">
      <c r="A1157">
        <v>64</v>
      </c>
      <c r="B1157">
        <v>160</v>
      </c>
      <c r="C1157">
        <v>5.944</v>
      </c>
      <c r="E1157">
        <f t="shared" si="54"/>
        <v>441264.64000000001</v>
      </c>
      <c r="F1157">
        <f t="shared" si="55"/>
        <v>344.26111111111106</v>
      </c>
      <c r="G1157">
        <f t="shared" si="56"/>
        <v>2.6948945589087137</v>
      </c>
    </row>
    <row r="1158" spans="1:7" x14ac:dyDescent="0.35">
      <c r="A1158">
        <v>64</v>
      </c>
      <c r="B1158">
        <v>170</v>
      </c>
      <c r="C1158">
        <v>6.05</v>
      </c>
      <c r="E1158">
        <f t="shared" si="54"/>
        <v>441264.64000000001</v>
      </c>
      <c r="F1158">
        <f t="shared" si="55"/>
        <v>349.81666666666666</v>
      </c>
      <c r="G1158">
        <f t="shared" si="56"/>
        <v>2.6476782244881645</v>
      </c>
    </row>
    <row r="1159" spans="1:7" x14ac:dyDescent="0.35">
      <c r="A1159">
        <v>64</v>
      </c>
      <c r="B1159">
        <v>180</v>
      </c>
      <c r="C1159">
        <v>6.1550000000000002</v>
      </c>
      <c r="E1159">
        <f t="shared" si="54"/>
        <v>441264.64000000001</v>
      </c>
      <c r="F1159">
        <f t="shared" si="55"/>
        <v>355.37222222222221</v>
      </c>
      <c r="G1159">
        <f t="shared" si="56"/>
        <v>2.6025106836967331</v>
      </c>
    </row>
    <row r="1160" spans="1:7" x14ac:dyDescent="0.35">
      <c r="A1160">
        <v>64</v>
      </c>
      <c r="B1160">
        <v>190</v>
      </c>
      <c r="C1160">
        <v>6.26</v>
      </c>
      <c r="E1160">
        <f t="shared" si="54"/>
        <v>441264.64000000001</v>
      </c>
      <c r="F1160">
        <f t="shared" si="55"/>
        <v>360.92777777777775</v>
      </c>
      <c r="G1160">
        <f t="shared" si="56"/>
        <v>2.5588583479478264</v>
      </c>
    </row>
    <row r="1161" spans="1:7" x14ac:dyDescent="0.35">
      <c r="A1161">
        <v>64</v>
      </c>
      <c r="B1161">
        <v>200</v>
      </c>
      <c r="C1161">
        <v>6.3639999999999999</v>
      </c>
      <c r="E1161">
        <f t="shared" si="54"/>
        <v>441264.64000000001</v>
      </c>
      <c r="F1161">
        <f t="shared" si="55"/>
        <v>366.48333333333329</v>
      </c>
      <c r="G1161">
        <f t="shared" si="56"/>
        <v>2.5170416810423308</v>
      </c>
    </row>
    <row r="1162" spans="1:7" x14ac:dyDescent="0.35">
      <c r="A1162">
        <v>64</v>
      </c>
      <c r="B1162">
        <v>210</v>
      </c>
      <c r="C1162">
        <v>6.468</v>
      </c>
      <c r="E1162">
        <f t="shared" si="54"/>
        <v>441264.64000000001</v>
      </c>
      <c r="F1162">
        <f t="shared" si="55"/>
        <v>372.03888888888889</v>
      </c>
      <c r="G1162">
        <f t="shared" si="56"/>
        <v>2.476569767803555</v>
      </c>
    </row>
    <row r="1163" spans="1:7" x14ac:dyDescent="0.35">
      <c r="A1163">
        <v>64</v>
      </c>
      <c r="B1163">
        <v>220</v>
      </c>
      <c r="C1163">
        <v>6.5720000000000001</v>
      </c>
      <c r="E1163">
        <f t="shared" si="54"/>
        <v>441264.64000000001</v>
      </c>
      <c r="F1163">
        <f t="shared" si="55"/>
        <v>377.59444444444443</v>
      </c>
      <c r="G1163">
        <f t="shared" si="56"/>
        <v>2.4373787672174974</v>
      </c>
    </row>
    <row r="1164" spans="1:7" x14ac:dyDescent="0.35">
      <c r="A1164">
        <v>64</v>
      </c>
      <c r="B1164">
        <v>230</v>
      </c>
      <c r="C1164">
        <v>6.6749999999999998</v>
      </c>
      <c r="E1164">
        <f t="shared" si="54"/>
        <v>441264.64000000001</v>
      </c>
      <c r="F1164">
        <f t="shared" si="55"/>
        <v>383.15</v>
      </c>
      <c r="G1164">
        <f t="shared" si="56"/>
        <v>2.3997682783750403</v>
      </c>
    </row>
    <row r="1165" spans="1:7" x14ac:dyDescent="0.35">
      <c r="A1165">
        <v>64</v>
      </c>
      <c r="B1165">
        <v>240</v>
      </c>
      <c r="C1165">
        <v>6.7779999999999996</v>
      </c>
      <c r="E1165">
        <f t="shared" si="54"/>
        <v>441264.64000000001</v>
      </c>
      <c r="F1165">
        <f t="shared" si="55"/>
        <v>388.70555555555552</v>
      </c>
      <c r="G1165">
        <f t="shared" si="56"/>
        <v>2.3633008642893767</v>
      </c>
    </row>
    <row r="1166" spans="1:7" x14ac:dyDescent="0.35">
      <c r="A1166">
        <v>64</v>
      </c>
      <c r="B1166">
        <v>260</v>
      </c>
      <c r="C1166">
        <v>6.984</v>
      </c>
      <c r="E1166">
        <f t="shared" si="54"/>
        <v>441264.64000000001</v>
      </c>
      <c r="F1166">
        <f t="shared" si="55"/>
        <v>399.81666666666666</v>
      </c>
      <c r="G1166">
        <f t="shared" si="56"/>
        <v>2.2935929636531203</v>
      </c>
    </row>
    <row r="1167" spans="1:7" x14ac:dyDescent="0.35">
      <c r="A1167">
        <v>64</v>
      </c>
      <c r="B1167">
        <v>280</v>
      </c>
      <c r="C1167">
        <v>7.1769999999999996</v>
      </c>
      <c r="E1167">
        <f t="shared" si="54"/>
        <v>441264.64000000001</v>
      </c>
      <c r="F1167">
        <f t="shared" si="55"/>
        <v>410.92777777777775</v>
      </c>
      <c r="G1167">
        <f t="shared" si="56"/>
        <v>2.2319149029055865</v>
      </c>
    </row>
    <row r="1168" spans="1:7" x14ac:dyDescent="0.35">
      <c r="A1168">
        <v>64</v>
      </c>
      <c r="B1168">
        <v>300</v>
      </c>
      <c r="C1168">
        <v>7.3920000000000003</v>
      </c>
      <c r="E1168">
        <f t="shared" si="54"/>
        <v>441264.64000000001</v>
      </c>
      <c r="F1168">
        <f t="shared" si="55"/>
        <v>422.03888888888889</v>
      </c>
      <c r="G1168">
        <f t="shared" si="56"/>
        <v>2.1669985468281103</v>
      </c>
    </row>
    <row r="1169" spans="1:7" x14ac:dyDescent="0.35">
      <c r="A1169">
        <v>66</v>
      </c>
      <c r="B1169">
        <v>40</v>
      </c>
      <c r="C1169">
        <v>4.452</v>
      </c>
      <c r="E1169">
        <f t="shared" si="54"/>
        <v>455054.16000000003</v>
      </c>
      <c r="F1169">
        <f t="shared" si="55"/>
        <v>277.59444444444443</v>
      </c>
      <c r="G1169">
        <f t="shared" si="56"/>
        <v>3.5980353230353539</v>
      </c>
    </row>
    <row r="1170" spans="1:7" x14ac:dyDescent="0.35">
      <c r="A1170">
        <v>66</v>
      </c>
      <c r="B1170">
        <v>50</v>
      </c>
      <c r="C1170">
        <v>4.57</v>
      </c>
      <c r="E1170">
        <f t="shared" si="54"/>
        <v>455054.16000000003</v>
      </c>
      <c r="F1170">
        <f t="shared" si="55"/>
        <v>283.14999999999998</v>
      </c>
      <c r="G1170">
        <f t="shared" si="56"/>
        <v>3.505132003972296</v>
      </c>
    </row>
    <row r="1171" spans="1:7" x14ac:dyDescent="0.35">
      <c r="A1171">
        <v>66</v>
      </c>
      <c r="B1171">
        <v>60</v>
      </c>
      <c r="C1171">
        <v>4.6859999999999999</v>
      </c>
      <c r="E1171">
        <f t="shared" si="54"/>
        <v>455054.16000000003</v>
      </c>
      <c r="F1171">
        <f t="shared" si="55"/>
        <v>288.70555555555552</v>
      </c>
      <c r="G1171">
        <f t="shared" si="56"/>
        <v>3.4183639048556107</v>
      </c>
    </row>
    <row r="1172" spans="1:7" x14ac:dyDescent="0.35">
      <c r="A1172">
        <v>66</v>
      </c>
      <c r="B1172">
        <v>70</v>
      </c>
      <c r="C1172">
        <v>4.7990000000000004</v>
      </c>
      <c r="E1172">
        <f t="shared" si="54"/>
        <v>455054.16000000003</v>
      </c>
      <c r="F1172">
        <f t="shared" si="55"/>
        <v>294.26111111111106</v>
      </c>
      <c r="G1172">
        <f t="shared" si="56"/>
        <v>3.3378731523553644</v>
      </c>
    </row>
    <row r="1173" spans="1:7" x14ac:dyDescent="0.35">
      <c r="A1173">
        <v>66</v>
      </c>
      <c r="B1173">
        <v>80</v>
      </c>
      <c r="C1173">
        <v>4.91</v>
      </c>
      <c r="E1173">
        <f t="shared" si="54"/>
        <v>455054.16000000003</v>
      </c>
      <c r="F1173">
        <f t="shared" si="55"/>
        <v>299.81666666666666</v>
      </c>
      <c r="G1173">
        <f t="shared" si="56"/>
        <v>3.2624141055302225</v>
      </c>
    </row>
    <row r="1174" spans="1:7" x14ac:dyDescent="0.35">
      <c r="A1174">
        <v>66</v>
      </c>
      <c r="B1174">
        <v>90</v>
      </c>
      <c r="C1174">
        <v>5.0199999999999996</v>
      </c>
      <c r="E1174">
        <f t="shared" si="54"/>
        <v>455054.16000000003</v>
      </c>
      <c r="F1174">
        <f t="shared" si="55"/>
        <v>305.37222222222221</v>
      </c>
      <c r="G1174">
        <f t="shared" si="56"/>
        <v>3.1909269438552577</v>
      </c>
    </row>
    <row r="1175" spans="1:7" x14ac:dyDescent="0.35">
      <c r="A1175">
        <v>66</v>
      </c>
      <c r="B1175">
        <v>100</v>
      </c>
      <c r="C1175">
        <v>5.1289999999999996</v>
      </c>
      <c r="E1175">
        <f t="shared" si="54"/>
        <v>455054.16000000003</v>
      </c>
      <c r="F1175">
        <f t="shared" si="55"/>
        <v>310.92777777777775</v>
      </c>
      <c r="G1175">
        <f t="shared" si="56"/>
        <v>3.1231143026230055</v>
      </c>
    </row>
    <row r="1176" spans="1:7" x14ac:dyDescent="0.35">
      <c r="A1176">
        <v>66</v>
      </c>
      <c r="B1176">
        <v>110</v>
      </c>
      <c r="C1176">
        <v>5.2359999999999998</v>
      </c>
      <c r="E1176">
        <f t="shared" si="54"/>
        <v>455054.16000000003</v>
      </c>
      <c r="F1176">
        <f t="shared" si="55"/>
        <v>316.48333333333329</v>
      </c>
      <c r="G1176">
        <f t="shared" si="56"/>
        <v>3.0592920661102738</v>
      </c>
    </row>
    <row r="1177" spans="1:7" x14ac:dyDescent="0.35">
      <c r="A1177">
        <v>66</v>
      </c>
      <c r="B1177">
        <v>120</v>
      </c>
      <c r="C1177">
        <v>5.3419999999999996</v>
      </c>
      <c r="E1177">
        <f t="shared" si="54"/>
        <v>455054.16000000003</v>
      </c>
      <c r="F1177">
        <f t="shared" si="55"/>
        <v>322.03888888888889</v>
      </c>
      <c r="G1177">
        <f t="shared" si="56"/>
        <v>2.9985872815712082</v>
      </c>
    </row>
    <row r="1178" spans="1:7" x14ac:dyDescent="0.35">
      <c r="A1178">
        <v>66</v>
      </c>
      <c r="B1178">
        <v>130</v>
      </c>
      <c r="C1178">
        <v>5.4470000000000001</v>
      </c>
      <c r="E1178">
        <f t="shared" si="54"/>
        <v>455054.16000000003</v>
      </c>
      <c r="F1178">
        <f t="shared" si="55"/>
        <v>327.59444444444443</v>
      </c>
      <c r="G1178">
        <f t="shared" si="56"/>
        <v>2.940784515908462</v>
      </c>
    </row>
    <row r="1179" spans="1:7" x14ac:dyDescent="0.35">
      <c r="A1179">
        <v>66</v>
      </c>
      <c r="B1179">
        <v>140</v>
      </c>
      <c r="C1179">
        <v>5.5519999999999996</v>
      </c>
      <c r="E1179">
        <f t="shared" si="54"/>
        <v>455054.16000000003</v>
      </c>
      <c r="F1179">
        <f t="shared" si="55"/>
        <v>333.15</v>
      </c>
      <c r="G1179">
        <f t="shared" si="56"/>
        <v>2.8851680940478017</v>
      </c>
    </row>
    <row r="1180" spans="1:7" x14ac:dyDescent="0.35">
      <c r="A1180">
        <v>66</v>
      </c>
      <c r="B1180">
        <v>150</v>
      </c>
      <c r="C1180">
        <v>5.6559999999999997</v>
      </c>
      <c r="E1180">
        <f t="shared" si="54"/>
        <v>455054.16000000003</v>
      </c>
      <c r="F1180">
        <f t="shared" si="55"/>
        <v>338.70555555555552</v>
      </c>
      <c r="G1180">
        <f t="shared" si="56"/>
        <v>2.832116912686244</v>
      </c>
    </row>
    <row r="1181" spans="1:7" x14ac:dyDescent="0.35">
      <c r="A1181">
        <v>66</v>
      </c>
      <c r="B1181">
        <v>160</v>
      </c>
      <c r="C1181">
        <v>5.7590000000000003</v>
      </c>
      <c r="E1181">
        <f t="shared" si="54"/>
        <v>455054.16000000003</v>
      </c>
      <c r="F1181">
        <f t="shared" si="55"/>
        <v>344.26111111111106</v>
      </c>
      <c r="G1181">
        <f t="shared" si="56"/>
        <v>2.7814643615477328</v>
      </c>
    </row>
    <row r="1182" spans="1:7" x14ac:dyDescent="0.35">
      <c r="A1182">
        <v>66</v>
      </c>
      <c r="B1182">
        <v>170</v>
      </c>
      <c r="C1182">
        <v>5.8620000000000001</v>
      </c>
      <c r="E1182">
        <f t="shared" si="54"/>
        <v>455054.16000000003</v>
      </c>
      <c r="F1182">
        <f t="shared" si="55"/>
        <v>349.81666666666666</v>
      </c>
      <c r="G1182">
        <f t="shared" si="56"/>
        <v>2.7325918215887737</v>
      </c>
    </row>
    <row r="1183" spans="1:7" x14ac:dyDescent="0.35">
      <c r="A1183">
        <v>66</v>
      </c>
      <c r="B1183">
        <v>180</v>
      </c>
      <c r="C1183">
        <v>5.9640000000000004</v>
      </c>
      <c r="E1183">
        <f t="shared" si="54"/>
        <v>455054.16000000003</v>
      </c>
      <c r="F1183">
        <f t="shared" si="55"/>
        <v>355.37222222222221</v>
      </c>
      <c r="G1183">
        <f t="shared" si="56"/>
        <v>2.6858573538151229</v>
      </c>
    </row>
    <row r="1184" spans="1:7" x14ac:dyDescent="0.35">
      <c r="A1184">
        <v>66</v>
      </c>
      <c r="B1184">
        <v>190</v>
      </c>
      <c r="C1184">
        <v>6.0659999999999998</v>
      </c>
      <c r="E1184">
        <f t="shared" si="54"/>
        <v>455054.16000000003</v>
      </c>
      <c r="F1184">
        <f t="shared" si="55"/>
        <v>360.92777777777775</v>
      </c>
      <c r="G1184">
        <f t="shared" si="56"/>
        <v>2.6406945694285189</v>
      </c>
    </row>
    <row r="1185" spans="1:7" x14ac:dyDescent="0.35">
      <c r="A1185">
        <v>66</v>
      </c>
      <c r="B1185">
        <v>200</v>
      </c>
      <c r="C1185">
        <v>6.1669999999999998</v>
      </c>
      <c r="E1185">
        <f t="shared" si="54"/>
        <v>455054.16000000003</v>
      </c>
      <c r="F1185">
        <f t="shared" si="55"/>
        <v>366.48333333333329</v>
      </c>
      <c r="G1185">
        <f t="shared" si="56"/>
        <v>2.5974466123161011</v>
      </c>
    </row>
    <row r="1186" spans="1:7" x14ac:dyDescent="0.35">
      <c r="A1186">
        <v>66</v>
      </c>
      <c r="B1186">
        <v>210</v>
      </c>
      <c r="C1186">
        <v>6.2679999999999998</v>
      </c>
      <c r="E1186">
        <f t="shared" si="54"/>
        <v>455054.16000000003</v>
      </c>
      <c r="F1186">
        <f t="shared" si="55"/>
        <v>372.03888888888889</v>
      </c>
      <c r="G1186">
        <f t="shared" si="56"/>
        <v>2.5555924151489138</v>
      </c>
    </row>
    <row r="1187" spans="1:7" x14ac:dyDescent="0.35">
      <c r="A1187">
        <v>66</v>
      </c>
      <c r="B1187">
        <v>220</v>
      </c>
      <c r="C1187">
        <v>6.3689999999999998</v>
      </c>
      <c r="E1187">
        <f t="shared" si="54"/>
        <v>455054.16000000003</v>
      </c>
      <c r="F1187">
        <f t="shared" si="55"/>
        <v>377.59444444444443</v>
      </c>
      <c r="G1187">
        <f t="shared" si="56"/>
        <v>2.515065670930035</v>
      </c>
    </row>
    <row r="1188" spans="1:7" x14ac:dyDescent="0.35">
      <c r="A1188">
        <v>66</v>
      </c>
      <c r="B1188">
        <v>230</v>
      </c>
      <c r="C1188">
        <v>6.47</v>
      </c>
      <c r="E1188">
        <f t="shared" si="54"/>
        <v>455054.16000000003</v>
      </c>
      <c r="F1188">
        <f t="shared" si="55"/>
        <v>383.15</v>
      </c>
      <c r="G1188">
        <f t="shared" si="56"/>
        <v>2.4758042130067066</v>
      </c>
    </row>
    <row r="1189" spans="1:7" x14ac:dyDescent="0.35">
      <c r="A1189">
        <v>66</v>
      </c>
      <c r="B1189">
        <v>240</v>
      </c>
      <c r="C1189">
        <v>6.57</v>
      </c>
      <c r="E1189">
        <f t="shared" si="54"/>
        <v>455054.16000000003</v>
      </c>
      <c r="F1189">
        <f t="shared" si="55"/>
        <v>388.70555555555552</v>
      </c>
      <c r="G1189">
        <f t="shared" si="56"/>
        <v>2.4381207394449609</v>
      </c>
    </row>
    <row r="1190" spans="1:7" x14ac:dyDescent="0.35">
      <c r="A1190">
        <v>66</v>
      </c>
      <c r="B1190">
        <v>260</v>
      </c>
      <c r="C1190">
        <v>6.7690000000000001</v>
      </c>
      <c r="E1190">
        <f t="shared" si="54"/>
        <v>455054.16000000003</v>
      </c>
      <c r="F1190">
        <f t="shared" si="55"/>
        <v>399.81666666666666</v>
      </c>
      <c r="G1190">
        <f t="shared" si="56"/>
        <v>2.3664430873324558</v>
      </c>
    </row>
    <row r="1191" spans="1:7" x14ac:dyDescent="0.35">
      <c r="A1191">
        <v>66</v>
      </c>
      <c r="B1191">
        <v>280</v>
      </c>
      <c r="C1191">
        <v>6.968</v>
      </c>
      <c r="E1191">
        <f t="shared" si="54"/>
        <v>455054.16000000003</v>
      </c>
      <c r="F1191">
        <f t="shared" si="55"/>
        <v>410.92777777777775</v>
      </c>
      <c r="G1191">
        <f t="shared" si="56"/>
        <v>2.298859537622473</v>
      </c>
    </row>
    <row r="1192" spans="1:7" x14ac:dyDescent="0.35">
      <c r="A1192">
        <v>66</v>
      </c>
      <c r="B1192">
        <v>300</v>
      </c>
      <c r="C1192">
        <v>7.165</v>
      </c>
      <c r="E1192">
        <f t="shared" si="54"/>
        <v>455054.16000000003</v>
      </c>
      <c r="F1192">
        <f t="shared" si="55"/>
        <v>422.03888888888889</v>
      </c>
      <c r="G1192">
        <f t="shared" si="56"/>
        <v>2.2356529320521137</v>
      </c>
    </row>
    <row r="1193" spans="1:7" x14ac:dyDescent="0.35">
      <c r="A1193">
        <v>68</v>
      </c>
      <c r="B1193">
        <v>40</v>
      </c>
      <c r="C1193">
        <v>4.3099999999999996</v>
      </c>
      <c r="E1193">
        <f t="shared" si="54"/>
        <v>468843.68</v>
      </c>
      <c r="F1193">
        <f t="shared" si="55"/>
        <v>277.59444444444443</v>
      </c>
      <c r="G1193">
        <f t="shared" si="56"/>
        <v>3.7165784821701613</v>
      </c>
    </row>
    <row r="1194" spans="1:7" x14ac:dyDescent="0.35">
      <c r="A1194">
        <v>68</v>
      </c>
      <c r="B1194">
        <v>50</v>
      </c>
      <c r="C1194">
        <v>4.4260000000000002</v>
      </c>
      <c r="E1194">
        <f t="shared" si="54"/>
        <v>468843.68</v>
      </c>
      <c r="F1194">
        <f t="shared" si="55"/>
        <v>283.14999999999998</v>
      </c>
      <c r="G1194">
        <f t="shared" si="56"/>
        <v>3.6191715449962478</v>
      </c>
    </row>
    <row r="1195" spans="1:7" x14ac:dyDescent="0.35">
      <c r="A1195">
        <v>68</v>
      </c>
      <c r="B1195">
        <v>60</v>
      </c>
      <c r="C1195">
        <v>4.5389999999999997</v>
      </c>
      <c r="E1195">
        <f t="shared" si="54"/>
        <v>468843.68</v>
      </c>
      <c r="F1195">
        <f t="shared" si="55"/>
        <v>288.70555555555552</v>
      </c>
      <c r="G1195">
        <f t="shared" si="56"/>
        <v>3.5290709976103534</v>
      </c>
    </row>
    <row r="1196" spans="1:7" x14ac:dyDescent="0.35">
      <c r="A1196">
        <v>68</v>
      </c>
      <c r="B1196">
        <v>70</v>
      </c>
      <c r="C1196">
        <v>4.6500000000000004</v>
      </c>
      <c r="E1196">
        <f t="shared" si="54"/>
        <v>468843.68</v>
      </c>
      <c r="F1196">
        <f t="shared" si="55"/>
        <v>294.26111111111106</v>
      </c>
      <c r="G1196">
        <f t="shared" si="56"/>
        <v>3.4448286576673963</v>
      </c>
    </row>
    <row r="1197" spans="1:7" x14ac:dyDescent="0.35">
      <c r="A1197">
        <v>68</v>
      </c>
      <c r="B1197">
        <v>80</v>
      </c>
      <c r="C1197">
        <v>4.758</v>
      </c>
      <c r="E1197">
        <f t="shared" si="54"/>
        <v>468843.68</v>
      </c>
      <c r="F1197">
        <f t="shared" si="55"/>
        <v>299.81666666666666</v>
      </c>
      <c r="G1197">
        <f t="shared" si="56"/>
        <v>3.3666358255891962</v>
      </c>
    </row>
    <row r="1198" spans="1:7" x14ac:dyDescent="0.35">
      <c r="A1198">
        <v>68</v>
      </c>
      <c r="B1198">
        <v>90</v>
      </c>
      <c r="C1198">
        <v>4.8650000000000002</v>
      </c>
      <c r="E1198">
        <f t="shared" si="54"/>
        <v>468843.68</v>
      </c>
      <c r="F1198">
        <f t="shared" si="55"/>
        <v>305.37222222222221</v>
      </c>
      <c r="G1198">
        <f t="shared" si="56"/>
        <v>3.2925905977704817</v>
      </c>
    </row>
    <row r="1199" spans="1:7" x14ac:dyDescent="0.35">
      <c r="A1199">
        <v>68</v>
      </c>
      <c r="B1199">
        <v>100</v>
      </c>
      <c r="C1199">
        <v>4.9710000000000001</v>
      </c>
      <c r="E1199">
        <f t="shared" si="54"/>
        <v>468843.68</v>
      </c>
      <c r="F1199">
        <f t="shared" si="55"/>
        <v>310.92777777777775</v>
      </c>
      <c r="G1199">
        <f t="shared" si="56"/>
        <v>3.2223804582887534</v>
      </c>
    </row>
    <row r="1200" spans="1:7" x14ac:dyDescent="0.35">
      <c r="A1200">
        <v>68</v>
      </c>
      <c r="B1200">
        <v>110</v>
      </c>
      <c r="C1200">
        <v>5.0750000000000002</v>
      </c>
      <c r="E1200">
        <f t="shared" si="54"/>
        <v>468843.68</v>
      </c>
      <c r="F1200">
        <f t="shared" si="55"/>
        <v>316.48333333333329</v>
      </c>
      <c r="G1200">
        <f t="shared" si="56"/>
        <v>3.1563454695868756</v>
      </c>
    </row>
    <row r="1201" spans="1:7" x14ac:dyDescent="0.35">
      <c r="A1201">
        <v>68</v>
      </c>
      <c r="B1201">
        <v>120</v>
      </c>
      <c r="C1201">
        <v>5.1970000000000001</v>
      </c>
      <c r="E1201">
        <f t="shared" si="54"/>
        <v>468843.68</v>
      </c>
      <c r="F1201">
        <f t="shared" si="55"/>
        <v>322.03888888888889</v>
      </c>
      <c r="G1201">
        <f t="shared" si="56"/>
        <v>3.0822500015688652</v>
      </c>
    </row>
    <row r="1202" spans="1:7" x14ac:dyDescent="0.35">
      <c r="A1202">
        <v>68</v>
      </c>
      <c r="B1202">
        <v>130</v>
      </c>
      <c r="C1202">
        <v>5.2809999999999997</v>
      </c>
      <c r="E1202">
        <f t="shared" si="54"/>
        <v>468843.68</v>
      </c>
      <c r="F1202">
        <f t="shared" si="55"/>
        <v>327.59444444444443</v>
      </c>
      <c r="G1202">
        <f t="shared" si="56"/>
        <v>3.0332234914132541</v>
      </c>
    </row>
    <row r="1203" spans="1:7" x14ac:dyDescent="0.35">
      <c r="A1203">
        <v>68</v>
      </c>
      <c r="B1203">
        <v>140</v>
      </c>
      <c r="C1203">
        <v>5.383</v>
      </c>
      <c r="E1203">
        <f t="shared" si="54"/>
        <v>468843.68</v>
      </c>
      <c r="F1203">
        <f t="shared" si="55"/>
        <v>333.15</v>
      </c>
      <c r="G1203">
        <f t="shared" si="56"/>
        <v>2.9757483295845053</v>
      </c>
    </row>
    <row r="1204" spans="1:7" x14ac:dyDescent="0.35">
      <c r="A1204">
        <v>68</v>
      </c>
      <c r="B1204">
        <v>150</v>
      </c>
      <c r="C1204">
        <v>5.484</v>
      </c>
      <c r="E1204">
        <f t="shared" si="54"/>
        <v>468843.68</v>
      </c>
      <c r="F1204">
        <f t="shared" si="55"/>
        <v>338.70555555555552</v>
      </c>
      <c r="G1204">
        <f t="shared" si="56"/>
        <v>2.92094333664358</v>
      </c>
    </row>
    <row r="1205" spans="1:7" x14ac:dyDescent="0.35">
      <c r="A1205">
        <v>68</v>
      </c>
      <c r="B1205">
        <v>160</v>
      </c>
      <c r="C1205">
        <v>5.585</v>
      </c>
      <c r="E1205">
        <f t="shared" si="54"/>
        <v>468843.68</v>
      </c>
      <c r="F1205">
        <f t="shared" si="55"/>
        <v>344.26111111111106</v>
      </c>
      <c r="G1205">
        <f t="shared" si="56"/>
        <v>2.8681205475655136</v>
      </c>
    </row>
    <row r="1206" spans="1:7" x14ac:dyDescent="0.35">
      <c r="A1206">
        <v>68</v>
      </c>
      <c r="B1206">
        <v>170</v>
      </c>
      <c r="C1206">
        <v>5.6849999999999996</v>
      </c>
      <c r="E1206">
        <f t="shared" si="54"/>
        <v>468843.68</v>
      </c>
      <c r="F1206">
        <f t="shared" si="55"/>
        <v>349.81666666666666</v>
      </c>
      <c r="G1206">
        <f t="shared" si="56"/>
        <v>2.8176698783031475</v>
      </c>
    </row>
    <row r="1207" spans="1:7" x14ac:dyDescent="0.35">
      <c r="A1207">
        <v>68</v>
      </c>
      <c r="B1207">
        <v>180</v>
      </c>
      <c r="C1207">
        <v>5.7839999999999998</v>
      </c>
      <c r="E1207">
        <f t="shared" si="54"/>
        <v>468843.68</v>
      </c>
      <c r="F1207">
        <f t="shared" si="55"/>
        <v>355.37222222222221</v>
      </c>
      <c r="G1207">
        <f t="shared" si="56"/>
        <v>2.7694421262367555</v>
      </c>
    </row>
    <row r="1208" spans="1:7" x14ac:dyDescent="0.35">
      <c r="A1208">
        <v>68</v>
      </c>
      <c r="B1208">
        <v>190</v>
      </c>
      <c r="C1208">
        <v>5.883</v>
      </c>
      <c r="E1208">
        <f t="shared" si="54"/>
        <v>468843.68</v>
      </c>
      <c r="F1208">
        <f t="shared" si="55"/>
        <v>360.92777777777775</v>
      </c>
      <c r="G1208">
        <f t="shared" si="56"/>
        <v>2.7228375417564838</v>
      </c>
    </row>
    <row r="1209" spans="1:7" x14ac:dyDescent="0.35">
      <c r="A1209">
        <v>68</v>
      </c>
      <c r="B1209">
        <v>200</v>
      </c>
      <c r="C1209">
        <v>5.9820000000000002</v>
      </c>
      <c r="E1209">
        <f t="shared" si="54"/>
        <v>468843.68</v>
      </c>
      <c r="F1209">
        <f t="shared" si="55"/>
        <v>366.48333333333329</v>
      </c>
      <c r="G1209">
        <f t="shared" si="56"/>
        <v>2.6777755363011355</v>
      </c>
    </row>
    <row r="1210" spans="1:7" x14ac:dyDescent="0.35">
      <c r="A1210">
        <v>68</v>
      </c>
      <c r="B1210">
        <v>210</v>
      </c>
      <c r="C1210">
        <v>6.08</v>
      </c>
      <c r="E1210">
        <f t="shared" si="54"/>
        <v>468843.68</v>
      </c>
      <c r="F1210">
        <f t="shared" si="55"/>
        <v>372.03888888888889</v>
      </c>
      <c r="G1210">
        <f t="shared" si="56"/>
        <v>2.6346140227225976</v>
      </c>
    </row>
    <row r="1211" spans="1:7" x14ac:dyDescent="0.35">
      <c r="A1211">
        <v>68</v>
      </c>
      <c r="B1211">
        <v>220</v>
      </c>
      <c r="C1211">
        <v>6.1790000000000003</v>
      </c>
      <c r="E1211">
        <f t="shared" si="54"/>
        <v>468843.68</v>
      </c>
      <c r="F1211">
        <f t="shared" si="55"/>
        <v>377.59444444444443</v>
      </c>
      <c r="G1211">
        <f t="shared" si="56"/>
        <v>2.5924022104148556</v>
      </c>
    </row>
    <row r="1212" spans="1:7" x14ac:dyDescent="0.35">
      <c r="A1212">
        <v>68</v>
      </c>
      <c r="B1212">
        <v>230</v>
      </c>
      <c r="C1212">
        <v>6.2750000000000004</v>
      </c>
      <c r="E1212">
        <f t="shared" si="54"/>
        <v>468843.68</v>
      </c>
      <c r="F1212">
        <f t="shared" si="55"/>
        <v>383.15</v>
      </c>
      <c r="G1212">
        <f t="shared" si="56"/>
        <v>2.5527415550842059</v>
      </c>
    </row>
    <row r="1213" spans="1:7" x14ac:dyDescent="0.35">
      <c r="A1213">
        <v>68</v>
      </c>
      <c r="B1213">
        <v>240</v>
      </c>
      <c r="C1213">
        <v>6.3730000000000002</v>
      </c>
      <c r="E1213">
        <f t="shared" si="54"/>
        <v>468843.68</v>
      </c>
      <c r="F1213">
        <f t="shared" si="55"/>
        <v>388.70555555555552</v>
      </c>
      <c r="G1213">
        <f t="shared" si="56"/>
        <v>2.5134870952696362</v>
      </c>
    </row>
    <row r="1214" spans="1:7" x14ac:dyDescent="0.35">
      <c r="A1214">
        <v>68</v>
      </c>
      <c r="B1214">
        <v>260</v>
      </c>
      <c r="C1214">
        <v>6.5670000000000002</v>
      </c>
      <c r="E1214">
        <f t="shared" si="54"/>
        <v>468843.68</v>
      </c>
      <c r="F1214">
        <f t="shared" si="55"/>
        <v>399.81666666666666</v>
      </c>
      <c r="G1214">
        <f t="shared" si="56"/>
        <v>2.4392345451733508</v>
      </c>
    </row>
    <row r="1215" spans="1:7" x14ac:dyDescent="0.35">
      <c r="A1215">
        <v>68</v>
      </c>
      <c r="B1215">
        <v>280</v>
      </c>
      <c r="C1215">
        <v>6.76</v>
      </c>
      <c r="E1215">
        <f t="shared" si="54"/>
        <v>468843.68</v>
      </c>
      <c r="F1215">
        <f t="shared" si="55"/>
        <v>410.92777777777775</v>
      </c>
      <c r="G1215">
        <f t="shared" si="56"/>
        <v>2.3695936772416264</v>
      </c>
    </row>
    <row r="1216" spans="1:7" x14ac:dyDescent="0.35">
      <c r="A1216">
        <v>68</v>
      </c>
      <c r="B1216">
        <v>300</v>
      </c>
      <c r="C1216">
        <v>6.952</v>
      </c>
      <c r="E1216">
        <f t="shared" si="54"/>
        <v>468843.68</v>
      </c>
      <c r="F1216">
        <f t="shared" si="55"/>
        <v>422.03888888888889</v>
      </c>
      <c r="G1216">
        <f t="shared" si="56"/>
        <v>2.3041503535893835</v>
      </c>
    </row>
    <row r="1217" spans="1:7" x14ac:dyDescent="0.35">
      <c r="A1217">
        <v>70</v>
      </c>
      <c r="B1217">
        <v>40</v>
      </c>
      <c r="C1217">
        <v>4.1769999999999996</v>
      </c>
      <c r="E1217">
        <f t="shared" si="54"/>
        <v>482633.2</v>
      </c>
      <c r="F1217">
        <f t="shared" si="55"/>
        <v>277.59444444444443</v>
      </c>
      <c r="G1217">
        <f t="shared" si="56"/>
        <v>3.834918184858366</v>
      </c>
    </row>
    <row r="1218" spans="1:7" x14ac:dyDescent="0.35">
      <c r="A1218">
        <v>70</v>
      </c>
      <c r="B1218">
        <v>50</v>
      </c>
      <c r="C1218">
        <v>4.29</v>
      </c>
      <c r="E1218">
        <f t="shared" ref="E1218:E1281" si="57">A1218*6894.76</f>
        <v>482633.2</v>
      </c>
      <c r="F1218">
        <f t="shared" si="55"/>
        <v>283.14999999999998</v>
      </c>
      <c r="G1218">
        <f t="shared" si="56"/>
        <v>3.7339051883807444</v>
      </c>
    </row>
    <row r="1219" spans="1:7" x14ac:dyDescent="0.35">
      <c r="A1219">
        <v>70</v>
      </c>
      <c r="B1219">
        <v>60</v>
      </c>
      <c r="C1219">
        <v>4.4009999999999998</v>
      </c>
      <c r="E1219">
        <f t="shared" si="57"/>
        <v>482633.2</v>
      </c>
      <c r="F1219">
        <f t="shared" ref="F1219:F1282" si="58">(B1219-32)*5/9+273.15</f>
        <v>288.70555555555552</v>
      </c>
      <c r="G1219">
        <f t="shared" ref="G1219:G1282" si="59">1/(C1219*0.062428)</f>
        <v>3.6397303472286739</v>
      </c>
    </row>
    <row r="1220" spans="1:7" x14ac:dyDescent="0.35">
      <c r="A1220">
        <v>70</v>
      </c>
      <c r="B1220">
        <v>70</v>
      </c>
      <c r="C1220">
        <v>4.5090000000000003</v>
      </c>
      <c r="E1220">
        <f t="shared" si="57"/>
        <v>482633.2</v>
      </c>
      <c r="F1220">
        <f t="shared" si="58"/>
        <v>294.26111111111106</v>
      </c>
      <c r="G1220">
        <f t="shared" si="59"/>
        <v>3.5525511772351726</v>
      </c>
    </row>
    <row r="1221" spans="1:7" x14ac:dyDescent="0.35">
      <c r="A1221">
        <v>70</v>
      </c>
      <c r="B1221">
        <v>80</v>
      </c>
      <c r="C1221">
        <v>4.6150000000000002</v>
      </c>
      <c r="E1221">
        <f t="shared" si="57"/>
        <v>482633.2</v>
      </c>
      <c r="F1221">
        <f t="shared" si="58"/>
        <v>299.81666666666666</v>
      </c>
      <c r="G1221">
        <f t="shared" si="59"/>
        <v>3.4709541187764663</v>
      </c>
    </row>
    <row r="1222" spans="1:7" x14ac:dyDescent="0.35">
      <c r="A1222">
        <v>70</v>
      </c>
      <c r="B1222">
        <v>90</v>
      </c>
      <c r="C1222">
        <v>4.7190000000000003</v>
      </c>
      <c r="E1222">
        <f t="shared" si="57"/>
        <v>482633.2</v>
      </c>
      <c r="F1222">
        <f t="shared" si="58"/>
        <v>305.37222222222221</v>
      </c>
      <c r="G1222">
        <f t="shared" si="59"/>
        <v>3.3944592621643128</v>
      </c>
    </row>
    <row r="1223" spans="1:7" x14ac:dyDescent="0.35">
      <c r="A1223">
        <v>70</v>
      </c>
      <c r="B1223">
        <v>100</v>
      </c>
      <c r="C1223">
        <v>4.8220000000000001</v>
      </c>
      <c r="E1223">
        <f t="shared" si="57"/>
        <v>482633.2</v>
      </c>
      <c r="F1223">
        <f t="shared" si="58"/>
        <v>310.92777777777775</v>
      </c>
      <c r="G1223">
        <f t="shared" si="59"/>
        <v>3.3219521481031506</v>
      </c>
    </row>
    <row r="1224" spans="1:7" x14ac:dyDescent="0.35">
      <c r="A1224">
        <v>70</v>
      </c>
      <c r="B1224">
        <v>110</v>
      </c>
      <c r="C1224">
        <v>4.9240000000000004</v>
      </c>
      <c r="E1224">
        <f t="shared" si="57"/>
        <v>482633.2</v>
      </c>
      <c r="F1224">
        <f t="shared" si="58"/>
        <v>316.48333333333329</v>
      </c>
      <c r="G1224">
        <f t="shared" si="59"/>
        <v>3.2531383546209165</v>
      </c>
    </row>
    <row r="1225" spans="1:7" x14ac:dyDescent="0.35">
      <c r="A1225">
        <v>70</v>
      </c>
      <c r="B1225">
        <v>120</v>
      </c>
      <c r="C1225">
        <v>5.0250000000000004</v>
      </c>
      <c r="E1225">
        <f t="shared" si="57"/>
        <v>482633.2</v>
      </c>
      <c r="F1225">
        <f t="shared" si="58"/>
        <v>322.03888888888889</v>
      </c>
      <c r="G1225">
        <f t="shared" si="59"/>
        <v>3.1877518921698296</v>
      </c>
    </row>
    <row r="1226" spans="1:7" x14ac:dyDescent="0.35">
      <c r="A1226">
        <v>70</v>
      </c>
      <c r="B1226">
        <v>130</v>
      </c>
      <c r="C1226">
        <v>5.125</v>
      </c>
      <c r="E1226">
        <f t="shared" si="57"/>
        <v>482633.2</v>
      </c>
      <c r="F1226">
        <f t="shared" si="58"/>
        <v>327.59444444444443</v>
      </c>
      <c r="G1226">
        <f t="shared" si="59"/>
        <v>3.1255518552494426</v>
      </c>
    </row>
    <row r="1227" spans="1:7" x14ac:dyDescent="0.35">
      <c r="A1227">
        <v>70</v>
      </c>
      <c r="B1227">
        <v>140</v>
      </c>
      <c r="C1227">
        <v>5.2240000000000002</v>
      </c>
      <c r="E1227">
        <f t="shared" si="57"/>
        <v>482633.2</v>
      </c>
      <c r="F1227">
        <f t="shared" si="58"/>
        <v>333.15</v>
      </c>
      <c r="G1227">
        <f t="shared" si="59"/>
        <v>3.0663195363999605</v>
      </c>
    </row>
    <row r="1228" spans="1:7" x14ac:dyDescent="0.35">
      <c r="A1228">
        <v>70</v>
      </c>
      <c r="B1228">
        <v>150</v>
      </c>
      <c r="C1228">
        <v>5.3230000000000004</v>
      </c>
      <c r="E1228">
        <f t="shared" si="57"/>
        <v>482633.2</v>
      </c>
      <c r="F1228">
        <f t="shared" si="58"/>
        <v>338.70555555555552</v>
      </c>
      <c r="G1228">
        <f t="shared" si="59"/>
        <v>3.0092904862208139</v>
      </c>
    </row>
    <row r="1229" spans="1:7" x14ac:dyDescent="0.35">
      <c r="A1229">
        <v>70</v>
      </c>
      <c r="B1229">
        <v>160</v>
      </c>
      <c r="C1229">
        <v>5.42</v>
      </c>
      <c r="E1229">
        <f t="shared" si="57"/>
        <v>482633.2</v>
      </c>
      <c r="F1229">
        <f t="shared" si="58"/>
        <v>344.26111111111106</v>
      </c>
      <c r="G1229">
        <f t="shared" si="59"/>
        <v>2.955434180471106</v>
      </c>
    </row>
    <row r="1230" spans="1:7" x14ac:dyDescent="0.35">
      <c r="A1230">
        <v>70</v>
      </c>
      <c r="B1230">
        <v>170</v>
      </c>
      <c r="C1230">
        <v>5.5179999999999998</v>
      </c>
      <c r="E1230">
        <f t="shared" si="57"/>
        <v>482633.2</v>
      </c>
      <c r="F1230">
        <f t="shared" si="58"/>
        <v>349.81666666666666</v>
      </c>
      <c r="G1230">
        <f t="shared" si="59"/>
        <v>2.9029454980343226</v>
      </c>
    </row>
    <row r="1231" spans="1:7" x14ac:dyDescent="0.35">
      <c r="A1231">
        <v>70</v>
      </c>
      <c r="B1231">
        <v>180</v>
      </c>
      <c r="C1231">
        <v>5.6150000000000002</v>
      </c>
      <c r="E1231">
        <f t="shared" si="57"/>
        <v>482633.2</v>
      </c>
      <c r="F1231">
        <f t="shared" si="58"/>
        <v>355.37222222222221</v>
      </c>
      <c r="G1231">
        <f t="shared" si="59"/>
        <v>2.8527966621822607</v>
      </c>
    </row>
    <row r="1232" spans="1:7" x14ac:dyDescent="0.35">
      <c r="A1232">
        <v>70</v>
      </c>
      <c r="B1232">
        <v>190</v>
      </c>
      <c r="C1232">
        <v>5.7110000000000003</v>
      </c>
      <c r="E1232">
        <f t="shared" si="57"/>
        <v>482633.2</v>
      </c>
      <c r="F1232">
        <f t="shared" si="58"/>
        <v>360.92777777777775</v>
      </c>
      <c r="G1232">
        <f t="shared" si="59"/>
        <v>2.8048421043868661</v>
      </c>
    </row>
    <row r="1233" spans="1:7" x14ac:dyDescent="0.35">
      <c r="A1233">
        <v>70</v>
      </c>
      <c r="B1233">
        <v>200</v>
      </c>
      <c r="C1233">
        <v>5.8070000000000004</v>
      </c>
      <c r="E1233">
        <f t="shared" si="57"/>
        <v>482633.2</v>
      </c>
      <c r="F1233">
        <f t="shared" si="58"/>
        <v>366.48333333333329</v>
      </c>
      <c r="G1233">
        <f t="shared" si="59"/>
        <v>2.7584730942230742</v>
      </c>
    </row>
    <row r="1234" spans="1:7" x14ac:dyDescent="0.35">
      <c r="A1234">
        <v>70</v>
      </c>
      <c r="B1234">
        <v>210</v>
      </c>
      <c r="C1234">
        <v>5.9020000000000001</v>
      </c>
      <c r="E1234">
        <f t="shared" si="57"/>
        <v>482633.2</v>
      </c>
      <c r="F1234">
        <f t="shared" si="58"/>
        <v>372.03888888888889</v>
      </c>
      <c r="G1234">
        <f t="shared" si="59"/>
        <v>2.7140720532282945</v>
      </c>
    </row>
    <row r="1235" spans="1:7" x14ac:dyDescent="0.35">
      <c r="A1235">
        <v>70</v>
      </c>
      <c r="B1235">
        <v>220</v>
      </c>
      <c r="C1235">
        <v>5.9980000000000002</v>
      </c>
      <c r="E1235">
        <f t="shared" si="57"/>
        <v>482633.2</v>
      </c>
      <c r="F1235">
        <f t="shared" si="58"/>
        <v>377.59444444444443</v>
      </c>
      <c r="G1235">
        <f t="shared" si="59"/>
        <v>2.6706324204990652</v>
      </c>
    </row>
    <row r="1236" spans="1:7" x14ac:dyDescent="0.35">
      <c r="A1236">
        <v>70</v>
      </c>
      <c r="B1236">
        <v>230</v>
      </c>
      <c r="C1236">
        <v>6.093</v>
      </c>
      <c r="E1236">
        <f t="shared" si="57"/>
        <v>482633.2</v>
      </c>
      <c r="F1236">
        <f t="shared" si="58"/>
        <v>383.15</v>
      </c>
      <c r="G1236">
        <f t="shared" si="59"/>
        <v>2.6289928209672402</v>
      </c>
    </row>
    <row r="1237" spans="1:7" x14ac:dyDescent="0.35">
      <c r="A1237">
        <v>70</v>
      </c>
      <c r="B1237">
        <v>240</v>
      </c>
      <c r="C1237">
        <v>6.1870000000000003</v>
      </c>
      <c r="E1237">
        <f t="shared" si="57"/>
        <v>482633.2</v>
      </c>
      <c r="F1237">
        <f t="shared" si="58"/>
        <v>388.70555555555552</v>
      </c>
      <c r="G1237">
        <f t="shared" si="59"/>
        <v>2.5890501467841269</v>
      </c>
    </row>
    <row r="1238" spans="1:7" x14ac:dyDescent="0.35">
      <c r="A1238">
        <v>70</v>
      </c>
      <c r="B1238">
        <v>260</v>
      </c>
      <c r="C1238">
        <v>6.3760000000000003</v>
      </c>
      <c r="E1238">
        <f t="shared" si="57"/>
        <v>482633.2</v>
      </c>
      <c r="F1238">
        <f t="shared" si="58"/>
        <v>399.81666666666666</v>
      </c>
      <c r="G1238">
        <f t="shared" si="59"/>
        <v>2.5123044633239324</v>
      </c>
    </row>
    <row r="1239" spans="1:7" x14ac:dyDescent="0.35">
      <c r="A1239">
        <v>70</v>
      </c>
      <c r="B1239">
        <v>280</v>
      </c>
      <c r="C1239">
        <v>6.5629999999999997</v>
      </c>
      <c r="E1239">
        <f t="shared" si="57"/>
        <v>482633.2</v>
      </c>
      <c r="F1239">
        <f t="shared" si="58"/>
        <v>410.92777777777775</v>
      </c>
      <c r="G1239">
        <f t="shared" si="59"/>
        <v>2.4407212034364458</v>
      </c>
    </row>
    <row r="1240" spans="1:7" x14ac:dyDescent="0.35">
      <c r="A1240">
        <v>70</v>
      </c>
      <c r="B1240">
        <v>300</v>
      </c>
      <c r="C1240">
        <v>6.75</v>
      </c>
      <c r="E1240">
        <f t="shared" si="57"/>
        <v>482633.2</v>
      </c>
      <c r="F1240">
        <f t="shared" si="58"/>
        <v>422.03888888888889</v>
      </c>
      <c r="G1240">
        <f t="shared" si="59"/>
        <v>2.3731041863930953</v>
      </c>
    </row>
    <row r="1241" spans="1:7" x14ac:dyDescent="0.35">
      <c r="A1241">
        <v>75</v>
      </c>
      <c r="B1241">
        <v>50</v>
      </c>
      <c r="C1241">
        <v>3.9820000000000002</v>
      </c>
      <c r="E1241">
        <f t="shared" si="57"/>
        <v>517107</v>
      </c>
      <c r="F1241">
        <f t="shared" si="58"/>
        <v>283.14999999999998</v>
      </c>
      <c r="G1241">
        <f t="shared" si="59"/>
        <v>4.0227155344433427</v>
      </c>
    </row>
    <row r="1242" spans="1:7" x14ac:dyDescent="0.35">
      <c r="A1242">
        <v>75</v>
      </c>
      <c r="B1242">
        <v>60</v>
      </c>
      <c r="C1242">
        <v>4.0869999999999997</v>
      </c>
      <c r="E1242">
        <f t="shared" si="57"/>
        <v>517107</v>
      </c>
      <c r="F1242">
        <f t="shared" si="58"/>
        <v>288.70555555555552</v>
      </c>
      <c r="G1242">
        <f t="shared" si="59"/>
        <v>3.9193670805366754</v>
      </c>
    </row>
    <row r="1243" spans="1:7" x14ac:dyDescent="0.35">
      <c r="A1243">
        <v>75</v>
      </c>
      <c r="B1243">
        <v>70</v>
      </c>
      <c r="C1243">
        <v>4.1890000000000001</v>
      </c>
      <c r="E1243">
        <f t="shared" si="57"/>
        <v>517107</v>
      </c>
      <c r="F1243">
        <f t="shared" si="58"/>
        <v>294.26111111111106</v>
      </c>
      <c r="G1243">
        <f t="shared" si="59"/>
        <v>3.8239325037367853</v>
      </c>
    </row>
    <row r="1244" spans="1:7" x14ac:dyDescent="0.35">
      <c r="A1244">
        <v>75</v>
      </c>
      <c r="B1244">
        <v>80</v>
      </c>
      <c r="C1244">
        <v>4.2889999999999997</v>
      </c>
      <c r="E1244">
        <f t="shared" si="57"/>
        <v>517107</v>
      </c>
      <c r="F1244">
        <f t="shared" si="58"/>
        <v>299.81666666666666</v>
      </c>
      <c r="G1244">
        <f t="shared" si="59"/>
        <v>3.7347757654822553</v>
      </c>
    </row>
    <row r="1245" spans="1:7" x14ac:dyDescent="0.35">
      <c r="A1245">
        <v>75</v>
      </c>
      <c r="B1245">
        <v>90</v>
      </c>
      <c r="C1245">
        <v>4.3879999999999999</v>
      </c>
      <c r="E1245">
        <f t="shared" si="57"/>
        <v>517107</v>
      </c>
      <c r="F1245">
        <f t="shared" si="58"/>
        <v>305.37222222222221</v>
      </c>
      <c r="G1245">
        <f t="shared" si="59"/>
        <v>3.6505135045928427</v>
      </c>
    </row>
    <row r="1246" spans="1:7" x14ac:dyDescent="0.35">
      <c r="A1246">
        <v>75</v>
      </c>
      <c r="B1246">
        <v>100</v>
      </c>
      <c r="C1246">
        <v>4.4850000000000003</v>
      </c>
      <c r="E1246">
        <f t="shared" si="57"/>
        <v>517107</v>
      </c>
      <c r="F1246">
        <f t="shared" si="58"/>
        <v>310.92777777777775</v>
      </c>
      <c r="G1246">
        <f t="shared" si="59"/>
        <v>3.571561484538103</v>
      </c>
    </row>
    <row r="1247" spans="1:7" x14ac:dyDescent="0.35">
      <c r="A1247">
        <v>75</v>
      </c>
      <c r="B1247">
        <v>110</v>
      </c>
      <c r="C1247">
        <v>4.5810000000000004</v>
      </c>
      <c r="E1247">
        <f t="shared" si="57"/>
        <v>517107</v>
      </c>
      <c r="F1247">
        <f t="shared" si="58"/>
        <v>316.48333333333329</v>
      </c>
      <c r="G1247">
        <f t="shared" si="59"/>
        <v>3.4967154023473896</v>
      </c>
    </row>
    <row r="1248" spans="1:7" x14ac:dyDescent="0.35">
      <c r="A1248">
        <v>75</v>
      </c>
      <c r="B1248">
        <v>120</v>
      </c>
      <c r="C1248">
        <v>4.6760000000000002</v>
      </c>
      <c r="E1248">
        <f t="shared" si="57"/>
        <v>517107</v>
      </c>
      <c r="F1248">
        <f t="shared" si="58"/>
        <v>322.03888888888889</v>
      </c>
      <c r="G1248">
        <f t="shared" si="59"/>
        <v>3.4256743494767736</v>
      </c>
    </row>
    <row r="1249" spans="1:7" x14ac:dyDescent="0.35">
      <c r="A1249">
        <v>75</v>
      </c>
      <c r="B1249">
        <v>130</v>
      </c>
      <c r="C1249">
        <v>4.7699999999999996</v>
      </c>
      <c r="E1249">
        <f t="shared" si="57"/>
        <v>517107</v>
      </c>
      <c r="F1249">
        <f t="shared" si="58"/>
        <v>327.59444444444443</v>
      </c>
      <c r="G1249">
        <f t="shared" si="59"/>
        <v>3.3581663014996637</v>
      </c>
    </row>
    <row r="1250" spans="1:7" x14ac:dyDescent="0.35">
      <c r="A1250">
        <v>75</v>
      </c>
      <c r="B1250">
        <v>140</v>
      </c>
      <c r="C1250">
        <v>4.8630000000000004</v>
      </c>
      <c r="E1250">
        <f t="shared" si="57"/>
        <v>517107</v>
      </c>
      <c r="F1250">
        <f t="shared" si="58"/>
        <v>333.15</v>
      </c>
      <c r="G1250">
        <f t="shared" si="59"/>
        <v>3.2939447374364366</v>
      </c>
    </row>
    <row r="1251" spans="1:7" x14ac:dyDescent="0.35">
      <c r="A1251">
        <v>75</v>
      </c>
      <c r="B1251">
        <v>150</v>
      </c>
      <c r="C1251">
        <v>4.9560000000000004</v>
      </c>
      <c r="E1251">
        <f t="shared" si="57"/>
        <v>517107</v>
      </c>
      <c r="F1251">
        <f t="shared" si="58"/>
        <v>338.70555555555552</v>
      </c>
      <c r="G1251">
        <f t="shared" si="59"/>
        <v>3.2321334257775209</v>
      </c>
    </row>
    <row r="1252" spans="1:7" x14ac:dyDescent="0.35">
      <c r="A1252">
        <v>75</v>
      </c>
      <c r="B1252">
        <v>160</v>
      </c>
      <c r="C1252">
        <v>5.048</v>
      </c>
      <c r="E1252">
        <f t="shared" si="57"/>
        <v>517107</v>
      </c>
      <c r="F1252">
        <f t="shared" si="58"/>
        <v>344.26111111111106</v>
      </c>
      <c r="G1252">
        <f t="shared" si="59"/>
        <v>3.1732276660367265</v>
      </c>
    </row>
    <row r="1253" spans="1:7" x14ac:dyDescent="0.35">
      <c r="A1253">
        <v>75</v>
      </c>
      <c r="B1253">
        <v>170</v>
      </c>
      <c r="C1253">
        <v>5.1390000000000002</v>
      </c>
      <c r="E1253">
        <f t="shared" si="57"/>
        <v>517107</v>
      </c>
      <c r="F1253">
        <f t="shared" si="58"/>
        <v>349.81666666666666</v>
      </c>
      <c r="G1253">
        <f t="shared" si="59"/>
        <v>3.1170370224077435</v>
      </c>
    </row>
    <row r="1254" spans="1:7" x14ac:dyDescent="0.35">
      <c r="A1254">
        <v>75</v>
      </c>
      <c r="B1254">
        <v>180</v>
      </c>
      <c r="C1254">
        <v>5.23</v>
      </c>
      <c r="E1254">
        <f t="shared" si="57"/>
        <v>517107</v>
      </c>
      <c r="F1254">
        <f t="shared" si="58"/>
        <v>355.37222222222221</v>
      </c>
      <c r="G1254">
        <f t="shared" si="59"/>
        <v>3.0628017702014136</v>
      </c>
    </row>
    <row r="1255" spans="1:7" x14ac:dyDescent="0.35">
      <c r="A1255">
        <v>75</v>
      </c>
      <c r="B1255">
        <v>190</v>
      </c>
      <c r="C1255">
        <v>5.32</v>
      </c>
      <c r="E1255">
        <f t="shared" si="57"/>
        <v>517107</v>
      </c>
      <c r="F1255">
        <f t="shared" si="58"/>
        <v>360.92777777777775</v>
      </c>
      <c r="G1255">
        <f t="shared" si="59"/>
        <v>3.0109874545401114</v>
      </c>
    </row>
    <row r="1256" spans="1:7" x14ac:dyDescent="0.35">
      <c r="A1256">
        <v>75</v>
      </c>
      <c r="B1256">
        <v>200</v>
      </c>
      <c r="C1256">
        <v>5.41</v>
      </c>
      <c r="E1256">
        <f t="shared" si="57"/>
        <v>517107</v>
      </c>
      <c r="F1256">
        <f t="shared" si="58"/>
        <v>366.48333333333329</v>
      </c>
      <c r="G1256">
        <f t="shared" si="59"/>
        <v>2.9608970902316809</v>
      </c>
    </row>
    <row r="1257" spans="1:7" x14ac:dyDescent="0.35">
      <c r="A1257">
        <v>75</v>
      </c>
      <c r="B1257">
        <v>210</v>
      </c>
      <c r="C1257">
        <v>5.5</v>
      </c>
      <c r="E1257">
        <f t="shared" si="57"/>
        <v>517107</v>
      </c>
      <c r="F1257">
        <f t="shared" si="58"/>
        <v>372.03888888888889</v>
      </c>
      <c r="G1257">
        <f t="shared" si="59"/>
        <v>2.9124460469369806</v>
      </c>
    </row>
    <row r="1258" spans="1:7" x14ac:dyDescent="0.35">
      <c r="A1258">
        <v>75</v>
      </c>
      <c r="B1258">
        <v>220</v>
      </c>
      <c r="C1258">
        <v>5.5890000000000004</v>
      </c>
      <c r="E1258">
        <f t="shared" si="57"/>
        <v>517107</v>
      </c>
      <c r="F1258">
        <f t="shared" si="58"/>
        <v>377.59444444444443</v>
      </c>
      <c r="G1258">
        <f t="shared" si="59"/>
        <v>2.8660678579626753</v>
      </c>
    </row>
    <row r="1259" spans="1:7" x14ac:dyDescent="0.35">
      <c r="A1259">
        <v>75</v>
      </c>
      <c r="B1259">
        <v>230</v>
      </c>
      <c r="C1259">
        <v>5.6779999999999999</v>
      </c>
      <c r="E1259">
        <f t="shared" si="57"/>
        <v>517107</v>
      </c>
      <c r="F1259">
        <f t="shared" si="58"/>
        <v>383.15</v>
      </c>
      <c r="G1259">
        <f t="shared" si="59"/>
        <v>2.8211435819220489</v>
      </c>
    </row>
    <row r="1260" spans="1:7" x14ac:dyDescent="0.35">
      <c r="A1260">
        <v>75</v>
      </c>
      <c r="B1260">
        <v>240</v>
      </c>
      <c r="C1260">
        <v>5.7670000000000003</v>
      </c>
      <c r="E1260">
        <f t="shared" si="57"/>
        <v>517107</v>
      </c>
      <c r="F1260">
        <f t="shared" si="58"/>
        <v>388.70555555555552</v>
      </c>
      <c r="G1260">
        <f t="shared" si="59"/>
        <v>2.7776059056967908</v>
      </c>
    </row>
    <row r="1261" spans="1:7" x14ac:dyDescent="0.35">
      <c r="A1261">
        <v>75</v>
      </c>
      <c r="B1261">
        <v>250</v>
      </c>
      <c r="C1261">
        <v>5.8550000000000004</v>
      </c>
      <c r="E1261">
        <f t="shared" si="57"/>
        <v>517107</v>
      </c>
      <c r="F1261">
        <f t="shared" si="58"/>
        <v>394.26111111111106</v>
      </c>
      <c r="G1261">
        <f t="shared" si="59"/>
        <v>2.7358587972934916</v>
      </c>
    </row>
    <row r="1262" spans="1:7" x14ac:dyDescent="0.35">
      <c r="A1262">
        <v>75</v>
      </c>
      <c r="B1262">
        <v>260</v>
      </c>
      <c r="C1262">
        <v>5.9429999999999996</v>
      </c>
      <c r="E1262">
        <f t="shared" si="57"/>
        <v>517107</v>
      </c>
      <c r="F1262">
        <f t="shared" si="58"/>
        <v>399.81666666666666</v>
      </c>
      <c r="G1262">
        <f t="shared" si="59"/>
        <v>2.6953480158427388</v>
      </c>
    </row>
    <row r="1263" spans="1:7" x14ac:dyDescent="0.35">
      <c r="A1263">
        <v>75</v>
      </c>
      <c r="B1263">
        <v>280</v>
      </c>
      <c r="C1263">
        <v>6.1189999999999998</v>
      </c>
      <c r="E1263">
        <f t="shared" si="57"/>
        <v>517107</v>
      </c>
      <c r="F1263">
        <f t="shared" si="58"/>
        <v>410.92777777777775</v>
      </c>
      <c r="G1263">
        <f t="shared" si="59"/>
        <v>2.6178220719322431</v>
      </c>
    </row>
    <row r="1264" spans="1:7" x14ac:dyDescent="0.35">
      <c r="A1264">
        <v>75</v>
      </c>
      <c r="B1264">
        <v>300</v>
      </c>
      <c r="C1264">
        <v>6.2939999999999996</v>
      </c>
      <c r="E1264">
        <f t="shared" si="57"/>
        <v>517107</v>
      </c>
      <c r="F1264">
        <f t="shared" si="58"/>
        <v>422.03888888888889</v>
      </c>
      <c r="G1264">
        <f t="shared" si="59"/>
        <v>2.5450354715845873</v>
      </c>
    </row>
    <row r="1265" spans="1:7" x14ac:dyDescent="0.35">
      <c r="A1265">
        <v>80</v>
      </c>
      <c r="B1265">
        <v>50</v>
      </c>
      <c r="C1265">
        <v>3.7120000000000002</v>
      </c>
      <c r="E1265">
        <f t="shared" si="57"/>
        <v>551580.80000000005</v>
      </c>
      <c r="F1265">
        <f t="shared" si="58"/>
        <v>283.14999999999998</v>
      </c>
      <c r="G1265">
        <f t="shared" si="59"/>
        <v>4.3153160717008063</v>
      </c>
    </row>
    <row r="1266" spans="1:7" x14ac:dyDescent="0.35">
      <c r="A1266">
        <v>80</v>
      </c>
      <c r="B1266">
        <v>60</v>
      </c>
      <c r="C1266">
        <v>3.8119999999999998</v>
      </c>
      <c r="E1266">
        <f t="shared" si="57"/>
        <v>551580.80000000005</v>
      </c>
      <c r="F1266">
        <f t="shared" si="58"/>
        <v>288.70555555555552</v>
      </c>
      <c r="G1266">
        <f t="shared" si="59"/>
        <v>4.2021126070706698</v>
      </c>
    </row>
    <row r="1267" spans="1:7" x14ac:dyDescent="0.35">
      <c r="A1267">
        <v>80</v>
      </c>
      <c r="B1267">
        <v>70</v>
      </c>
      <c r="C1267">
        <v>3.9089999999999998</v>
      </c>
      <c r="E1267">
        <f t="shared" si="57"/>
        <v>551580.80000000005</v>
      </c>
      <c r="F1267">
        <f t="shared" si="58"/>
        <v>294.26111111111106</v>
      </c>
      <c r="G1267">
        <f t="shared" si="59"/>
        <v>4.097839155321922</v>
      </c>
    </row>
    <row r="1268" spans="1:7" x14ac:dyDescent="0.35">
      <c r="A1268">
        <v>80</v>
      </c>
      <c r="B1268">
        <v>80</v>
      </c>
      <c r="C1268">
        <v>4.0049999999999999</v>
      </c>
      <c r="E1268">
        <f t="shared" si="57"/>
        <v>551580.80000000005</v>
      </c>
      <c r="F1268">
        <f t="shared" si="58"/>
        <v>299.81666666666666</v>
      </c>
      <c r="G1268">
        <f t="shared" si="59"/>
        <v>3.9996137972917336</v>
      </c>
    </row>
    <row r="1269" spans="1:7" x14ac:dyDescent="0.35">
      <c r="A1269">
        <v>80</v>
      </c>
      <c r="B1269">
        <v>90</v>
      </c>
      <c r="C1269">
        <v>4.0979999999999999</v>
      </c>
      <c r="E1269">
        <f t="shared" si="57"/>
        <v>551580.80000000005</v>
      </c>
      <c r="F1269">
        <f t="shared" si="58"/>
        <v>305.37222222222221</v>
      </c>
      <c r="G1269">
        <f t="shared" si="59"/>
        <v>3.908846573487895</v>
      </c>
    </row>
    <row r="1270" spans="1:7" x14ac:dyDescent="0.35">
      <c r="A1270">
        <v>80</v>
      </c>
      <c r="B1270">
        <v>100</v>
      </c>
      <c r="C1270">
        <v>4.1900000000000004</v>
      </c>
      <c r="E1270">
        <f t="shared" si="57"/>
        <v>551580.80000000005</v>
      </c>
      <c r="F1270">
        <f t="shared" si="58"/>
        <v>310.92777777777775</v>
      </c>
      <c r="G1270">
        <f t="shared" si="59"/>
        <v>3.8230198706810006</v>
      </c>
    </row>
    <row r="1271" spans="1:7" x14ac:dyDescent="0.35">
      <c r="A1271">
        <v>80</v>
      </c>
      <c r="B1271">
        <v>110</v>
      </c>
      <c r="C1271">
        <v>4.2809999999999997</v>
      </c>
      <c r="E1271">
        <f t="shared" si="57"/>
        <v>551580.80000000005</v>
      </c>
      <c r="F1271">
        <f t="shared" si="58"/>
        <v>316.48333333333329</v>
      </c>
      <c r="G1271">
        <f t="shared" si="59"/>
        <v>3.7417550240956308</v>
      </c>
    </row>
    <row r="1272" spans="1:7" x14ac:dyDescent="0.35">
      <c r="A1272">
        <v>80</v>
      </c>
      <c r="B1272">
        <v>120</v>
      </c>
      <c r="C1272">
        <v>4.3710000000000004</v>
      </c>
      <c r="E1272">
        <f t="shared" si="57"/>
        <v>551580.80000000005</v>
      </c>
      <c r="F1272">
        <f t="shared" si="58"/>
        <v>322.03888888888889</v>
      </c>
      <c r="G1272">
        <f t="shared" si="59"/>
        <v>3.6647113379440381</v>
      </c>
    </row>
    <row r="1273" spans="1:7" x14ac:dyDescent="0.35">
      <c r="A1273">
        <v>80</v>
      </c>
      <c r="B1273">
        <v>130</v>
      </c>
      <c r="C1273">
        <v>4.46</v>
      </c>
      <c r="E1273">
        <f t="shared" si="57"/>
        <v>551580.80000000005</v>
      </c>
      <c r="F1273">
        <f t="shared" si="58"/>
        <v>327.59444444444443</v>
      </c>
      <c r="G1273">
        <f t="shared" si="59"/>
        <v>3.5915814480164561</v>
      </c>
    </row>
    <row r="1274" spans="1:7" x14ac:dyDescent="0.35">
      <c r="A1274">
        <v>80</v>
      </c>
      <c r="B1274">
        <v>140</v>
      </c>
      <c r="C1274">
        <v>4.548</v>
      </c>
      <c r="E1274">
        <f t="shared" si="57"/>
        <v>551580.80000000005</v>
      </c>
      <c r="F1274">
        <f t="shared" si="58"/>
        <v>333.15</v>
      </c>
      <c r="G1274">
        <f t="shared" si="59"/>
        <v>3.5220873478789341</v>
      </c>
    </row>
    <row r="1275" spans="1:7" x14ac:dyDescent="0.35">
      <c r="A1275">
        <v>80</v>
      </c>
      <c r="B1275">
        <v>150</v>
      </c>
      <c r="C1275">
        <v>4.6349999999999998</v>
      </c>
      <c r="E1275">
        <f t="shared" si="57"/>
        <v>551580.80000000005</v>
      </c>
      <c r="F1275">
        <f t="shared" si="58"/>
        <v>338.70555555555552</v>
      </c>
      <c r="G1275">
        <f t="shared" si="59"/>
        <v>3.455976970475382</v>
      </c>
    </row>
    <row r="1276" spans="1:7" x14ac:dyDescent="0.35">
      <c r="A1276">
        <v>80</v>
      </c>
      <c r="B1276">
        <v>160</v>
      </c>
      <c r="C1276">
        <v>4.7220000000000004</v>
      </c>
      <c r="E1276">
        <f t="shared" si="57"/>
        <v>551580.80000000005</v>
      </c>
      <c r="F1276">
        <f t="shared" si="58"/>
        <v>344.26111111111106</v>
      </c>
      <c r="G1276">
        <f t="shared" si="59"/>
        <v>3.3923026806762797</v>
      </c>
    </row>
    <row r="1277" spans="1:7" x14ac:dyDescent="0.35">
      <c r="A1277">
        <v>80</v>
      </c>
      <c r="B1277">
        <v>170</v>
      </c>
      <c r="C1277">
        <v>4.8079999999999998</v>
      </c>
      <c r="E1277">
        <f t="shared" si="57"/>
        <v>551580.80000000005</v>
      </c>
      <c r="F1277">
        <f t="shared" si="58"/>
        <v>349.81666666666666</v>
      </c>
      <c r="G1277">
        <f t="shared" si="59"/>
        <v>3.3316250536924699</v>
      </c>
    </row>
    <row r="1278" spans="1:7" x14ac:dyDescent="0.35">
      <c r="A1278">
        <v>80</v>
      </c>
      <c r="B1278">
        <v>180</v>
      </c>
      <c r="C1278">
        <v>4.8929999999999998</v>
      </c>
      <c r="E1278">
        <f t="shared" si="57"/>
        <v>551580.80000000005</v>
      </c>
      <c r="F1278">
        <f t="shared" si="58"/>
        <v>355.37222222222221</v>
      </c>
      <c r="G1278">
        <f t="shared" si="59"/>
        <v>3.2737488776115664</v>
      </c>
    </row>
    <row r="1279" spans="1:7" x14ac:dyDescent="0.35">
      <c r="A1279">
        <v>80</v>
      </c>
      <c r="B1279">
        <v>190</v>
      </c>
      <c r="C1279">
        <v>4.9779999999999998</v>
      </c>
      <c r="E1279">
        <f t="shared" si="57"/>
        <v>551580.80000000005</v>
      </c>
      <c r="F1279">
        <f t="shared" si="58"/>
        <v>360.92777777777775</v>
      </c>
      <c r="G1279">
        <f t="shared" si="59"/>
        <v>3.2178491880581346</v>
      </c>
    </row>
    <row r="1280" spans="1:7" x14ac:dyDescent="0.35">
      <c r="A1280">
        <v>80</v>
      </c>
      <c r="B1280">
        <v>200</v>
      </c>
      <c r="C1280">
        <v>5.0629999999999997</v>
      </c>
      <c r="E1280">
        <f t="shared" si="57"/>
        <v>551580.80000000005</v>
      </c>
      <c r="F1280">
        <f t="shared" si="58"/>
        <v>366.48333333333329</v>
      </c>
      <c r="G1280">
        <f t="shared" si="59"/>
        <v>3.1638264385055095</v>
      </c>
    </row>
    <row r="1281" spans="1:7" x14ac:dyDescent="0.35">
      <c r="A1281">
        <v>80</v>
      </c>
      <c r="B1281">
        <v>210</v>
      </c>
      <c r="C1281">
        <v>5.1470000000000002</v>
      </c>
      <c r="E1281">
        <f t="shared" si="57"/>
        <v>551580.80000000005</v>
      </c>
      <c r="F1281">
        <f t="shared" si="58"/>
        <v>372.03888888888889</v>
      </c>
      <c r="G1281">
        <f t="shared" si="59"/>
        <v>3.112192200923527</v>
      </c>
    </row>
    <row r="1282" spans="1:7" x14ac:dyDescent="0.35">
      <c r="A1282">
        <v>80</v>
      </c>
      <c r="B1282">
        <v>220</v>
      </c>
      <c r="C1282">
        <v>5.2309999999999999</v>
      </c>
      <c r="E1282">
        <f t="shared" ref="E1282:E1345" si="60">A1282*6894.76</f>
        <v>551580.80000000005</v>
      </c>
      <c r="F1282">
        <f t="shared" si="58"/>
        <v>377.59444444444443</v>
      </c>
      <c r="G1282">
        <f t="shared" si="59"/>
        <v>3.0622162604001897</v>
      </c>
    </row>
    <row r="1283" spans="1:7" x14ac:dyDescent="0.35">
      <c r="A1283">
        <v>80</v>
      </c>
      <c r="B1283">
        <v>230</v>
      </c>
      <c r="C1283">
        <v>5.3150000000000004</v>
      </c>
      <c r="E1283">
        <f t="shared" si="60"/>
        <v>551580.80000000005</v>
      </c>
      <c r="F1283">
        <f t="shared" ref="F1283:F1346" si="61">(B1283-32)*5/9+273.15</f>
        <v>383.15</v>
      </c>
      <c r="G1283">
        <f t="shared" ref="G1283:G1346" si="62">1/(C1283*0.062428)</f>
        <v>3.0138199921266966</v>
      </c>
    </row>
    <row r="1284" spans="1:7" x14ac:dyDescent="0.35">
      <c r="A1284">
        <v>80</v>
      </c>
      <c r="B1284">
        <v>240</v>
      </c>
      <c r="C1284">
        <v>5.3979999999999997</v>
      </c>
      <c r="E1284">
        <f t="shared" si="60"/>
        <v>551580.80000000005</v>
      </c>
      <c r="F1284">
        <f t="shared" si="61"/>
        <v>388.70555555555552</v>
      </c>
      <c r="G1284">
        <f t="shared" si="62"/>
        <v>2.9674792993985539</v>
      </c>
    </row>
    <row r="1285" spans="1:7" x14ac:dyDescent="0.35">
      <c r="A1285">
        <v>80</v>
      </c>
      <c r="B1285">
        <v>250</v>
      </c>
      <c r="C1285">
        <v>5.4820000000000002</v>
      </c>
      <c r="E1285">
        <f t="shared" si="60"/>
        <v>551580.80000000005</v>
      </c>
      <c r="F1285">
        <f t="shared" si="61"/>
        <v>394.26111111111106</v>
      </c>
      <c r="G1285">
        <f t="shared" si="62"/>
        <v>2.9220089854347671</v>
      </c>
    </row>
    <row r="1286" spans="1:7" x14ac:dyDescent="0.35">
      <c r="A1286">
        <v>80</v>
      </c>
      <c r="B1286">
        <v>260</v>
      </c>
      <c r="C1286">
        <v>5.5650000000000004</v>
      </c>
      <c r="E1286">
        <f t="shared" si="60"/>
        <v>551580.80000000005</v>
      </c>
      <c r="F1286">
        <f t="shared" si="61"/>
        <v>399.81666666666666</v>
      </c>
      <c r="G1286">
        <f t="shared" si="62"/>
        <v>2.8784282584282828</v>
      </c>
    </row>
    <row r="1287" spans="1:7" x14ac:dyDescent="0.35">
      <c r="A1287">
        <v>80</v>
      </c>
      <c r="B1287">
        <v>280</v>
      </c>
      <c r="C1287">
        <v>5.73</v>
      </c>
      <c r="E1287">
        <f t="shared" si="60"/>
        <v>551580.80000000005</v>
      </c>
      <c r="F1287">
        <f t="shared" si="61"/>
        <v>410.92777777777775</v>
      </c>
      <c r="G1287">
        <f t="shared" si="62"/>
        <v>2.7955415808295623</v>
      </c>
    </row>
    <row r="1288" spans="1:7" x14ac:dyDescent="0.35">
      <c r="A1288">
        <v>80</v>
      </c>
      <c r="B1288">
        <v>300</v>
      </c>
      <c r="C1288">
        <v>5.8940000000000001</v>
      </c>
      <c r="E1288">
        <f t="shared" si="60"/>
        <v>551580.80000000005</v>
      </c>
      <c r="F1288">
        <f t="shared" si="61"/>
        <v>422.03888888888889</v>
      </c>
      <c r="G1288">
        <f t="shared" si="62"/>
        <v>2.7177558972096016</v>
      </c>
    </row>
    <row r="1289" spans="1:7" x14ac:dyDescent="0.35">
      <c r="A1289">
        <v>85</v>
      </c>
      <c r="B1289">
        <v>50</v>
      </c>
      <c r="C1289">
        <v>3.4729999999999999</v>
      </c>
      <c r="E1289">
        <f t="shared" si="60"/>
        <v>586054.6</v>
      </c>
      <c r="F1289">
        <f t="shared" si="61"/>
        <v>283.14999999999998</v>
      </c>
      <c r="G1289">
        <f t="shared" si="62"/>
        <v>4.6122813873174184</v>
      </c>
    </row>
    <row r="1290" spans="1:7" x14ac:dyDescent="0.35">
      <c r="A1290">
        <v>85</v>
      </c>
      <c r="B1290">
        <v>60</v>
      </c>
      <c r="C1290">
        <v>3.569</v>
      </c>
      <c r="E1290">
        <f t="shared" si="60"/>
        <v>586054.6</v>
      </c>
      <c r="F1290">
        <f t="shared" si="61"/>
        <v>288.70555555555552</v>
      </c>
      <c r="G1290">
        <f t="shared" si="62"/>
        <v>4.4882189011357223</v>
      </c>
    </row>
    <row r="1291" spans="1:7" x14ac:dyDescent="0.35">
      <c r="A1291">
        <v>85</v>
      </c>
      <c r="B1291">
        <v>70</v>
      </c>
      <c r="C1291">
        <v>3.6619999999999999</v>
      </c>
      <c r="E1291">
        <f t="shared" si="60"/>
        <v>586054.6</v>
      </c>
      <c r="F1291">
        <f t="shared" si="61"/>
        <v>294.26111111111106</v>
      </c>
      <c r="G1291">
        <f t="shared" si="62"/>
        <v>4.3742362802166559</v>
      </c>
    </row>
    <row r="1292" spans="1:7" x14ac:dyDescent="0.35">
      <c r="A1292">
        <v>85</v>
      </c>
      <c r="B1292">
        <v>80</v>
      </c>
      <c r="C1292">
        <v>3.7530000000000001</v>
      </c>
      <c r="E1292">
        <f t="shared" si="60"/>
        <v>586054.6</v>
      </c>
      <c r="F1292">
        <f t="shared" si="61"/>
        <v>299.81666666666666</v>
      </c>
      <c r="G1292">
        <f t="shared" si="62"/>
        <v>4.2681729971098834</v>
      </c>
    </row>
    <row r="1293" spans="1:7" x14ac:dyDescent="0.35">
      <c r="A1293">
        <v>85</v>
      </c>
      <c r="B1293">
        <v>90</v>
      </c>
      <c r="C1293">
        <v>3.8420000000000001</v>
      </c>
      <c r="E1293">
        <f t="shared" si="60"/>
        <v>586054.6</v>
      </c>
      <c r="F1293">
        <f t="shared" si="61"/>
        <v>305.37222222222221</v>
      </c>
      <c r="G1293">
        <f t="shared" si="62"/>
        <v>4.1693006918670985</v>
      </c>
    </row>
    <row r="1294" spans="1:7" x14ac:dyDescent="0.35">
      <c r="A1294">
        <v>85</v>
      </c>
      <c r="B1294">
        <v>100</v>
      </c>
      <c r="C1294">
        <v>3.93</v>
      </c>
      <c r="E1294">
        <f t="shared" si="60"/>
        <v>586054.6</v>
      </c>
      <c r="F1294">
        <f t="shared" si="61"/>
        <v>310.92777777777775</v>
      </c>
      <c r="G1294">
        <f t="shared" si="62"/>
        <v>4.075942304873637</v>
      </c>
    </row>
    <row r="1295" spans="1:7" x14ac:dyDescent="0.35">
      <c r="A1295">
        <v>85</v>
      </c>
      <c r="B1295">
        <v>110</v>
      </c>
      <c r="C1295">
        <v>4.016</v>
      </c>
      <c r="E1295">
        <f t="shared" si="60"/>
        <v>586054.6</v>
      </c>
      <c r="F1295">
        <f t="shared" si="61"/>
        <v>316.48333333333329</v>
      </c>
      <c r="G1295">
        <f t="shared" si="62"/>
        <v>3.9886586798190722</v>
      </c>
    </row>
    <row r="1296" spans="1:7" x14ac:dyDescent="0.35">
      <c r="A1296">
        <v>85</v>
      </c>
      <c r="B1296">
        <v>120</v>
      </c>
      <c r="C1296">
        <v>4.101</v>
      </c>
      <c r="E1296">
        <f t="shared" si="60"/>
        <v>586054.6</v>
      </c>
      <c r="F1296">
        <f t="shared" si="61"/>
        <v>322.03888888888889</v>
      </c>
      <c r="G1296">
        <f t="shared" si="62"/>
        <v>3.9059871392717369</v>
      </c>
    </row>
    <row r="1297" spans="1:7" x14ac:dyDescent="0.35">
      <c r="A1297">
        <v>85</v>
      </c>
      <c r="B1297">
        <v>130</v>
      </c>
      <c r="C1297">
        <v>4.1859999999999999</v>
      </c>
      <c r="E1297">
        <f t="shared" si="60"/>
        <v>586054.6</v>
      </c>
      <c r="F1297">
        <f t="shared" si="61"/>
        <v>327.59444444444443</v>
      </c>
      <c r="G1297">
        <f t="shared" si="62"/>
        <v>3.8266730191479681</v>
      </c>
    </row>
    <row r="1298" spans="1:7" x14ac:dyDescent="0.35">
      <c r="A1298">
        <v>85</v>
      </c>
      <c r="B1298">
        <v>140</v>
      </c>
      <c r="C1298">
        <v>4.2690000000000001</v>
      </c>
      <c r="E1298">
        <f t="shared" si="60"/>
        <v>586054.6</v>
      </c>
      <c r="F1298">
        <f t="shared" si="61"/>
        <v>333.15</v>
      </c>
      <c r="G1298">
        <f t="shared" si="62"/>
        <v>3.7522729581057375</v>
      </c>
    </row>
    <row r="1299" spans="1:7" x14ac:dyDescent="0.35">
      <c r="A1299">
        <v>85</v>
      </c>
      <c r="B1299">
        <v>150</v>
      </c>
      <c r="C1299">
        <v>4.3520000000000003</v>
      </c>
      <c r="E1299">
        <f t="shared" si="60"/>
        <v>586054.6</v>
      </c>
      <c r="F1299">
        <f t="shared" si="61"/>
        <v>338.70555555555552</v>
      </c>
      <c r="G1299">
        <f t="shared" si="62"/>
        <v>3.6807107670389225</v>
      </c>
    </row>
    <row r="1300" spans="1:7" x14ac:dyDescent="0.35">
      <c r="A1300">
        <v>85</v>
      </c>
      <c r="B1300">
        <v>160</v>
      </c>
      <c r="C1300">
        <v>4.4340000000000002</v>
      </c>
      <c r="E1300">
        <f t="shared" si="60"/>
        <v>586054.6</v>
      </c>
      <c r="F1300">
        <f t="shared" si="61"/>
        <v>344.26111111111106</v>
      </c>
      <c r="G1300">
        <f t="shared" si="62"/>
        <v>3.6126416910585006</v>
      </c>
    </row>
    <row r="1301" spans="1:7" x14ac:dyDescent="0.35">
      <c r="A1301">
        <v>85</v>
      </c>
      <c r="B1301">
        <v>170</v>
      </c>
      <c r="C1301">
        <v>4.5149999999999997</v>
      </c>
      <c r="E1301">
        <f t="shared" si="60"/>
        <v>586054.6</v>
      </c>
      <c r="F1301">
        <f t="shared" si="61"/>
        <v>349.81666666666666</v>
      </c>
      <c r="G1301">
        <f t="shared" si="62"/>
        <v>3.5478301789930002</v>
      </c>
    </row>
    <row r="1302" spans="1:7" x14ac:dyDescent="0.35">
      <c r="A1302">
        <v>85</v>
      </c>
      <c r="B1302">
        <v>180</v>
      </c>
      <c r="C1302">
        <v>4.5960000000000001</v>
      </c>
      <c r="E1302">
        <f t="shared" si="60"/>
        <v>586054.6</v>
      </c>
      <c r="F1302">
        <f t="shared" si="61"/>
        <v>355.37222222222221</v>
      </c>
      <c r="G1302">
        <f t="shared" si="62"/>
        <v>3.4853031458123138</v>
      </c>
    </row>
    <row r="1303" spans="1:7" x14ac:dyDescent="0.35">
      <c r="A1303">
        <v>85</v>
      </c>
      <c r="B1303">
        <v>190</v>
      </c>
      <c r="C1303">
        <v>4.6769999999999996</v>
      </c>
      <c r="E1303">
        <f t="shared" si="60"/>
        <v>586054.6</v>
      </c>
      <c r="F1303">
        <f t="shared" si="61"/>
        <v>360.92777777777775</v>
      </c>
      <c r="G1303">
        <f t="shared" si="62"/>
        <v>3.4249418982581559</v>
      </c>
    </row>
    <row r="1304" spans="1:7" x14ac:dyDescent="0.35">
      <c r="A1304">
        <v>85</v>
      </c>
      <c r="B1304">
        <v>200</v>
      </c>
      <c r="C1304">
        <v>4.7569999999999997</v>
      </c>
      <c r="E1304">
        <f t="shared" si="60"/>
        <v>586054.6</v>
      </c>
      <c r="F1304">
        <f t="shared" si="61"/>
        <v>366.48333333333329</v>
      </c>
      <c r="G1304">
        <f t="shared" si="62"/>
        <v>3.3673435480667218</v>
      </c>
    </row>
    <row r="1305" spans="1:7" x14ac:dyDescent="0.35">
      <c r="A1305">
        <v>85</v>
      </c>
      <c r="B1305">
        <v>210</v>
      </c>
      <c r="C1305">
        <v>4.8360000000000003</v>
      </c>
      <c r="E1305">
        <f t="shared" si="60"/>
        <v>586054.6</v>
      </c>
      <c r="F1305">
        <f t="shared" si="61"/>
        <v>372.03888888888889</v>
      </c>
      <c r="G1305">
        <f t="shared" si="62"/>
        <v>3.3123352477571117</v>
      </c>
    </row>
    <row r="1306" spans="1:7" x14ac:dyDescent="0.35">
      <c r="A1306">
        <v>85</v>
      </c>
      <c r="B1306">
        <v>220</v>
      </c>
      <c r="C1306">
        <v>4.9160000000000004</v>
      </c>
      <c r="E1306">
        <f t="shared" si="60"/>
        <v>586054.6</v>
      </c>
      <c r="F1306">
        <f t="shared" si="61"/>
        <v>377.59444444444443</v>
      </c>
      <c r="G1306">
        <f t="shared" si="62"/>
        <v>3.258432314514522</v>
      </c>
    </row>
    <row r="1307" spans="1:7" x14ac:dyDescent="0.35">
      <c r="A1307">
        <v>85</v>
      </c>
      <c r="B1307">
        <v>230</v>
      </c>
      <c r="C1307">
        <v>4.9950000000000001</v>
      </c>
      <c r="E1307">
        <f t="shared" si="60"/>
        <v>586054.6</v>
      </c>
      <c r="F1307">
        <f t="shared" si="61"/>
        <v>383.15</v>
      </c>
      <c r="G1307">
        <f t="shared" si="62"/>
        <v>3.2068975491798581</v>
      </c>
    </row>
    <row r="1308" spans="1:7" x14ac:dyDescent="0.35">
      <c r="A1308">
        <v>85</v>
      </c>
      <c r="B1308">
        <v>240</v>
      </c>
      <c r="C1308">
        <v>5.0739999999999998</v>
      </c>
      <c r="E1308">
        <f t="shared" si="60"/>
        <v>586054.6</v>
      </c>
      <c r="F1308">
        <f t="shared" si="61"/>
        <v>388.70555555555552</v>
      </c>
      <c r="G1308">
        <f t="shared" si="62"/>
        <v>3.1569675321547876</v>
      </c>
    </row>
    <row r="1309" spans="1:7" x14ac:dyDescent="0.35">
      <c r="A1309">
        <v>85</v>
      </c>
      <c r="B1309">
        <v>250</v>
      </c>
      <c r="C1309">
        <v>5.1520000000000001</v>
      </c>
      <c r="E1309">
        <f t="shared" si="60"/>
        <v>586054.6</v>
      </c>
      <c r="F1309">
        <f t="shared" si="61"/>
        <v>394.26111111111106</v>
      </c>
      <c r="G1309">
        <f t="shared" si="62"/>
        <v>3.1091718280577241</v>
      </c>
    </row>
    <row r="1310" spans="1:7" x14ac:dyDescent="0.35">
      <c r="A1310">
        <v>85</v>
      </c>
      <c r="B1310">
        <v>260</v>
      </c>
      <c r="C1310">
        <v>5.23</v>
      </c>
      <c r="E1310">
        <f t="shared" si="60"/>
        <v>586054.6</v>
      </c>
      <c r="F1310">
        <f t="shared" si="61"/>
        <v>399.81666666666666</v>
      </c>
      <c r="G1310">
        <f t="shared" si="62"/>
        <v>3.0628017702014136</v>
      </c>
    </row>
    <row r="1311" spans="1:7" x14ac:dyDescent="0.35">
      <c r="A1311">
        <v>85</v>
      </c>
      <c r="B1311">
        <v>280</v>
      </c>
      <c r="C1311">
        <v>5.3860000000000001</v>
      </c>
      <c r="E1311">
        <f t="shared" si="60"/>
        <v>586054.6</v>
      </c>
      <c r="F1311">
        <f t="shared" si="61"/>
        <v>410.92777777777775</v>
      </c>
      <c r="G1311">
        <f t="shared" si="62"/>
        <v>2.9740908388699205</v>
      </c>
    </row>
    <row r="1312" spans="1:7" x14ac:dyDescent="0.35">
      <c r="A1312">
        <v>85</v>
      </c>
      <c r="B1312">
        <v>300</v>
      </c>
      <c r="C1312">
        <v>5.5410000000000004</v>
      </c>
      <c r="E1312">
        <f t="shared" si="60"/>
        <v>586054.6</v>
      </c>
      <c r="F1312">
        <f t="shared" si="61"/>
        <v>422.03888888888889</v>
      </c>
      <c r="G1312">
        <f t="shared" si="62"/>
        <v>2.8908957332888274</v>
      </c>
    </row>
    <row r="1313" spans="1:7" x14ac:dyDescent="0.35">
      <c r="A1313">
        <v>90</v>
      </c>
      <c r="B1313">
        <v>60</v>
      </c>
      <c r="C1313">
        <v>3.3530000000000002</v>
      </c>
      <c r="E1313">
        <f t="shared" si="60"/>
        <v>620528.4</v>
      </c>
      <c r="F1313">
        <f t="shared" si="61"/>
        <v>288.70555555555552</v>
      </c>
      <c r="G1313">
        <f t="shared" si="62"/>
        <v>4.7773496147191752</v>
      </c>
    </row>
    <row r="1314" spans="1:7" x14ac:dyDescent="0.35">
      <c r="A1314">
        <v>90</v>
      </c>
      <c r="B1314">
        <v>70</v>
      </c>
      <c r="C1314">
        <v>3.4420000000000002</v>
      </c>
      <c r="E1314">
        <f t="shared" si="60"/>
        <v>620528.4</v>
      </c>
      <c r="F1314">
        <f t="shared" si="61"/>
        <v>294.26111111111106</v>
      </c>
      <c r="G1314">
        <f t="shared" si="62"/>
        <v>4.6538213998121423</v>
      </c>
    </row>
    <row r="1315" spans="1:7" x14ac:dyDescent="0.35">
      <c r="A1315">
        <v>90</v>
      </c>
      <c r="B1315">
        <v>80</v>
      </c>
      <c r="C1315">
        <v>3.5289999999999999</v>
      </c>
      <c r="E1315">
        <f t="shared" si="60"/>
        <v>620528.4</v>
      </c>
      <c r="F1315">
        <f t="shared" si="61"/>
        <v>299.81666666666666</v>
      </c>
      <c r="G1315">
        <f t="shared" si="62"/>
        <v>4.5390913171304605</v>
      </c>
    </row>
    <row r="1316" spans="1:7" x14ac:dyDescent="0.35">
      <c r="A1316">
        <v>90</v>
      </c>
      <c r="B1316">
        <v>90</v>
      </c>
      <c r="C1316">
        <v>3.6139999999999999</v>
      </c>
      <c r="E1316">
        <f t="shared" si="60"/>
        <v>620528.4</v>
      </c>
      <c r="F1316">
        <f t="shared" si="61"/>
        <v>305.37222222222221</v>
      </c>
      <c r="G1316">
        <f t="shared" si="62"/>
        <v>4.4323334969987256</v>
      </c>
    </row>
    <row r="1317" spans="1:7" x14ac:dyDescent="0.35">
      <c r="A1317">
        <v>90</v>
      </c>
      <c r="B1317">
        <v>100</v>
      </c>
      <c r="C1317">
        <v>3.698</v>
      </c>
      <c r="E1317">
        <f t="shared" si="60"/>
        <v>620528.4</v>
      </c>
      <c r="F1317">
        <f t="shared" si="61"/>
        <v>310.92777777777775</v>
      </c>
      <c r="G1317">
        <f t="shared" si="62"/>
        <v>4.331653125514709</v>
      </c>
    </row>
    <row r="1318" spans="1:7" x14ac:dyDescent="0.35">
      <c r="A1318">
        <v>90</v>
      </c>
      <c r="B1318">
        <v>110</v>
      </c>
      <c r="C1318">
        <v>3.78</v>
      </c>
      <c r="E1318">
        <f t="shared" si="60"/>
        <v>620528.4</v>
      </c>
      <c r="F1318">
        <f t="shared" si="61"/>
        <v>316.48333333333329</v>
      </c>
      <c r="G1318">
        <f t="shared" si="62"/>
        <v>4.237686047130528</v>
      </c>
    </row>
    <row r="1319" spans="1:7" x14ac:dyDescent="0.35">
      <c r="A1319">
        <v>90</v>
      </c>
      <c r="B1319">
        <v>120</v>
      </c>
      <c r="C1319">
        <v>3.8620000000000001</v>
      </c>
      <c r="E1319">
        <f t="shared" si="60"/>
        <v>620528.4</v>
      </c>
      <c r="F1319">
        <f t="shared" si="61"/>
        <v>322.03888888888889</v>
      </c>
      <c r="G1319">
        <f t="shared" si="62"/>
        <v>4.1477092848662336</v>
      </c>
    </row>
    <row r="1320" spans="1:7" x14ac:dyDescent="0.35">
      <c r="A1320">
        <v>90</v>
      </c>
      <c r="B1320">
        <v>130</v>
      </c>
      <c r="C1320">
        <v>3.9420000000000002</v>
      </c>
      <c r="E1320">
        <f t="shared" si="60"/>
        <v>620528.4</v>
      </c>
      <c r="F1320">
        <f t="shared" si="61"/>
        <v>327.59444444444443</v>
      </c>
      <c r="G1320">
        <f t="shared" si="62"/>
        <v>4.0635345657416018</v>
      </c>
    </row>
    <row r="1321" spans="1:7" x14ac:dyDescent="0.35">
      <c r="A1321">
        <v>90</v>
      </c>
      <c r="B1321">
        <v>140</v>
      </c>
      <c r="C1321">
        <v>4.0209999999999999</v>
      </c>
      <c r="E1321">
        <f t="shared" si="60"/>
        <v>620528.4</v>
      </c>
      <c r="F1321">
        <f t="shared" si="61"/>
        <v>333.15</v>
      </c>
      <c r="G1321">
        <f t="shared" si="62"/>
        <v>3.9836988953378247</v>
      </c>
    </row>
    <row r="1322" spans="1:7" x14ac:dyDescent="0.35">
      <c r="A1322">
        <v>90</v>
      </c>
      <c r="B1322">
        <v>150</v>
      </c>
      <c r="C1322">
        <v>4.0999999999999996</v>
      </c>
      <c r="E1322">
        <f t="shared" si="60"/>
        <v>620528.4</v>
      </c>
      <c r="F1322">
        <f t="shared" si="61"/>
        <v>338.70555555555552</v>
      </c>
      <c r="G1322">
        <f t="shared" si="62"/>
        <v>3.9069398190618032</v>
      </c>
    </row>
    <row r="1323" spans="1:7" x14ac:dyDescent="0.35">
      <c r="A1323">
        <v>90</v>
      </c>
      <c r="B1323">
        <v>160</v>
      </c>
      <c r="C1323">
        <v>4.1779999999999999</v>
      </c>
      <c r="E1323">
        <f t="shared" si="60"/>
        <v>620528.4</v>
      </c>
      <c r="F1323">
        <f t="shared" si="61"/>
        <v>344.26111111111106</v>
      </c>
      <c r="G1323">
        <f t="shared" si="62"/>
        <v>3.8340003011377202</v>
      </c>
    </row>
    <row r="1324" spans="1:7" x14ac:dyDescent="0.35">
      <c r="A1324">
        <v>90</v>
      </c>
      <c r="B1324">
        <v>170</v>
      </c>
      <c r="C1324">
        <v>4.2549999999999999</v>
      </c>
      <c r="E1324">
        <f t="shared" si="60"/>
        <v>620528.4</v>
      </c>
      <c r="F1324">
        <f t="shared" si="61"/>
        <v>349.81666666666666</v>
      </c>
      <c r="G1324">
        <f t="shared" si="62"/>
        <v>3.7646188620807037</v>
      </c>
    </row>
    <row r="1325" spans="1:7" x14ac:dyDescent="0.35">
      <c r="A1325">
        <v>90</v>
      </c>
      <c r="B1325">
        <v>180</v>
      </c>
      <c r="C1325">
        <v>4.3319999999999999</v>
      </c>
      <c r="E1325">
        <f t="shared" si="60"/>
        <v>620528.4</v>
      </c>
      <c r="F1325">
        <f t="shared" si="61"/>
        <v>355.37222222222221</v>
      </c>
      <c r="G1325">
        <f t="shared" si="62"/>
        <v>3.6977038915404883</v>
      </c>
    </row>
    <row r="1326" spans="1:7" x14ac:dyDescent="0.35">
      <c r="A1326">
        <v>90</v>
      </c>
      <c r="B1326">
        <v>190</v>
      </c>
      <c r="C1326">
        <v>4.4080000000000004</v>
      </c>
      <c r="E1326">
        <f t="shared" si="60"/>
        <v>620528.4</v>
      </c>
      <c r="F1326">
        <f t="shared" si="61"/>
        <v>360.92777777777775</v>
      </c>
      <c r="G1326">
        <f t="shared" si="62"/>
        <v>3.6339503761691003</v>
      </c>
    </row>
    <row r="1327" spans="1:7" x14ac:dyDescent="0.35">
      <c r="A1327">
        <v>90</v>
      </c>
      <c r="B1327">
        <v>200</v>
      </c>
      <c r="C1327">
        <v>4.484</v>
      </c>
      <c r="E1327">
        <f t="shared" si="60"/>
        <v>620528.4</v>
      </c>
      <c r="F1327">
        <f t="shared" si="61"/>
        <v>366.48333333333329</v>
      </c>
      <c r="G1327">
        <f t="shared" si="62"/>
        <v>3.5723579969119963</v>
      </c>
    </row>
    <row r="1328" spans="1:7" x14ac:dyDescent="0.35">
      <c r="A1328">
        <v>90</v>
      </c>
      <c r="B1328">
        <v>210</v>
      </c>
      <c r="C1328">
        <v>4.5599999999999996</v>
      </c>
      <c r="E1328">
        <f t="shared" si="60"/>
        <v>620528.4</v>
      </c>
      <c r="F1328">
        <f t="shared" si="61"/>
        <v>372.03888888888889</v>
      </c>
      <c r="G1328">
        <f t="shared" si="62"/>
        <v>3.5128186969634636</v>
      </c>
    </row>
    <row r="1329" spans="1:7" x14ac:dyDescent="0.35">
      <c r="A1329">
        <v>90</v>
      </c>
      <c r="B1329">
        <v>220</v>
      </c>
      <c r="C1329">
        <v>4.6349999999999998</v>
      </c>
      <c r="E1329">
        <f t="shared" si="60"/>
        <v>620528.4</v>
      </c>
      <c r="F1329">
        <f t="shared" si="61"/>
        <v>377.59444444444443</v>
      </c>
      <c r="G1329">
        <f t="shared" si="62"/>
        <v>3.455976970475382</v>
      </c>
    </row>
    <row r="1330" spans="1:7" x14ac:dyDescent="0.35">
      <c r="A1330">
        <v>90</v>
      </c>
      <c r="B1330">
        <v>230</v>
      </c>
      <c r="C1330">
        <v>4.71</v>
      </c>
      <c r="E1330">
        <f t="shared" si="60"/>
        <v>620528.4</v>
      </c>
      <c r="F1330">
        <f t="shared" si="61"/>
        <v>383.15</v>
      </c>
      <c r="G1330">
        <f t="shared" si="62"/>
        <v>3.4009454900537994</v>
      </c>
    </row>
    <row r="1331" spans="1:7" x14ac:dyDescent="0.35">
      <c r="A1331">
        <v>90</v>
      </c>
      <c r="B1331">
        <v>240</v>
      </c>
      <c r="C1331">
        <v>4.7850000000000001</v>
      </c>
      <c r="E1331">
        <f t="shared" si="60"/>
        <v>620528.4</v>
      </c>
      <c r="F1331">
        <f t="shared" si="61"/>
        <v>388.70555555555552</v>
      </c>
      <c r="G1331">
        <f t="shared" si="62"/>
        <v>3.3476391344103225</v>
      </c>
    </row>
    <row r="1332" spans="1:7" x14ac:dyDescent="0.35">
      <c r="A1332">
        <v>90</v>
      </c>
      <c r="B1332">
        <v>250</v>
      </c>
      <c r="C1332">
        <v>4.859</v>
      </c>
      <c r="E1332">
        <f t="shared" si="60"/>
        <v>620528.4</v>
      </c>
      <c r="F1332">
        <f t="shared" si="61"/>
        <v>394.26111111111106</v>
      </c>
      <c r="G1332">
        <f t="shared" si="62"/>
        <v>3.2966563610111939</v>
      </c>
    </row>
    <row r="1333" spans="1:7" x14ac:dyDescent="0.35">
      <c r="A1333">
        <v>90</v>
      </c>
      <c r="B1333">
        <v>260</v>
      </c>
      <c r="C1333">
        <v>4.9329999999999998</v>
      </c>
      <c r="E1333">
        <f t="shared" si="60"/>
        <v>620528.4</v>
      </c>
      <c r="F1333">
        <f t="shared" si="61"/>
        <v>399.81666666666666</v>
      </c>
      <c r="G1333">
        <f t="shared" si="62"/>
        <v>3.2472031741644827</v>
      </c>
    </row>
    <row r="1334" spans="1:7" x14ac:dyDescent="0.35">
      <c r="A1334">
        <v>90</v>
      </c>
      <c r="B1334">
        <v>280</v>
      </c>
      <c r="C1334">
        <v>5.0810000000000004</v>
      </c>
      <c r="E1334">
        <f t="shared" si="60"/>
        <v>620528.4</v>
      </c>
      <c r="F1334">
        <f t="shared" si="61"/>
        <v>410.92777777777775</v>
      </c>
      <c r="G1334">
        <f t="shared" si="62"/>
        <v>3.1526182362041708</v>
      </c>
    </row>
    <row r="1335" spans="1:7" x14ac:dyDescent="0.35">
      <c r="A1335">
        <v>90</v>
      </c>
      <c r="B1335">
        <v>300</v>
      </c>
      <c r="C1335">
        <v>5.2279999999999998</v>
      </c>
      <c r="E1335">
        <f t="shared" si="60"/>
        <v>620528.4</v>
      </c>
      <c r="F1335">
        <f t="shared" si="61"/>
        <v>422.03888888888889</v>
      </c>
      <c r="G1335">
        <f t="shared" si="62"/>
        <v>3.0639734617737937</v>
      </c>
    </row>
    <row r="1336" spans="1:7" x14ac:dyDescent="0.35">
      <c r="A1336">
        <v>95</v>
      </c>
      <c r="B1336">
        <v>60</v>
      </c>
      <c r="C1336">
        <v>3.16</v>
      </c>
      <c r="E1336">
        <f t="shared" si="60"/>
        <v>655002.20000000007</v>
      </c>
      <c r="F1336">
        <f t="shared" si="61"/>
        <v>288.70555555555552</v>
      </c>
      <c r="G1336">
        <f t="shared" si="62"/>
        <v>5.0691307778966435</v>
      </c>
    </row>
    <row r="1337" spans="1:7" x14ac:dyDescent="0.35">
      <c r="A1337">
        <v>95</v>
      </c>
      <c r="B1337">
        <v>70</v>
      </c>
      <c r="C1337">
        <v>3.2450000000000001</v>
      </c>
      <c r="E1337">
        <f t="shared" si="60"/>
        <v>655002.20000000007</v>
      </c>
      <c r="F1337">
        <f t="shared" si="61"/>
        <v>294.26111111111106</v>
      </c>
      <c r="G1337">
        <f t="shared" si="62"/>
        <v>4.9363492320965774</v>
      </c>
    </row>
    <row r="1338" spans="1:7" x14ac:dyDescent="0.35">
      <c r="A1338">
        <v>95</v>
      </c>
      <c r="B1338">
        <v>80</v>
      </c>
      <c r="C1338">
        <v>3.3290000000000002</v>
      </c>
      <c r="E1338">
        <f t="shared" si="60"/>
        <v>655002.20000000007</v>
      </c>
      <c r="F1338">
        <f t="shared" si="61"/>
        <v>299.81666666666666</v>
      </c>
      <c r="G1338">
        <f t="shared" si="62"/>
        <v>4.8117913061440047</v>
      </c>
    </row>
    <row r="1339" spans="1:7" x14ac:dyDescent="0.35">
      <c r="A1339">
        <v>95</v>
      </c>
      <c r="B1339">
        <v>90</v>
      </c>
      <c r="C1339">
        <v>3.411</v>
      </c>
      <c r="E1339">
        <f t="shared" si="60"/>
        <v>655002.20000000007</v>
      </c>
      <c r="F1339">
        <f t="shared" si="61"/>
        <v>305.37222222222221</v>
      </c>
      <c r="G1339">
        <f t="shared" si="62"/>
        <v>4.6961164638385791</v>
      </c>
    </row>
    <row r="1340" spans="1:7" x14ac:dyDescent="0.35">
      <c r="A1340">
        <v>95</v>
      </c>
      <c r="B1340">
        <v>100</v>
      </c>
      <c r="C1340">
        <v>3.4910000000000001</v>
      </c>
      <c r="E1340">
        <f t="shared" si="60"/>
        <v>655002.20000000007</v>
      </c>
      <c r="F1340">
        <f t="shared" si="61"/>
        <v>310.92777777777775</v>
      </c>
      <c r="G1340">
        <f t="shared" si="62"/>
        <v>4.5884999307228282</v>
      </c>
    </row>
    <row r="1341" spans="1:7" x14ac:dyDescent="0.35">
      <c r="A1341">
        <v>95</v>
      </c>
      <c r="B1341">
        <v>110</v>
      </c>
      <c r="C1341">
        <v>3.57</v>
      </c>
      <c r="E1341">
        <f t="shared" si="60"/>
        <v>655002.20000000007</v>
      </c>
      <c r="F1341">
        <f t="shared" si="61"/>
        <v>316.48333333333329</v>
      </c>
      <c r="G1341">
        <f t="shared" si="62"/>
        <v>4.4869616969617354</v>
      </c>
    </row>
    <row r="1342" spans="1:7" x14ac:dyDescent="0.35">
      <c r="A1342">
        <v>95</v>
      </c>
      <c r="B1342">
        <v>120</v>
      </c>
      <c r="C1342">
        <v>3.6469999999999998</v>
      </c>
      <c r="E1342">
        <f t="shared" si="60"/>
        <v>655002.20000000007</v>
      </c>
      <c r="F1342">
        <f t="shared" si="61"/>
        <v>322.03888888888889</v>
      </c>
      <c r="G1342">
        <f t="shared" si="62"/>
        <v>4.3922273809030417</v>
      </c>
    </row>
    <row r="1343" spans="1:7" x14ac:dyDescent="0.35">
      <c r="A1343">
        <v>95</v>
      </c>
      <c r="B1343">
        <v>130</v>
      </c>
      <c r="C1343">
        <v>3.7240000000000002</v>
      </c>
      <c r="E1343">
        <f t="shared" si="60"/>
        <v>655002.20000000007</v>
      </c>
      <c r="F1343">
        <f t="shared" si="61"/>
        <v>327.59444444444443</v>
      </c>
      <c r="G1343">
        <f t="shared" si="62"/>
        <v>4.3014106493430164</v>
      </c>
    </row>
    <row r="1344" spans="1:7" x14ac:dyDescent="0.35">
      <c r="A1344">
        <v>95</v>
      </c>
      <c r="B1344">
        <v>140</v>
      </c>
      <c r="C1344">
        <v>3.7989999999999999</v>
      </c>
      <c r="E1344">
        <f t="shared" si="60"/>
        <v>655002.20000000007</v>
      </c>
      <c r="F1344">
        <f t="shared" si="61"/>
        <v>333.15</v>
      </c>
      <c r="G1344">
        <f t="shared" si="62"/>
        <v>4.2164920395244527</v>
      </c>
    </row>
    <row r="1345" spans="1:7" x14ac:dyDescent="0.35">
      <c r="A1345">
        <v>95</v>
      </c>
      <c r="B1345">
        <v>150</v>
      </c>
      <c r="C1345">
        <v>3.8740000000000001</v>
      </c>
      <c r="E1345">
        <f t="shared" si="60"/>
        <v>655002.20000000007</v>
      </c>
      <c r="F1345">
        <f t="shared" si="61"/>
        <v>338.70555555555552</v>
      </c>
      <c r="G1345">
        <f t="shared" si="62"/>
        <v>4.1348614502202876</v>
      </c>
    </row>
    <row r="1346" spans="1:7" x14ac:dyDescent="0.35">
      <c r="A1346">
        <v>95</v>
      </c>
      <c r="B1346">
        <v>160</v>
      </c>
      <c r="C1346">
        <v>3.9489999999999998</v>
      </c>
      <c r="E1346">
        <f t="shared" ref="E1346:E1409" si="63">A1346*6894.76</f>
        <v>655002.20000000007</v>
      </c>
      <c r="F1346">
        <f t="shared" si="61"/>
        <v>344.26111111111106</v>
      </c>
      <c r="G1346">
        <f t="shared" si="62"/>
        <v>4.0563315416949592</v>
      </c>
    </row>
    <row r="1347" spans="1:7" x14ac:dyDescent="0.35">
      <c r="A1347">
        <v>95</v>
      </c>
      <c r="B1347">
        <v>170</v>
      </c>
      <c r="C1347">
        <v>4.0220000000000002</v>
      </c>
      <c r="E1347">
        <f t="shared" si="63"/>
        <v>655002.20000000007</v>
      </c>
      <c r="F1347">
        <f t="shared" ref="F1347:F1410" si="64">(B1347-32)*5/9+273.15</f>
        <v>349.81666666666666</v>
      </c>
      <c r="G1347">
        <f t="shared" ref="G1347:G1410" si="65">1/(C1347*0.062428)</f>
        <v>3.982708418238039</v>
      </c>
    </row>
    <row r="1348" spans="1:7" x14ac:dyDescent="0.35">
      <c r="A1348">
        <v>95</v>
      </c>
      <c r="B1348">
        <v>180</v>
      </c>
      <c r="C1348">
        <v>4.0960000000000001</v>
      </c>
      <c r="E1348">
        <f t="shared" si="63"/>
        <v>655002.20000000007</v>
      </c>
      <c r="F1348">
        <f t="shared" si="64"/>
        <v>355.37222222222221</v>
      </c>
      <c r="G1348">
        <f t="shared" si="65"/>
        <v>3.9107551899788562</v>
      </c>
    </row>
    <row r="1349" spans="1:7" x14ac:dyDescent="0.35">
      <c r="A1349">
        <v>95</v>
      </c>
      <c r="B1349">
        <v>190</v>
      </c>
      <c r="C1349">
        <v>4.1680000000000001</v>
      </c>
      <c r="E1349">
        <f t="shared" si="63"/>
        <v>655002.20000000007</v>
      </c>
      <c r="F1349">
        <f t="shared" si="64"/>
        <v>360.92777777777775</v>
      </c>
      <c r="G1349">
        <f t="shared" si="65"/>
        <v>3.8431989582901616</v>
      </c>
    </row>
    <row r="1350" spans="1:7" x14ac:dyDescent="0.35">
      <c r="A1350">
        <v>95</v>
      </c>
      <c r="B1350">
        <v>200</v>
      </c>
      <c r="C1350">
        <v>4.2409999999999997</v>
      </c>
      <c r="E1350">
        <f t="shared" si="63"/>
        <v>655002.20000000007</v>
      </c>
      <c r="F1350">
        <f t="shared" si="64"/>
        <v>366.48333333333329</v>
      </c>
      <c r="G1350">
        <f t="shared" si="65"/>
        <v>3.7770462763860873</v>
      </c>
    </row>
    <row r="1351" spans="1:7" x14ac:dyDescent="0.35">
      <c r="A1351">
        <v>95</v>
      </c>
      <c r="B1351">
        <v>210</v>
      </c>
      <c r="C1351">
        <v>4.3129999999999997</v>
      </c>
      <c r="E1351">
        <f t="shared" si="63"/>
        <v>655002.20000000007</v>
      </c>
      <c r="F1351">
        <f t="shared" si="64"/>
        <v>372.03888888888889</v>
      </c>
      <c r="G1351">
        <f t="shared" si="65"/>
        <v>3.713993335996614</v>
      </c>
    </row>
    <row r="1352" spans="1:7" x14ac:dyDescent="0.35">
      <c r="A1352">
        <v>95</v>
      </c>
      <c r="B1352">
        <v>220</v>
      </c>
      <c r="C1352">
        <v>4.3840000000000003</v>
      </c>
      <c r="E1352">
        <f t="shared" si="63"/>
        <v>655002.20000000007</v>
      </c>
      <c r="F1352">
        <f t="shared" si="64"/>
        <v>377.59444444444443</v>
      </c>
      <c r="G1352">
        <f t="shared" si="65"/>
        <v>3.6538442650897336</v>
      </c>
    </row>
    <row r="1353" spans="1:7" x14ac:dyDescent="0.35">
      <c r="A1353">
        <v>95</v>
      </c>
      <c r="B1353">
        <v>230</v>
      </c>
      <c r="C1353">
        <v>4.4550000000000001</v>
      </c>
      <c r="E1353">
        <f t="shared" si="63"/>
        <v>655002.20000000007</v>
      </c>
      <c r="F1353">
        <f t="shared" si="64"/>
        <v>383.15</v>
      </c>
      <c r="G1353">
        <f t="shared" si="65"/>
        <v>3.5956124036259021</v>
      </c>
    </row>
    <row r="1354" spans="1:7" x14ac:dyDescent="0.35">
      <c r="A1354">
        <v>95</v>
      </c>
      <c r="B1354">
        <v>240</v>
      </c>
      <c r="C1354">
        <v>4.5259999999999998</v>
      </c>
      <c r="E1354">
        <f t="shared" si="63"/>
        <v>655002.20000000007</v>
      </c>
      <c r="F1354">
        <f t="shared" si="64"/>
        <v>388.70555555555552</v>
      </c>
      <c r="G1354">
        <f t="shared" si="65"/>
        <v>3.5392075250007498</v>
      </c>
    </row>
    <row r="1355" spans="1:7" x14ac:dyDescent="0.35">
      <c r="A1355">
        <v>95</v>
      </c>
      <c r="B1355">
        <v>250</v>
      </c>
      <c r="C1355">
        <v>4.5970000000000004</v>
      </c>
      <c r="E1355">
        <f t="shared" si="63"/>
        <v>655002.20000000007</v>
      </c>
      <c r="F1355">
        <f t="shared" si="64"/>
        <v>394.26111111111106</v>
      </c>
      <c r="G1355">
        <f t="shared" si="65"/>
        <v>3.4845449767573187</v>
      </c>
    </row>
    <row r="1356" spans="1:7" x14ac:dyDescent="0.35">
      <c r="A1356">
        <v>95</v>
      </c>
      <c r="B1356">
        <v>260</v>
      </c>
      <c r="C1356">
        <v>4.6680000000000001</v>
      </c>
      <c r="E1356">
        <f t="shared" si="63"/>
        <v>655002.20000000007</v>
      </c>
      <c r="F1356">
        <f t="shared" si="64"/>
        <v>399.81666666666666</v>
      </c>
      <c r="G1356">
        <f t="shared" si="65"/>
        <v>3.4315452566738203</v>
      </c>
    </row>
    <row r="1357" spans="1:7" x14ac:dyDescent="0.35">
      <c r="A1357">
        <v>95</v>
      </c>
      <c r="B1357">
        <v>280</v>
      </c>
      <c r="C1357">
        <v>4.8079999999999998</v>
      </c>
      <c r="E1357">
        <f t="shared" si="63"/>
        <v>655002.20000000007</v>
      </c>
      <c r="F1357">
        <f t="shared" si="64"/>
        <v>410.92777777777775</v>
      </c>
      <c r="G1357">
        <f t="shared" si="65"/>
        <v>3.3316250536924699</v>
      </c>
    </row>
    <row r="1358" spans="1:7" x14ac:dyDescent="0.35">
      <c r="A1358">
        <v>95</v>
      </c>
      <c r="B1358">
        <v>300</v>
      </c>
      <c r="C1358">
        <v>4.9470000000000001</v>
      </c>
      <c r="E1358">
        <f t="shared" si="63"/>
        <v>655002.20000000007</v>
      </c>
      <c r="F1358">
        <f t="shared" si="64"/>
        <v>422.03888888888889</v>
      </c>
      <c r="G1358">
        <f t="shared" si="65"/>
        <v>3.2380135957455822</v>
      </c>
    </row>
    <row r="1359" spans="1:7" x14ac:dyDescent="0.35">
      <c r="A1359">
        <v>100</v>
      </c>
      <c r="B1359">
        <v>60</v>
      </c>
      <c r="C1359">
        <v>2.9849999999999999</v>
      </c>
      <c r="E1359">
        <f t="shared" si="63"/>
        <v>689476</v>
      </c>
      <c r="F1359">
        <f t="shared" si="64"/>
        <v>288.70555555555552</v>
      </c>
      <c r="G1359">
        <f t="shared" si="65"/>
        <v>5.3663159993813716</v>
      </c>
    </row>
    <row r="1360" spans="1:7" x14ac:dyDescent="0.35">
      <c r="A1360">
        <v>100</v>
      </c>
      <c r="B1360">
        <v>70</v>
      </c>
      <c r="C1360">
        <v>3.0680000000000001</v>
      </c>
      <c r="E1360">
        <f t="shared" si="63"/>
        <v>689476</v>
      </c>
      <c r="F1360">
        <f t="shared" si="64"/>
        <v>294.26111111111106</v>
      </c>
      <c r="G1360">
        <f t="shared" si="65"/>
        <v>5.2211386108713791</v>
      </c>
    </row>
    <row r="1361" spans="1:7" x14ac:dyDescent="0.35">
      <c r="A1361">
        <v>100</v>
      </c>
      <c r="B1361">
        <v>80</v>
      </c>
      <c r="C1361">
        <v>3.149</v>
      </c>
      <c r="E1361">
        <f t="shared" si="63"/>
        <v>689476</v>
      </c>
      <c r="F1361">
        <f t="shared" si="64"/>
        <v>299.81666666666666</v>
      </c>
      <c r="G1361">
        <f t="shared" si="65"/>
        <v>5.0868381258029194</v>
      </c>
    </row>
    <row r="1362" spans="1:7" x14ac:dyDescent="0.35">
      <c r="A1362">
        <v>100</v>
      </c>
      <c r="B1362">
        <v>90</v>
      </c>
      <c r="C1362">
        <v>3.2269999999999999</v>
      </c>
      <c r="E1362">
        <f t="shared" si="63"/>
        <v>689476</v>
      </c>
      <c r="F1362">
        <f t="shared" si="64"/>
        <v>305.37222222222221</v>
      </c>
      <c r="G1362">
        <f t="shared" si="65"/>
        <v>4.9638838729945443</v>
      </c>
    </row>
    <row r="1363" spans="1:7" x14ac:dyDescent="0.35">
      <c r="A1363">
        <v>100</v>
      </c>
      <c r="B1363">
        <v>100</v>
      </c>
      <c r="C1363">
        <v>3.3039999999999998</v>
      </c>
      <c r="E1363">
        <f t="shared" si="63"/>
        <v>689476</v>
      </c>
      <c r="F1363">
        <f t="shared" si="64"/>
        <v>310.92777777777775</v>
      </c>
      <c r="G1363">
        <f t="shared" si="65"/>
        <v>4.8482001386662814</v>
      </c>
    </row>
    <row r="1364" spans="1:7" x14ac:dyDescent="0.35">
      <c r="A1364">
        <v>100</v>
      </c>
      <c r="B1364">
        <v>110</v>
      </c>
      <c r="C1364">
        <v>3.38</v>
      </c>
      <c r="E1364">
        <f t="shared" si="63"/>
        <v>689476</v>
      </c>
      <c r="F1364">
        <f t="shared" si="64"/>
        <v>316.48333333333329</v>
      </c>
      <c r="G1364">
        <f t="shared" si="65"/>
        <v>4.7391873544832528</v>
      </c>
    </row>
    <row r="1365" spans="1:7" x14ac:dyDescent="0.35">
      <c r="A1365">
        <v>100</v>
      </c>
      <c r="B1365">
        <v>120</v>
      </c>
      <c r="C1365">
        <v>3.4540000000000002</v>
      </c>
      <c r="E1365">
        <f t="shared" si="63"/>
        <v>689476</v>
      </c>
      <c r="F1365">
        <f t="shared" si="64"/>
        <v>322.03888888888889</v>
      </c>
      <c r="G1365">
        <f t="shared" si="65"/>
        <v>4.637652940982453</v>
      </c>
    </row>
    <row r="1366" spans="1:7" x14ac:dyDescent="0.35">
      <c r="A1366">
        <v>100</v>
      </c>
      <c r="B1366">
        <v>130</v>
      </c>
      <c r="C1366">
        <v>3.5270000000000001</v>
      </c>
      <c r="E1366">
        <f t="shared" si="63"/>
        <v>689476</v>
      </c>
      <c r="F1366">
        <f t="shared" si="64"/>
        <v>327.59444444444443</v>
      </c>
      <c r="G1366">
        <f t="shared" si="65"/>
        <v>4.5416652277157334</v>
      </c>
    </row>
    <row r="1367" spans="1:7" x14ac:dyDescent="0.35">
      <c r="A1367">
        <v>100</v>
      </c>
      <c r="B1367">
        <v>140</v>
      </c>
      <c r="C1367">
        <v>3.6</v>
      </c>
      <c r="E1367">
        <f t="shared" si="63"/>
        <v>689476</v>
      </c>
      <c r="F1367">
        <f t="shared" si="64"/>
        <v>333.15</v>
      </c>
      <c r="G1367">
        <f t="shared" si="65"/>
        <v>4.449570349487054</v>
      </c>
    </row>
    <row r="1368" spans="1:7" x14ac:dyDescent="0.35">
      <c r="A1368">
        <v>100</v>
      </c>
      <c r="B1368">
        <v>150</v>
      </c>
      <c r="C1368">
        <v>3.6720000000000002</v>
      </c>
      <c r="E1368">
        <f t="shared" si="63"/>
        <v>689476</v>
      </c>
      <c r="F1368">
        <f t="shared" si="64"/>
        <v>338.70555555555552</v>
      </c>
      <c r="G1368">
        <f t="shared" si="65"/>
        <v>4.3623238720461313</v>
      </c>
    </row>
    <row r="1369" spans="1:7" x14ac:dyDescent="0.35">
      <c r="A1369">
        <v>100</v>
      </c>
      <c r="B1369">
        <v>160</v>
      </c>
      <c r="C1369">
        <v>3.7429999999999999</v>
      </c>
      <c r="E1369">
        <f t="shared" si="63"/>
        <v>689476</v>
      </c>
      <c r="F1369">
        <f t="shared" si="64"/>
        <v>344.26111111111106</v>
      </c>
      <c r="G1369">
        <f t="shared" si="65"/>
        <v>4.2795760775189402</v>
      </c>
    </row>
    <row r="1370" spans="1:7" x14ac:dyDescent="0.35">
      <c r="A1370">
        <v>100</v>
      </c>
      <c r="B1370">
        <v>170</v>
      </c>
      <c r="C1370">
        <v>3.8130000000000002</v>
      </c>
      <c r="E1370">
        <f t="shared" si="63"/>
        <v>689476</v>
      </c>
      <c r="F1370">
        <f t="shared" si="64"/>
        <v>349.81666666666666</v>
      </c>
      <c r="G1370">
        <f t="shared" si="65"/>
        <v>4.2010105581309709</v>
      </c>
    </row>
    <row r="1371" spans="1:7" x14ac:dyDescent="0.35">
      <c r="A1371">
        <v>100</v>
      </c>
      <c r="B1371">
        <v>180</v>
      </c>
      <c r="C1371">
        <v>3.883</v>
      </c>
      <c r="E1371">
        <f t="shared" si="63"/>
        <v>689476</v>
      </c>
      <c r="F1371">
        <f t="shared" si="64"/>
        <v>355.37222222222221</v>
      </c>
      <c r="G1371">
        <f t="shared" si="65"/>
        <v>4.125277686879576</v>
      </c>
    </row>
    <row r="1372" spans="1:7" x14ac:dyDescent="0.35">
      <c r="A1372">
        <v>100</v>
      </c>
      <c r="B1372">
        <v>190</v>
      </c>
      <c r="C1372">
        <v>3.952</v>
      </c>
      <c r="E1372">
        <f t="shared" si="63"/>
        <v>689476</v>
      </c>
      <c r="F1372">
        <f t="shared" si="64"/>
        <v>360.92777777777775</v>
      </c>
      <c r="G1372">
        <f t="shared" si="65"/>
        <v>4.0532523426501497</v>
      </c>
    </row>
    <row r="1373" spans="1:7" x14ac:dyDescent="0.35">
      <c r="A1373">
        <v>100</v>
      </c>
      <c r="B1373">
        <v>200</v>
      </c>
      <c r="C1373">
        <v>4.0209999999999999</v>
      </c>
      <c r="E1373">
        <f t="shared" si="63"/>
        <v>689476</v>
      </c>
      <c r="F1373">
        <f t="shared" si="64"/>
        <v>366.48333333333329</v>
      </c>
      <c r="G1373">
        <f t="shared" si="65"/>
        <v>3.9836988953378247</v>
      </c>
    </row>
    <row r="1374" spans="1:7" x14ac:dyDescent="0.35">
      <c r="A1374">
        <v>100</v>
      </c>
      <c r="B1374">
        <v>210</v>
      </c>
      <c r="C1374">
        <v>4.09</v>
      </c>
      <c r="E1374">
        <f t="shared" si="63"/>
        <v>689476</v>
      </c>
      <c r="F1374">
        <f t="shared" si="64"/>
        <v>372.03888888888889</v>
      </c>
      <c r="G1374">
        <f t="shared" si="65"/>
        <v>3.9164922391573085</v>
      </c>
    </row>
    <row r="1375" spans="1:7" x14ac:dyDescent="0.35">
      <c r="A1375">
        <v>100</v>
      </c>
      <c r="B1375">
        <v>220</v>
      </c>
      <c r="C1375">
        <v>4.1580000000000004</v>
      </c>
      <c r="E1375">
        <f t="shared" si="63"/>
        <v>689476</v>
      </c>
      <c r="F1375">
        <f t="shared" si="64"/>
        <v>377.59444444444443</v>
      </c>
      <c r="G1375">
        <f t="shared" si="65"/>
        <v>3.852441861027752</v>
      </c>
    </row>
    <row r="1376" spans="1:7" x14ac:dyDescent="0.35">
      <c r="A1376">
        <v>100</v>
      </c>
      <c r="B1376">
        <v>230</v>
      </c>
      <c r="C1376">
        <v>4.226</v>
      </c>
      <c r="E1376">
        <f t="shared" si="63"/>
        <v>689476</v>
      </c>
      <c r="F1376">
        <f t="shared" si="64"/>
        <v>383.15</v>
      </c>
      <c r="G1376">
        <f t="shared" si="65"/>
        <v>3.7904527350102679</v>
      </c>
    </row>
    <row r="1377" spans="1:7" x14ac:dyDescent="0.35">
      <c r="A1377">
        <v>100</v>
      </c>
      <c r="B1377">
        <v>240</v>
      </c>
      <c r="C1377">
        <v>4.2939999999999996</v>
      </c>
      <c r="E1377">
        <f t="shared" si="63"/>
        <v>689476</v>
      </c>
      <c r="F1377">
        <f t="shared" si="64"/>
        <v>388.70555555555552</v>
      </c>
      <c r="G1377">
        <f t="shared" si="65"/>
        <v>3.7304269348284573</v>
      </c>
    </row>
    <row r="1378" spans="1:7" x14ac:dyDescent="0.35">
      <c r="A1378">
        <v>100</v>
      </c>
      <c r="B1378">
        <v>250</v>
      </c>
      <c r="C1378">
        <v>4.3609999999999998</v>
      </c>
      <c r="E1378">
        <f t="shared" si="63"/>
        <v>689476</v>
      </c>
      <c r="F1378">
        <f t="shared" si="64"/>
        <v>394.26111111111106</v>
      </c>
      <c r="G1378">
        <f t="shared" si="65"/>
        <v>3.6731147117985308</v>
      </c>
    </row>
    <row r="1379" spans="1:7" x14ac:dyDescent="0.35">
      <c r="A1379">
        <v>100</v>
      </c>
      <c r="B1379">
        <v>260</v>
      </c>
      <c r="C1379">
        <v>4.4279999999999999</v>
      </c>
      <c r="E1379">
        <f t="shared" si="63"/>
        <v>689476</v>
      </c>
      <c r="F1379">
        <f t="shared" si="64"/>
        <v>399.81666666666666</v>
      </c>
      <c r="G1379">
        <f t="shared" si="65"/>
        <v>3.6175368695016696</v>
      </c>
    </row>
    <row r="1380" spans="1:7" x14ac:dyDescent="0.35">
      <c r="A1380">
        <v>100</v>
      </c>
      <c r="B1380">
        <v>270</v>
      </c>
      <c r="C1380">
        <v>4.4950000000000001</v>
      </c>
      <c r="E1380">
        <f t="shared" si="63"/>
        <v>689476</v>
      </c>
      <c r="F1380">
        <f t="shared" si="64"/>
        <v>405.37222222222221</v>
      </c>
      <c r="G1380">
        <f t="shared" si="65"/>
        <v>3.5636158527593755</v>
      </c>
    </row>
    <row r="1381" spans="1:7" x14ac:dyDescent="0.35">
      <c r="A1381">
        <v>100</v>
      </c>
      <c r="B1381">
        <v>280</v>
      </c>
      <c r="C1381">
        <v>4.5620000000000003</v>
      </c>
      <c r="E1381">
        <f t="shared" si="63"/>
        <v>689476</v>
      </c>
      <c r="F1381">
        <f t="shared" si="64"/>
        <v>410.92777777777775</v>
      </c>
      <c r="G1381">
        <f t="shared" si="65"/>
        <v>3.5112786624623835</v>
      </c>
    </row>
    <row r="1382" spans="1:7" x14ac:dyDescent="0.35">
      <c r="A1382">
        <v>100</v>
      </c>
      <c r="B1382">
        <v>290</v>
      </c>
      <c r="C1382">
        <v>4.6289999999999996</v>
      </c>
      <c r="E1382">
        <f t="shared" si="63"/>
        <v>689476</v>
      </c>
      <c r="F1382">
        <f t="shared" si="64"/>
        <v>416.48333333333335</v>
      </c>
      <c r="G1382">
        <f t="shared" si="65"/>
        <v>3.4604565258486484</v>
      </c>
    </row>
    <row r="1383" spans="1:7" x14ac:dyDescent="0.35">
      <c r="A1383">
        <v>100</v>
      </c>
      <c r="B1383">
        <v>300</v>
      </c>
      <c r="C1383">
        <v>4.6950000000000003</v>
      </c>
      <c r="E1383">
        <f t="shared" si="63"/>
        <v>689476</v>
      </c>
      <c r="F1383">
        <f t="shared" si="64"/>
        <v>422.03888888888889</v>
      </c>
      <c r="G1383">
        <f t="shared" si="65"/>
        <v>3.4118111305971022</v>
      </c>
    </row>
    <row r="1384" spans="1:7" x14ac:dyDescent="0.35">
      <c r="A1384">
        <v>105</v>
      </c>
      <c r="B1384">
        <v>70</v>
      </c>
      <c r="C1384">
        <v>2.907</v>
      </c>
      <c r="E1384">
        <f t="shared" si="63"/>
        <v>723949.8</v>
      </c>
      <c r="F1384">
        <f t="shared" si="64"/>
        <v>294.26111111111106</v>
      </c>
      <c r="G1384">
        <f t="shared" si="65"/>
        <v>5.5103038383740603</v>
      </c>
    </row>
    <row r="1385" spans="1:7" x14ac:dyDescent="0.35">
      <c r="A1385">
        <v>105</v>
      </c>
      <c r="B1385">
        <v>80</v>
      </c>
      <c r="C1385">
        <v>2.9849999999999999</v>
      </c>
      <c r="E1385">
        <f t="shared" si="63"/>
        <v>723949.8</v>
      </c>
      <c r="F1385">
        <f t="shared" si="64"/>
        <v>299.81666666666666</v>
      </c>
      <c r="G1385">
        <f t="shared" si="65"/>
        <v>5.3663159993813716</v>
      </c>
    </row>
    <row r="1386" spans="1:7" x14ac:dyDescent="0.35">
      <c r="A1386">
        <v>105</v>
      </c>
      <c r="B1386">
        <v>90</v>
      </c>
      <c r="C1386">
        <v>3.0609999999999999</v>
      </c>
      <c r="E1386">
        <f t="shared" si="63"/>
        <v>723949.8</v>
      </c>
      <c r="F1386">
        <f t="shared" si="64"/>
        <v>305.37222222222221</v>
      </c>
      <c r="G1386">
        <f t="shared" si="65"/>
        <v>5.2330784900860481</v>
      </c>
    </row>
    <row r="1387" spans="1:7" x14ac:dyDescent="0.35">
      <c r="A1387">
        <v>105</v>
      </c>
      <c r="B1387">
        <v>100</v>
      </c>
      <c r="C1387">
        <v>3.1349999999999998</v>
      </c>
      <c r="E1387">
        <f t="shared" si="63"/>
        <v>723949.8</v>
      </c>
      <c r="F1387">
        <f t="shared" si="64"/>
        <v>310.92777777777775</v>
      </c>
      <c r="G1387">
        <f t="shared" si="65"/>
        <v>5.1095544683104928</v>
      </c>
    </row>
    <row r="1388" spans="1:7" x14ac:dyDescent="0.35">
      <c r="A1388">
        <v>105</v>
      </c>
      <c r="B1388">
        <v>110</v>
      </c>
      <c r="C1388">
        <v>3.2080000000000002</v>
      </c>
      <c r="E1388">
        <f t="shared" si="63"/>
        <v>723949.8</v>
      </c>
      <c r="F1388">
        <f t="shared" si="64"/>
        <v>316.48333333333329</v>
      </c>
      <c r="G1388">
        <f t="shared" si="65"/>
        <v>4.9932834345864689</v>
      </c>
    </row>
    <row r="1389" spans="1:7" x14ac:dyDescent="0.35">
      <c r="A1389">
        <v>105</v>
      </c>
      <c r="B1389">
        <v>120</v>
      </c>
      <c r="C1389">
        <v>3.2789999999999999</v>
      </c>
      <c r="E1389">
        <f t="shared" si="63"/>
        <v>723949.8</v>
      </c>
      <c r="F1389">
        <f t="shared" si="64"/>
        <v>322.03888888888889</v>
      </c>
      <c r="G1389">
        <f t="shared" si="65"/>
        <v>4.8851641531422363</v>
      </c>
    </row>
    <row r="1390" spans="1:7" x14ac:dyDescent="0.35">
      <c r="A1390">
        <v>105</v>
      </c>
      <c r="B1390">
        <v>130</v>
      </c>
      <c r="C1390">
        <v>3.35</v>
      </c>
      <c r="E1390">
        <f t="shared" si="63"/>
        <v>723949.8</v>
      </c>
      <c r="F1390">
        <f t="shared" si="64"/>
        <v>327.59444444444443</v>
      </c>
      <c r="G1390">
        <f t="shared" si="65"/>
        <v>4.7816278382547441</v>
      </c>
    </row>
    <row r="1391" spans="1:7" x14ac:dyDescent="0.35">
      <c r="A1391">
        <v>105</v>
      </c>
      <c r="B1391">
        <v>140</v>
      </c>
      <c r="C1391">
        <v>3.419</v>
      </c>
      <c r="E1391">
        <f t="shared" si="63"/>
        <v>723949.8</v>
      </c>
      <c r="F1391">
        <f t="shared" si="64"/>
        <v>333.15</v>
      </c>
      <c r="G1391">
        <f t="shared" si="65"/>
        <v>4.6851281831393372</v>
      </c>
    </row>
    <row r="1392" spans="1:7" x14ac:dyDescent="0.35">
      <c r="A1392">
        <v>105</v>
      </c>
      <c r="B1392">
        <v>150</v>
      </c>
      <c r="C1392">
        <v>3.488</v>
      </c>
      <c r="E1392">
        <f t="shared" si="63"/>
        <v>723949.8</v>
      </c>
      <c r="F1392">
        <f t="shared" si="64"/>
        <v>338.70555555555552</v>
      </c>
      <c r="G1392">
        <f t="shared" si="65"/>
        <v>4.5924464616265466</v>
      </c>
    </row>
    <row r="1393" spans="1:7" x14ac:dyDescent="0.35">
      <c r="A1393">
        <v>105</v>
      </c>
      <c r="B1393">
        <v>160</v>
      </c>
      <c r="C1393">
        <v>3.556</v>
      </c>
      <c r="E1393">
        <f t="shared" si="63"/>
        <v>723949.8</v>
      </c>
      <c r="F1393">
        <f t="shared" si="64"/>
        <v>344.26111111111106</v>
      </c>
      <c r="G1393">
        <f t="shared" si="65"/>
        <v>4.5046269004930801</v>
      </c>
    </row>
    <row r="1394" spans="1:7" x14ac:dyDescent="0.35">
      <c r="A1394">
        <v>105</v>
      </c>
      <c r="B1394">
        <v>170</v>
      </c>
      <c r="C1394">
        <v>3.6230000000000002</v>
      </c>
      <c r="E1394">
        <f t="shared" si="63"/>
        <v>723949.8</v>
      </c>
      <c r="F1394">
        <f t="shared" si="64"/>
        <v>349.81666666666666</v>
      </c>
      <c r="G1394">
        <f t="shared" si="65"/>
        <v>4.4213230080467545</v>
      </c>
    </row>
    <row r="1395" spans="1:7" x14ac:dyDescent="0.35">
      <c r="A1395">
        <v>105</v>
      </c>
      <c r="B1395">
        <v>180</v>
      </c>
      <c r="C1395">
        <v>3.69</v>
      </c>
      <c r="E1395">
        <f t="shared" si="63"/>
        <v>723949.8</v>
      </c>
      <c r="F1395">
        <f t="shared" si="64"/>
        <v>355.37222222222221</v>
      </c>
      <c r="G1395">
        <f t="shared" si="65"/>
        <v>4.3410442434020036</v>
      </c>
    </row>
    <row r="1396" spans="1:7" x14ac:dyDescent="0.35">
      <c r="A1396">
        <v>105</v>
      </c>
      <c r="B1396">
        <v>190</v>
      </c>
      <c r="C1396">
        <v>3.7570000000000001</v>
      </c>
      <c r="E1396">
        <f t="shared" si="63"/>
        <v>723949.8</v>
      </c>
      <c r="F1396">
        <f t="shared" si="64"/>
        <v>360.92777777777775</v>
      </c>
      <c r="G1396">
        <f t="shared" si="65"/>
        <v>4.2636287618188424</v>
      </c>
    </row>
    <row r="1397" spans="1:7" x14ac:dyDescent="0.35">
      <c r="A1397">
        <v>105</v>
      </c>
      <c r="B1397">
        <v>200</v>
      </c>
      <c r="C1397">
        <v>3.823</v>
      </c>
      <c r="E1397">
        <f t="shared" si="63"/>
        <v>723949.8</v>
      </c>
      <c r="F1397">
        <f t="shared" si="64"/>
        <v>366.48333333333329</v>
      </c>
      <c r="G1397">
        <f t="shared" si="65"/>
        <v>4.1900217782247955</v>
      </c>
    </row>
    <row r="1398" spans="1:7" x14ac:dyDescent="0.35">
      <c r="A1398">
        <v>105</v>
      </c>
      <c r="B1398">
        <v>210</v>
      </c>
      <c r="C1398">
        <v>3.8879999999999999</v>
      </c>
      <c r="E1398">
        <f t="shared" si="63"/>
        <v>723949.8</v>
      </c>
      <c r="F1398">
        <f t="shared" si="64"/>
        <v>372.03888888888889</v>
      </c>
      <c r="G1398">
        <f t="shared" si="65"/>
        <v>4.1199725458213461</v>
      </c>
    </row>
    <row r="1399" spans="1:7" x14ac:dyDescent="0.35">
      <c r="A1399">
        <v>105</v>
      </c>
      <c r="B1399">
        <v>220</v>
      </c>
      <c r="C1399">
        <v>3.9540000000000002</v>
      </c>
      <c r="E1399">
        <f t="shared" si="63"/>
        <v>723949.8</v>
      </c>
      <c r="F1399">
        <f t="shared" si="64"/>
        <v>377.59444444444443</v>
      </c>
      <c r="G1399">
        <f t="shared" si="65"/>
        <v>4.0512021391384403</v>
      </c>
    </row>
    <row r="1400" spans="1:7" x14ac:dyDescent="0.35">
      <c r="A1400">
        <v>105</v>
      </c>
      <c r="B1400">
        <v>230</v>
      </c>
      <c r="C1400">
        <v>4.0190000000000001</v>
      </c>
      <c r="E1400">
        <f t="shared" si="63"/>
        <v>723949.8</v>
      </c>
      <c r="F1400">
        <f t="shared" si="64"/>
        <v>383.15</v>
      </c>
      <c r="G1400">
        <f t="shared" si="65"/>
        <v>3.9856813282292594</v>
      </c>
    </row>
    <row r="1401" spans="1:7" x14ac:dyDescent="0.35">
      <c r="A1401">
        <v>105</v>
      </c>
      <c r="B1401">
        <v>240</v>
      </c>
      <c r="C1401">
        <v>4.0830000000000002</v>
      </c>
      <c r="E1401">
        <f t="shared" si="63"/>
        <v>723949.8</v>
      </c>
      <c r="F1401">
        <f t="shared" si="64"/>
        <v>388.70555555555552</v>
      </c>
      <c r="G1401">
        <f t="shared" si="65"/>
        <v>3.9232067739782988</v>
      </c>
    </row>
    <row r="1402" spans="1:7" x14ac:dyDescent="0.35">
      <c r="A1402">
        <v>105</v>
      </c>
      <c r="B1402">
        <v>250</v>
      </c>
      <c r="C1402">
        <v>4.1479999999999997</v>
      </c>
      <c r="E1402">
        <f t="shared" si="63"/>
        <v>723949.8</v>
      </c>
      <c r="F1402">
        <f t="shared" si="64"/>
        <v>394.26111111111106</v>
      </c>
      <c r="G1402">
        <f t="shared" si="65"/>
        <v>3.8617293293523129</v>
      </c>
    </row>
    <row r="1403" spans="1:7" x14ac:dyDescent="0.35">
      <c r="A1403">
        <v>105</v>
      </c>
      <c r="B1403">
        <v>260</v>
      </c>
      <c r="C1403">
        <v>4.2119999999999997</v>
      </c>
      <c r="E1403">
        <f t="shared" si="63"/>
        <v>723949.8</v>
      </c>
      <c r="F1403">
        <f t="shared" si="64"/>
        <v>399.81666666666666</v>
      </c>
      <c r="G1403">
        <f t="shared" si="65"/>
        <v>3.803051580758166</v>
      </c>
    </row>
    <row r="1404" spans="1:7" x14ac:dyDescent="0.35">
      <c r="A1404">
        <v>105</v>
      </c>
      <c r="B1404">
        <v>270</v>
      </c>
      <c r="C1404">
        <v>4.2759999999999998</v>
      </c>
      <c r="E1404">
        <f t="shared" si="63"/>
        <v>723949.8</v>
      </c>
      <c r="F1404">
        <f t="shared" si="64"/>
        <v>405.37222222222221</v>
      </c>
      <c r="G1404">
        <f t="shared" si="65"/>
        <v>3.7461303222996709</v>
      </c>
    </row>
    <row r="1405" spans="1:7" x14ac:dyDescent="0.35">
      <c r="A1405">
        <v>105</v>
      </c>
      <c r="B1405">
        <v>280</v>
      </c>
      <c r="C1405">
        <v>4.34</v>
      </c>
      <c r="E1405">
        <f t="shared" si="63"/>
        <v>723949.8</v>
      </c>
      <c r="F1405">
        <f t="shared" si="64"/>
        <v>410.92777777777775</v>
      </c>
      <c r="G1405">
        <f t="shared" si="65"/>
        <v>3.690887847500782</v>
      </c>
    </row>
    <row r="1406" spans="1:7" x14ac:dyDescent="0.35">
      <c r="A1406">
        <v>105</v>
      </c>
      <c r="B1406">
        <v>290</v>
      </c>
      <c r="C1406">
        <v>4.4029999999999996</v>
      </c>
      <c r="E1406">
        <f t="shared" si="63"/>
        <v>723949.8</v>
      </c>
      <c r="F1406">
        <f t="shared" si="64"/>
        <v>416.48333333333335</v>
      </c>
      <c r="G1406">
        <f t="shared" si="65"/>
        <v>3.6380770515905962</v>
      </c>
    </row>
    <row r="1407" spans="1:7" x14ac:dyDescent="0.35">
      <c r="A1407">
        <v>105</v>
      </c>
      <c r="B1407">
        <v>300</v>
      </c>
      <c r="C1407">
        <v>4.4660000000000002</v>
      </c>
      <c r="E1407">
        <f t="shared" si="63"/>
        <v>723949.8</v>
      </c>
      <c r="F1407">
        <f t="shared" si="64"/>
        <v>422.03888888888889</v>
      </c>
      <c r="G1407">
        <f t="shared" si="65"/>
        <v>3.5867562154396309</v>
      </c>
    </row>
    <row r="1408" spans="1:7" x14ac:dyDescent="0.35">
      <c r="A1408">
        <v>110</v>
      </c>
      <c r="B1408">
        <v>70</v>
      </c>
      <c r="C1408">
        <v>2.7610000000000001</v>
      </c>
      <c r="E1408">
        <f t="shared" si="63"/>
        <v>758423.6</v>
      </c>
      <c r="F1408">
        <f t="shared" si="64"/>
        <v>294.26111111111106</v>
      </c>
      <c r="G1408">
        <f t="shared" si="65"/>
        <v>5.8016853524641041</v>
      </c>
    </row>
    <row r="1409" spans="1:7" x14ac:dyDescent="0.35">
      <c r="A1409">
        <v>110</v>
      </c>
      <c r="B1409">
        <v>80</v>
      </c>
      <c r="C1409">
        <v>2.8370000000000002</v>
      </c>
      <c r="E1409">
        <f t="shared" si="63"/>
        <v>758423.6</v>
      </c>
      <c r="F1409">
        <f t="shared" si="64"/>
        <v>299.81666666666666</v>
      </c>
      <c r="G1409">
        <f t="shared" si="65"/>
        <v>5.646264807244763</v>
      </c>
    </row>
    <row r="1410" spans="1:7" x14ac:dyDescent="0.35">
      <c r="A1410">
        <v>110</v>
      </c>
      <c r="B1410">
        <v>90</v>
      </c>
      <c r="C1410">
        <v>2.91</v>
      </c>
      <c r="E1410">
        <f t="shared" ref="E1410:E1473" si="66">A1410*6894.76</f>
        <v>758423.6</v>
      </c>
      <c r="F1410">
        <f t="shared" si="64"/>
        <v>305.37222222222221</v>
      </c>
      <c r="G1410">
        <f t="shared" si="65"/>
        <v>5.5046231127674892</v>
      </c>
    </row>
    <row r="1411" spans="1:7" x14ac:dyDescent="0.35">
      <c r="A1411">
        <v>110</v>
      </c>
      <c r="B1411">
        <v>100</v>
      </c>
      <c r="C1411">
        <v>2.9809999999999999</v>
      </c>
      <c r="E1411">
        <f t="shared" si="66"/>
        <v>758423.6</v>
      </c>
      <c r="F1411">
        <f t="shared" ref="F1411:F1474" si="67">(B1411-32)*5/9+273.15</f>
        <v>310.92777777777775</v>
      </c>
      <c r="G1411">
        <f t="shared" ref="G1411:G1474" si="68">1/(C1411*0.062428)</f>
        <v>5.3735166917656478</v>
      </c>
    </row>
    <row r="1412" spans="1:7" x14ac:dyDescent="0.35">
      <c r="A1412">
        <v>110</v>
      </c>
      <c r="B1412">
        <v>110</v>
      </c>
      <c r="C1412">
        <v>3.0510000000000002</v>
      </c>
      <c r="E1412">
        <f t="shared" si="66"/>
        <v>758423.6</v>
      </c>
      <c r="F1412">
        <f t="shared" si="67"/>
        <v>316.48333333333329</v>
      </c>
      <c r="G1412">
        <f t="shared" si="68"/>
        <v>5.2502305008696792</v>
      </c>
    </row>
    <row r="1413" spans="1:7" x14ac:dyDescent="0.35">
      <c r="A1413">
        <v>110</v>
      </c>
      <c r="B1413">
        <v>120</v>
      </c>
      <c r="C1413">
        <v>3.12</v>
      </c>
      <c r="E1413">
        <f t="shared" si="66"/>
        <v>758423.6</v>
      </c>
      <c r="F1413">
        <f t="shared" si="67"/>
        <v>322.03888888888889</v>
      </c>
      <c r="G1413">
        <f t="shared" si="68"/>
        <v>5.1341196340235227</v>
      </c>
    </row>
    <row r="1414" spans="1:7" x14ac:dyDescent="0.35">
      <c r="A1414">
        <v>110</v>
      </c>
      <c r="B1414">
        <v>130</v>
      </c>
      <c r="C1414">
        <v>3.1880000000000002</v>
      </c>
      <c r="E1414">
        <f t="shared" si="66"/>
        <v>758423.6</v>
      </c>
      <c r="F1414">
        <f t="shared" si="67"/>
        <v>327.59444444444443</v>
      </c>
      <c r="G1414">
        <f t="shared" si="68"/>
        <v>5.0246089266478648</v>
      </c>
    </row>
    <row r="1415" spans="1:7" x14ac:dyDescent="0.35">
      <c r="A1415">
        <v>110</v>
      </c>
      <c r="B1415">
        <v>140</v>
      </c>
      <c r="C1415">
        <v>3.2549999999999999</v>
      </c>
      <c r="E1415">
        <f t="shared" si="66"/>
        <v>758423.6</v>
      </c>
      <c r="F1415">
        <f t="shared" si="67"/>
        <v>333.15</v>
      </c>
      <c r="G1415">
        <f t="shared" si="68"/>
        <v>4.9211837966677097</v>
      </c>
    </row>
    <row r="1416" spans="1:7" x14ac:dyDescent="0.35">
      <c r="A1416">
        <v>110</v>
      </c>
      <c r="B1416">
        <v>150</v>
      </c>
      <c r="C1416">
        <v>3.3210000000000002</v>
      </c>
      <c r="E1416">
        <f t="shared" si="66"/>
        <v>758423.6</v>
      </c>
      <c r="F1416">
        <f t="shared" si="67"/>
        <v>338.70555555555552</v>
      </c>
      <c r="G1416">
        <f t="shared" si="68"/>
        <v>4.8233824926688929</v>
      </c>
    </row>
    <row r="1417" spans="1:7" x14ac:dyDescent="0.35">
      <c r="A1417">
        <v>110</v>
      </c>
      <c r="B1417">
        <v>160</v>
      </c>
      <c r="C1417">
        <v>3.3860000000000001</v>
      </c>
      <c r="E1417">
        <f t="shared" si="66"/>
        <v>758423.6</v>
      </c>
      <c r="F1417">
        <f t="shared" si="67"/>
        <v>344.26111111111106</v>
      </c>
      <c r="G1417">
        <f t="shared" si="68"/>
        <v>4.7307895032939733</v>
      </c>
    </row>
    <row r="1418" spans="1:7" x14ac:dyDescent="0.35">
      <c r="A1418">
        <v>110</v>
      </c>
      <c r="B1418">
        <v>170</v>
      </c>
      <c r="C1418">
        <v>3.4510000000000001</v>
      </c>
      <c r="E1418">
        <f t="shared" si="66"/>
        <v>758423.6</v>
      </c>
      <c r="F1418">
        <f t="shared" si="67"/>
        <v>349.81666666666666</v>
      </c>
      <c r="G1418">
        <f t="shared" si="68"/>
        <v>4.6416845140983458</v>
      </c>
    </row>
    <row r="1419" spans="1:7" x14ac:dyDescent="0.35">
      <c r="A1419">
        <v>110</v>
      </c>
      <c r="B1419">
        <v>180</v>
      </c>
      <c r="C1419">
        <v>3.5150000000000001</v>
      </c>
      <c r="E1419">
        <f t="shared" si="66"/>
        <v>758423.6</v>
      </c>
      <c r="F1419">
        <f t="shared" si="67"/>
        <v>355.37222222222221</v>
      </c>
      <c r="G1419">
        <f t="shared" si="68"/>
        <v>4.5571702014661151</v>
      </c>
    </row>
    <row r="1420" spans="1:7" x14ac:dyDescent="0.35">
      <c r="A1420">
        <v>110</v>
      </c>
      <c r="B1420">
        <v>190</v>
      </c>
      <c r="C1420">
        <v>3.5790000000000002</v>
      </c>
      <c r="E1420">
        <f t="shared" si="66"/>
        <v>758423.6</v>
      </c>
      <c r="F1420">
        <f t="shared" si="67"/>
        <v>360.92777777777775</v>
      </c>
      <c r="G1420">
        <f t="shared" si="68"/>
        <v>4.4756784739182436</v>
      </c>
    </row>
    <row r="1421" spans="1:7" x14ac:dyDescent="0.35">
      <c r="A1421">
        <v>110</v>
      </c>
      <c r="B1421">
        <v>200</v>
      </c>
      <c r="C1421">
        <v>3.6419999999999999</v>
      </c>
      <c r="E1421">
        <f t="shared" si="66"/>
        <v>758423.6</v>
      </c>
      <c r="F1421">
        <f t="shared" si="67"/>
        <v>366.48333333333329</v>
      </c>
      <c r="G1421">
        <f t="shared" si="68"/>
        <v>4.3982573471041722</v>
      </c>
    </row>
    <row r="1422" spans="1:7" x14ac:dyDescent="0.35">
      <c r="A1422">
        <v>110</v>
      </c>
      <c r="B1422">
        <v>210</v>
      </c>
      <c r="C1422">
        <v>3.7050000000000001</v>
      </c>
      <c r="E1422">
        <f t="shared" si="66"/>
        <v>758423.6</v>
      </c>
      <c r="F1422">
        <f t="shared" si="67"/>
        <v>372.03888888888889</v>
      </c>
      <c r="G1422">
        <f t="shared" si="68"/>
        <v>4.3234691654934929</v>
      </c>
    </row>
    <row r="1423" spans="1:7" x14ac:dyDescent="0.35">
      <c r="A1423">
        <v>110</v>
      </c>
      <c r="B1423">
        <v>220</v>
      </c>
      <c r="C1423">
        <v>3.7679999999999998</v>
      </c>
      <c r="E1423">
        <f t="shared" si="66"/>
        <v>758423.6</v>
      </c>
      <c r="F1423">
        <f t="shared" si="67"/>
        <v>377.59444444444443</v>
      </c>
      <c r="G1423">
        <f t="shared" si="68"/>
        <v>4.2511818625672486</v>
      </c>
    </row>
    <row r="1424" spans="1:7" x14ac:dyDescent="0.35">
      <c r="A1424">
        <v>110</v>
      </c>
      <c r="B1424">
        <v>230</v>
      </c>
      <c r="C1424">
        <v>3.83</v>
      </c>
      <c r="E1424">
        <f t="shared" si="66"/>
        <v>758423.6</v>
      </c>
      <c r="F1424">
        <f t="shared" si="67"/>
        <v>383.15</v>
      </c>
      <c r="G1424">
        <f t="shared" si="68"/>
        <v>4.1823637749747764</v>
      </c>
    </row>
    <row r="1425" spans="1:7" x14ac:dyDescent="0.35">
      <c r="A1425">
        <v>110</v>
      </c>
      <c r="B1425">
        <v>240</v>
      </c>
      <c r="C1425">
        <v>3.8919999999999999</v>
      </c>
      <c r="E1425">
        <f t="shared" si="66"/>
        <v>758423.6</v>
      </c>
      <c r="F1425">
        <f t="shared" si="67"/>
        <v>388.70555555555552</v>
      </c>
      <c r="G1425">
        <f t="shared" si="68"/>
        <v>4.1157382472131028</v>
      </c>
    </row>
    <row r="1426" spans="1:7" x14ac:dyDescent="0.35">
      <c r="A1426">
        <v>110</v>
      </c>
      <c r="B1426">
        <v>250</v>
      </c>
      <c r="C1426">
        <v>3.9540000000000002</v>
      </c>
      <c r="E1426">
        <f t="shared" si="66"/>
        <v>758423.6</v>
      </c>
      <c r="F1426">
        <f t="shared" si="67"/>
        <v>394.26111111111106</v>
      </c>
      <c r="G1426">
        <f t="shared" si="68"/>
        <v>4.0512021391384403</v>
      </c>
    </row>
    <row r="1427" spans="1:7" x14ac:dyDescent="0.35">
      <c r="A1427">
        <v>110</v>
      </c>
      <c r="B1427">
        <v>260</v>
      </c>
      <c r="C1427">
        <v>4.0149999999999997</v>
      </c>
      <c r="E1427">
        <f t="shared" si="66"/>
        <v>758423.6</v>
      </c>
      <c r="F1427">
        <f t="shared" si="67"/>
        <v>399.81666666666666</v>
      </c>
      <c r="G1427">
        <f t="shared" si="68"/>
        <v>3.9896521190917542</v>
      </c>
    </row>
    <row r="1428" spans="1:7" x14ac:dyDescent="0.35">
      <c r="A1428">
        <v>110</v>
      </c>
      <c r="B1428">
        <v>270</v>
      </c>
      <c r="C1428">
        <v>4.0759999999999996</v>
      </c>
      <c r="E1428">
        <f t="shared" si="66"/>
        <v>758423.6</v>
      </c>
      <c r="F1428">
        <f t="shared" si="67"/>
        <v>405.37222222222221</v>
      </c>
      <c r="G1428">
        <f t="shared" si="68"/>
        <v>3.9299443714802247</v>
      </c>
    </row>
    <row r="1429" spans="1:7" x14ac:dyDescent="0.35">
      <c r="A1429">
        <v>110</v>
      </c>
      <c r="B1429">
        <v>280</v>
      </c>
      <c r="C1429">
        <v>4.1369999999999996</v>
      </c>
      <c r="E1429">
        <f t="shared" si="66"/>
        <v>758423.6</v>
      </c>
      <c r="F1429">
        <f t="shared" si="67"/>
        <v>410.92777777777775</v>
      </c>
      <c r="G1429">
        <f t="shared" si="68"/>
        <v>3.8719974034695182</v>
      </c>
    </row>
    <row r="1430" spans="1:7" x14ac:dyDescent="0.35">
      <c r="A1430">
        <v>110</v>
      </c>
      <c r="B1430">
        <v>290</v>
      </c>
      <c r="C1430">
        <v>4.1980000000000004</v>
      </c>
      <c r="E1430">
        <f t="shared" si="66"/>
        <v>758423.6</v>
      </c>
      <c r="F1430">
        <f t="shared" si="67"/>
        <v>416.48333333333335</v>
      </c>
      <c r="G1430">
        <f t="shared" si="68"/>
        <v>3.815734458826439</v>
      </c>
    </row>
    <row r="1431" spans="1:7" x14ac:dyDescent="0.35">
      <c r="A1431">
        <v>110</v>
      </c>
      <c r="B1431">
        <v>300</v>
      </c>
      <c r="C1431">
        <v>4.2590000000000003</v>
      </c>
      <c r="E1431">
        <f t="shared" si="66"/>
        <v>758423.6</v>
      </c>
      <c r="F1431">
        <f t="shared" si="67"/>
        <v>422.03888888888889</v>
      </c>
      <c r="G1431">
        <f t="shared" si="68"/>
        <v>3.7610831787164574</v>
      </c>
    </row>
    <row r="1432" spans="1:7" x14ac:dyDescent="0.35">
      <c r="A1432">
        <v>115</v>
      </c>
      <c r="B1432">
        <v>70</v>
      </c>
      <c r="C1432">
        <v>2.6280000000000001</v>
      </c>
      <c r="E1432">
        <f t="shared" si="66"/>
        <v>792897.4</v>
      </c>
      <c r="F1432">
        <f t="shared" si="67"/>
        <v>294.26111111111106</v>
      </c>
      <c r="G1432">
        <f t="shared" si="68"/>
        <v>6.0953018486124027</v>
      </c>
    </row>
    <row r="1433" spans="1:7" x14ac:dyDescent="0.35">
      <c r="A1433">
        <v>115</v>
      </c>
      <c r="B1433">
        <v>80</v>
      </c>
      <c r="C1433">
        <v>2.7010000000000001</v>
      </c>
      <c r="E1433">
        <f t="shared" si="66"/>
        <v>792897.4</v>
      </c>
      <c r="F1433">
        <f t="shared" si="67"/>
        <v>299.81666666666666</v>
      </c>
      <c r="G1433">
        <f t="shared" si="68"/>
        <v>5.9305639608120666</v>
      </c>
    </row>
    <row r="1434" spans="1:7" x14ac:dyDescent="0.35">
      <c r="A1434">
        <v>115</v>
      </c>
      <c r="B1434">
        <v>90</v>
      </c>
      <c r="C1434">
        <v>2.7719999999999998</v>
      </c>
      <c r="E1434">
        <f t="shared" si="66"/>
        <v>792897.4</v>
      </c>
      <c r="F1434">
        <f t="shared" si="67"/>
        <v>305.37222222222221</v>
      </c>
      <c r="G1434">
        <f t="shared" si="68"/>
        <v>5.7786627915416284</v>
      </c>
    </row>
    <row r="1435" spans="1:7" x14ac:dyDescent="0.35">
      <c r="A1435">
        <v>115</v>
      </c>
      <c r="B1435">
        <v>100</v>
      </c>
      <c r="C1435">
        <v>2.8410000000000002</v>
      </c>
      <c r="E1435">
        <f t="shared" si="66"/>
        <v>792897.4</v>
      </c>
      <c r="F1435">
        <f t="shared" si="67"/>
        <v>310.92777777777775</v>
      </c>
      <c r="G1435">
        <f t="shared" si="68"/>
        <v>5.6383151207861282</v>
      </c>
    </row>
    <row r="1436" spans="1:7" x14ac:dyDescent="0.35">
      <c r="A1436">
        <v>115</v>
      </c>
      <c r="B1436">
        <v>110</v>
      </c>
      <c r="C1436">
        <v>2.9089999999999998</v>
      </c>
      <c r="E1436">
        <f t="shared" si="66"/>
        <v>792897.4</v>
      </c>
      <c r="F1436">
        <f t="shared" si="67"/>
        <v>316.48333333333329</v>
      </c>
      <c r="G1436">
        <f t="shared" si="68"/>
        <v>5.5065153860960443</v>
      </c>
    </row>
    <row r="1437" spans="1:7" x14ac:dyDescent="0.35">
      <c r="A1437">
        <v>115</v>
      </c>
      <c r="B1437">
        <v>120</v>
      </c>
      <c r="C1437">
        <v>2.9750000000000001</v>
      </c>
      <c r="E1437">
        <f t="shared" si="66"/>
        <v>792897.4</v>
      </c>
      <c r="F1437">
        <f t="shared" si="67"/>
        <v>322.03888888888889</v>
      </c>
      <c r="G1437">
        <f t="shared" si="68"/>
        <v>5.3843540363540816</v>
      </c>
    </row>
    <row r="1438" spans="1:7" x14ac:dyDescent="0.35">
      <c r="A1438">
        <v>115</v>
      </c>
      <c r="B1438">
        <v>130</v>
      </c>
      <c r="C1438">
        <v>3.04</v>
      </c>
      <c r="E1438">
        <f t="shared" si="66"/>
        <v>792897.4</v>
      </c>
      <c r="F1438">
        <f t="shared" si="67"/>
        <v>327.59444444444443</v>
      </c>
      <c r="G1438">
        <f t="shared" si="68"/>
        <v>5.2692280454451952</v>
      </c>
    </row>
    <row r="1439" spans="1:7" x14ac:dyDescent="0.35">
      <c r="A1439">
        <v>115</v>
      </c>
      <c r="B1439">
        <v>140</v>
      </c>
      <c r="C1439">
        <v>3.105</v>
      </c>
      <c r="E1439">
        <f t="shared" si="66"/>
        <v>792897.4</v>
      </c>
      <c r="F1439">
        <f t="shared" si="67"/>
        <v>333.15</v>
      </c>
      <c r="G1439">
        <f t="shared" si="68"/>
        <v>5.1589221443328164</v>
      </c>
    </row>
    <row r="1440" spans="1:7" x14ac:dyDescent="0.35">
      <c r="A1440">
        <v>115</v>
      </c>
      <c r="B1440">
        <v>150</v>
      </c>
      <c r="C1440">
        <v>3.1680000000000001</v>
      </c>
      <c r="E1440">
        <f t="shared" si="66"/>
        <v>792897.4</v>
      </c>
      <c r="F1440">
        <f t="shared" si="67"/>
        <v>338.70555555555552</v>
      </c>
      <c r="G1440">
        <f t="shared" si="68"/>
        <v>5.0563299425989241</v>
      </c>
    </row>
    <row r="1441" spans="1:7" x14ac:dyDescent="0.35">
      <c r="A1441">
        <v>115</v>
      </c>
      <c r="B1441">
        <v>160</v>
      </c>
      <c r="C1441">
        <v>3.2309999999999999</v>
      </c>
      <c r="E1441">
        <f t="shared" si="66"/>
        <v>792897.4</v>
      </c>
      <c r="F1441">
        <f t="shared" si="67"/>
        <v>344.26111111111106</v>
      </c>
      <c r="G1441">
        <f t="shared" si="68"/>
        <v>4.9577385509605056</v>
      </c>
    </row>
    <row r="1442" spans="1:7" x14ac:dyDescent="0.35">
      <c r="A1442">
        <v>115</v>
      </c>
      <c r="B1442">
        <v>170</v>
      </c>
      <c r="C1442">
        <v>3.294</v>
      </c>
      <c r="E1442">
        <f t="shared" si="66"/>
        <v>792897.4</v>
      </c>
      <c r="F1442">
        <f t="shared" si="67"/>
        <v>349.81666666666666</v>
      </c>
      <c r="G1442">
        <f t="shared" si="68"/>
        <v>4.8629184147399496</v>
      </c>
    </row>
    <row r="1443" spans="1:7" x14ac:dyDescent="0.35">
      <c r="A1443">
        <v>115</v>
      </c>
      <c r="B1443">
        <v>180</v>
      </c>
      <c r="C1443">
        <v>3.355</v>
      </c>
      <c r="E1443">
        <f t="shared" si="66"/>
        <v>792897.4</v>
      </c>
      <c r="F1443">
        <f t="shared" si="67"/>
        <v>355.37222222222221</v>
      </c>
      <c r="G1443">
        <f t="shared" si="68"/>
        <v>4.774501716290132</v>
      </c>
    </row>
    <row r="1444" spans="1:7" x14ac:dyDescent="0.35">
      <c r="A1444">
        <v>115</v>
      </c>
      <c r="B1444">
        <v>190</v>
      </c>
      <c r="C1444">
        <v>3.4169999999999998</v>
      </c>
      <c r="E1444">
        <f t="shared" si="66"/>
        <v>792897.4</v>
      </c>
      <c r="F1444">
        <f t="shared" si="67"/>
        <v>360.92777777777775</v>
      </c>
      <c r="G1444">
        <f t="shared" si="68"/>
        <v>4.6878704296615146</v>
      </c>
    </row>
    <row r="1445" spans="1:7" x14ac:dyDescent="0.35">
      <c r="A1445">
        <v>115</v>
      </c>
      <c r="B1445">
        <v>200</v>
      </c>
      <c r="C1445">
        <v>3.4769999999999999</v>
      </c>
      <c r="E1445">
        <f t="shared" si="66"/>
        <v>792897.4</v>
      </c>
      <c r="F1445">
        <f t="shared" si="67"/>
        <v>366.48333333333329</v>
      </c>
      <c r="G1445">
        <f t="shared" si="68"/>
        <v>4.606975340279952</v>
      </c>
    </row>
    <row r="1446" spans="1:7" x14ac:dyDescent="0.35">
      <c r="A1446">
        <v>115</v>
      </c>
      <c r="B1446">
        <v>210</v>
      </c>
      <c r="C1446">
        <v>3.5379999999999998</v>
      </c>
      <c r="E1446">
        <f t="shared" si="66"/>
        <v>792897.4</v>
      </c>
      <c r="F1446">
        <f t="shared" si="67"/>
        <v>372.03888888888889</v>
      </c>
      <c r="G1446">
        <f t="shared" si="68"/>
        <v>4.5275447309647809</v>
      </c>
    </row>
    <row r="1447" spans="1:7" x14ac:dyDescent="0.35">
      <c r="A1447">
        <v>115</v>
      </c>
      <c r="B1447">
        <v>220</v>
      </c>
      <c r="C1447">
        <v>3.5979999999999999</v>
      </c>
      <c r="E1447">
        <f t="shared" si="66"/>
        <v>792897.4</v>
      </c>
      <c r="F1447">
        <f t="shared" si="67"/>
        <v>377.59444444444443</v>
      </c>
      <c r="G1447">
        <f t="shared" si="68"/>
        <v>4.4520437071021108</v>
      </c>
    </row>
    <row r="1448" spans="1:7" x14ac:dyDescent="0.35">
      <c r="A1448">
        <v>115</v>
      </c>
      <c r="B1448">
        <v>230</v>
      </c>
      <c r="C1448">
        <v>3.6579999999999999</v>
      </c>
      <c r="E1448">
        <f t="shared" si="66"/>
        <v>792897.4</v>
      </c>
      <c r="F1448">
        <f t="shared" si="67"/>
        <v>383.15</v>
      </c>
      <c r="G1448">
        <f t="shared" si="68"/>
        <v>4.3790194800856739</v>
      </c>
    </row>
    <row r="1449" spans="1:7" x14ac:dyDescent="0.35">
      <c r="A1449">
        <v>115</v>
      </c>
      <c r="B1449">
        <v>240</v>
      </c>
      <c r="C1449">
        <v>3.7170000000000001</v>
      </c>
      <c r="E1449">
        <f t="shared" si="66"/>
        <v>792897.4</v>
      </c>
      <c r="F1449">
        <f t="shared" si="67"/>
        <v>388.70555555555552</v>
      </c>
      <c r="G1449">
        <f t="shared" si="68"/>
        <v>4.3095112343700279</v>
      </c>
    </row>
    <row r="1450" spans="1:7" x14ac:dyDescent="0.35">
      <c r="A1450">
        <v>115</v>
      </c>
      <c r="B1450">
        <v>250</v>
      </c>
      <c r="C1450">
        <v>3.7759999999999998</v>
      </c>
      <c r="E1450">
        <f t="shared" si="66"/>
        <v>792897.4</v>
      </c>
      <c r="F1450">
        <f t="shared" si="67"/>
        <v>394.26111111111106</v>
      </c>
      <c r="G1450">
        <f t="shared" si="68"/>
        <v>4.2421751213329966</v>
      </c>
    </row>
    <row r="1451" spans="1:7" x14ac:dyDescent="0.35">
      <c r="A1451">
        <v>115</v>
      </c>
      <c r="B1451">
        <v>260</v>
      </c>
      <c r="C1451">
        <v>3.835</v>
      </c>
      <c r="E1451">
        <f t="shared" si="66"/>
        <v>792897.4</v>
      </c>
      <c r="F1451">
        <f t="shared" si="67"/>
        <v>399.81666666666666</v>
      </c>
      <c r="G1451">
        <f t="shared" si="68"/>
        <v>4.1769108886971038</v>
      </c>
    </row>
    <row r="1452" spans="1:7" x14ac:dyDescent="0.35">
      <c r="A1452">
        <v>115</v>
      </c>
      <c r="B1452">
        <v>270</v>
      </c>
      <c r="C1452">
        <v>3.8940000000000001</v>
      </c>
      <c r="E1452">
        <f t="shared" si="66"/>
        <v>792897.4</v>
      </c>
      <c r="F1452">
        <f t="shared" si="67"/>
        <v>405.37222222222221</v>
      </c>
      <c r="G1452">
        <f t="shared" si="68"/>
        <v>4.1136243600804807</v>
      </c>
    </row>
    <row r="1453" spans="1:7" x14ac:dyDescent="0.35">
      <c r="A1453">
        <v>115</v>
      </c>
      <c r="B1453">
        <v>280</v>
      </c>
      <c r="C1453">
        <v>3.952</v>
      </c>
      <c r="E1453">
        <f t="shared" si="66"/>
        <v>792897.4</v>
      </c>
      <c r="F1453">
        <f t="shared" si="67"/>
        <v>410.92777777777775</v>
      </c>
      <c r="G1453">
        <f t="shared" si="68"/>
        <v>4.0532523426501497</v>
      </c>
    </row>
    <row r="1454" spans="1:7" x14ac:dyDescent="0.35">
      <c r="A1454">
        <v>115</v>
      </c>
      <c r="B1454">
        <v>290</v>
      </c>
      <c r="C1454">
        <v>4.0110000000000001</v>
      </c>
      <c r="E1454">
        <f t="shared" si="66"/>
        <v>792897.4</v>
      </c>
      <c r="F1454">
        <f t="shared" si="67"/>
        <v>416.48333333333335</v>
      </c>
      <c r="G1454">
        <f t="shared" si="68"/>
        <v>3.9936308297565182</v>
      </c>
    </row>
    <row r="1455" spans="1:7" x14ac:dyDescent="0.35">
      <c r="A1455">
        <v>115</v>
      </c>
      <c r="B1455">
        <v>300</v>
      </c>
      <c r="C1455">
        <v>4.069</v>
      </c>
      <c r="E1455">
        <f t="shared" si="66"/>
        <v>792897.4</v>
      </c>
      <c r="F1455">
        <f t="shared" si="67"/>
        <v>422.03888888888889</v>
      </c>
      <c r="G1455">
        <f t="shared" si="68"/>
        <v>3.9367051506889639</v>
      </c>
    </row>
    <row r="1456" spans="1:7" x14ac:dyDescent="0.35">
      <c r="A1456">
        <v>120</v>
      </c>
      <c r="B1456">
        <v>70</v>
      </c>
      <c r="C1456">
        <v>2.5049999999999999</v>
      </c>
      <c r="E1456">
        <f t="shared" si="66"/>
        <v>827371.20000000007</v>
      </c>
      <c r="F1456">
        <f t="shared" si="67"/>
        <v>294.26111111111106</v>
      </c>
      <c r="G1456">
        <f t="shared" si="68"/>
        <v>6.3945921190233115</v>
      </c>
    </row>
    <row r="1457" spans="1:7" x14ac:dyDescent="0.35">
      <c r="A1457">
        <v>120</v>
      </c>
      <c r="B1457">
        <v>80</v>
      </c>
      <c r="C1457">
        <v>2.5760000000000001</v>
      </c>
      <c r="E1457">
        <f t="shared" si="66"/>
        <v>827371.20000000007</v>
      </c>
      <c r="F1457">
        <f t="shared" si="67"/>
        <v>299.81666666666666</v>
      </c>
      <c r="G1457">
        <f t="shared" si="68"/>
        <v>6.2183436561154481</v>
      </c>
    </row>
    <row r="1458" spans="1:7" x14ac:dyDescent="0.35">
      <c r="A1458">
        <v>120</v>
      </c>
      <c r="B1458">
        <v>90</v>
      </c>
      <c r="C1458">
        <v>2.645</v>
      </c>
      <c r="E1458">
        <f t="shared" si="66"/>
        <v>827371.20000000007</v>
      </c>
      <c r="F1458">
        <f t="shared" si="67"/>
        <v>305.37222222222221</v>
      </c>
      <c r="G1458">
        <f t="shared" si="68"/>
        <v>6.056125995521132</v>
      </c>
    </row>
    <row r="1459" spans="1:7" x14ac:dyDescent="0.35">
      <c r="A1459">
        <v>120</v>
      </c>
      <c r="B1459">
        <v>100</v>
      </c>
      <c r="C1459">
        <v>2.7120000000000002</v>
      </c>
      <c r="E1459">
        <f t="shared" si="66"/>
        <v>827371.20000000007</v>
      </c>
      <c r="F1459">
        <f t="shared" si="67"/>
        <v>310.92777777777775</v>
      </c>
      <c r="G1459">
        <f t="shared" si="68"/>
        <v>5.9065093134783888</v>
      </c>
    </row>
    <row r="1460" spans="1:7" x14ac:dyDescent="0.35">
      <c r="A1460">
        <v>120</v>
      </c>
      <c r="B1460">
        <v>110</v>
      </c>
      <c r="C1460">
        <v>2.778</v>
      </c>
      <c r="E1460">
        <f t="shared" si="66"/>
        <v>827371.20000000007</v>
      </c>
      <c r="F1460">
        <f t="shared" si="67"/>
        <v>316.48333333333329</v>
      </c>
      <c r="G1460">
        <f t="shared" si="68"/>
        <v>5.7661818783849501</v>
      </c>
    </row>
    <row r="1461" spans="1:7" x14ac:dyDescent="0.35">
      <c r="A1461">
        <v>120</v>
      </c>
      <c r="B1461">
        <v>120</v>
      </c>
      <c r="C1461">
        <v>2.8420000000000001</v>
      </c>
      <c r="E1461">
        <f t="shared" si="66"/>
        <v>827371.20000000007</v>
      </c>
      <c r="F1461">
        <f t="shared" si="67"/>
        <v>322.03888888888889</v>
      </c>
      <c r="G1461">
        <f t="shared" si="68"/>
        <v>5.6363311956908495</v>
      </c>
    </row>
    <row r="1462" spans="1:7" x14ac:dyDescent="0.35">
      <c r="A1462">
        <v>120</v>
      </c>
      <c r="B1462">
        <v>130</v>
      </c>
      <c r="C1462">
        <v>2.9049999999999998</v>
      </c>
      <c r="E1462">
        <f t="shared" si="66"/>
        <v>827371.20000000007</v>
      </c>
      <c r="F1462">
        <f t="shared" si="67"/>
        <v>327.59444444444443</v>
      </c>
      <c r="G1462">
        <f t="shared" si="68"/>
        <v>5.5140975071096028</v>
      </c>
    </row>
    <row r="1463" spans="1:7" x14ac:dyDescent="0.35">
      <c r="A1463">
        <v>120</v>
      </c>
      <c r="B1463">
        <v>140</v>
      </c>
      <c r="C1463">
        <v>2.9670000000000001</v>
      </c>
      <c r="E1463">
        <f t="shared" si="66"/>
        <v>827371.20000000007</v>
      </c>
      <c r="F1463">
        <f t="shared" si="67"/>
        <v>333.15</v>
      </c>
      <c r="G1463">
        <f t="shared" si="68"/>
        <v>5.3988720115110862</v>
      </c>
    </row>
    <row r="1464" spans="1:7" x14ac:dyDescent="0.35">
      <c r="A1464">
        <v>120</v>
      </c>
      <c r="B1464">
        <v>150</v>
      </c>
      <c r="C1464">
        <v>3.0289999999999999</v>
      </c>
      <c r="E1464">
        <f t="shared" si="66"/>
        <v>827371.20000000007</v>
      </c>
      <c r="F1464">
        <f t="shared" si="67"/>
        <v>338.70555555555552</v>
      </c>
      <c r="G1464">
        <f t="shared" si="68"/>
        <v>5.2883635715263759</v>
      </c>
    </row>
    <row r="1465" spans="1:7" x14ac:dyDescent="0.35">
      <c r="A1465">
        <v>120</v>
      </c>
      <c r="B1465">
        <v>160</v>
      </c>
      <c r="C1465">
        <v>3.089</v>
      </c>
      <c r="E1465">
        <f t="shared" si="66"/>
        <v>827371.20000000007</v>
      </c>
      <c r="F1465">
        <f t="shared" si="67"/>
        <v>344.26111111111106</v>
      </c>
      <c r="G1465">
        <f t="shared" si="68"/>
        <v>5.1856436575439924</v>
      </c>
    </row>
    <row r="1466" spans="1:7" x14ac:dyDescent="0.35">
      <c r="A1466">
        <v>120</v>
      </c>
      <c r="B1466">
        <v>170</v>
      </c>
      <c r="C1466">
        <v>3.149</v>
      </c>
      <c r="E1466">
        <f t="shared" si="66"/>
        <v>827371.20000000007</v>
      </c>
      <c r="F1466">
        <f t="shared" si="67"/>
        <v>349.81666666666666</v>
      </c>
      <c r="G1466">
        <f t="shared" si="68"/>
        <v>5.0868381258029194</v>
      </c>
    </row>
    <row r="1467" spans="1:7" x14ac:dyDescent="0.35">
      <c r="A1467">
        <v>120</v>
      </c>
      <c r="B1467">
        <v>180</v>
      </c>
      <c r="C1467">
        <v>3.2090000000000001</v>
      </c>
      <c r="E1467">
        <f t="shared" si="66"/>
        <v>827371.20000000007</v>
      </c>
      <c r="F1467">
        <f t="shared" si="67"/>
        <v>355.37222222222221</v>
      </c>
      <c r="G1467">
        <f t="shared" si="68"/>
        <v>4.9917274098327811</v>
      </c>
    </row>
    <row r="1468" spans="1:7" x14ac:dyDescent="0.35">
      <c r="A1468">
        <v>120</v>
      </c>
      <c r="B1468">
        <v>190</v>
      </c>
      <c r="C1468">
        <v>3.2679999999999998</v>
      </c>
      <c r="E1468">
        <f t="shared" si="66"/>
        <v>827371.20000000007</v>
      </c>
      <c r="F1468">
        <f t="shared" si="67"/>
        <v>360.92777777777775</v>
      </c>
      <c r="G1468">
        <f t="shared" si="68"/>
        <v>4.9016074841350656</v>
      </c>
    </row>
    <row r="1469" spans="1:7" x14ac:dyDescent="0.35">
      <c r="A1469">
        <v>120</v>
      </c>
      <c r="B1469">
        <v>200</v>
      </c>
      <c r="C1469">
        <v>3.3260000000000001</v>
      </c>
      <c r="E1469">
        <f t="shared" si="66"/>
        <v>827371.20000000007</v>
      </c>
      <c r="F1469">
        <f t="shared" si="67"/>
        <v>366.48333333333329</v>
      </c>
      <c r="G1469">
        <f t="shared" si="68"/>
        <v>4.8161314666726982</v>
      </c>
    </row>
    <row r="1470" spans="1:7" x14ac:dyDescent="0.35">
      <c r="A1470">
        <v>120</v>
      </c>
      <c r="B1470">
        <v>210</v>
      </c>
      <c r="C1470">
        <v>3.3849999999999998</v>
      </c>
      <c r="E1470">
        <f t="shared" si="66"/>
        <v>827371.20000000007</v>
      </c>
      <c r="F1470">
        <f t="shared" si="67"/>
        <v>372.03888888888889</v>
      </c>
      <c r="G1470">
        <f t="shared" si="68"/>
        <v>4.732187077741032</v>
      </c>
    </row>
    <row r="1471" spans="1:7" x14ac:dyDescent="0.35">
      <c r="A1471">
        <v>120</v>
      </c>
      <c r="B1471">
        <v>220</v>
      </c>
      <c r="C1471">
        <v>3.4420000000000002</v>
      </c>
      <c r="E1471">
        <f t="shared" si="66"/>
        <v>827371.20000000007</v>
      </c>
      <c r="F1471">
        <f t="shared" si="67"/>
        <v>377.59444444444443</v>
      </c>
      <c r="G1471">
        <f t="shared" si="68"/>
        <v>4.6538213998121423</v>
      </c>
    </row>
    <row r="1472" spans="1:7" x14ac:dyDescent="0.35">
      <c r="A1472">
        <v>120</v>
      </c>
      <c r="B1472">
        <v>230</v>
      </c>
      <c r="C1472">
        <v>3.5</v>
      </c>
      <c r="E1472">
        <f t="shared" si="66"/>
        <v>827371.20000000007</v>
      </c>
      <c r="F1472">
        <f t="shared" si="67"/>
        <v>383.15</v>
      </c>
      <c r="G1472">
        <f t="shared" si="68"/>
        <v>4.5767009309009694</v>
      </c>
    </row>
    <row r="1473" spans="1:7" x14ac:dyDescent="0.35">
      <c r="A1473">
        <v>120</v>
      </c>
      <c r="B1473">
        <v>240</v>
      </c>
      <c r="C1473">
        <v>3.5569999999999999</v>
      </c>
      <c r="E1473">
        <f t="shared" si="66"/>
        <v>827371.20000000007</v>
      </c>
      <c r="F1473">
        <f t="shared" si="67"/>
        <v>388.70555555555552</v>
      </c>
      <c r="G1473">
        <f t="shared" si="68"/>
        <v>4.5033604886571252</v>
      </c>
    </row>
    <row r="1474" spans="1:7" x14ac:dyDescent="0.35">
      <c r="A1474">
        <v>120</v>
      </c>
      <c r="B1474">
        <v>250</v>
      </c>
      <c r="C1474">
        <v>3.6139999999999999</v>
      </c>
      <c r="E1474">
        <f t="shared" ref="E1474:E1537" si="69">A1474*6894.76</f>
        <v>827371.20000000007</v>
      </c>
      <c r="F1474">
        <f t="shared" si="67"/>
        <v>394.26111111111106</v>
      </c>
      <c r="G1474">
        <f t="shared" si="68"/>
        <v>4.4323334969987256</v>
      </c>
    </row>
    <row r="1475" spans="1:7" x14ac:dyDescent="0.35">
      <c r="A1475">
        <v>120</v>
      </c>
      <c r="B1475">
        <v>260</v>
      </c>
      <c r="C1475">
        <v>3.6709999999999998</v>
      </c>
      <c r="E1475">
        <f t="shared" si="69"/>
        <v>827371.20000000007</v>
      </c>
      <c r="F1475">
        <f t="shared" ref="F1475:F1538" si="70">(B1475-32)*5/9+273.15</f>
        <v>399.81666666666666</v>
      </c>
      <c r="G1475">
        <f t="shared" ref="G1475:G1538" si="71">1/(C1475*0.062428)</f>
        <v>4.3635121923599547</v>
      </c>
    </row>
    <row r="1476" spans="1:7" x14ac:dyDescent="0.35">
      <c r="A1476">
        <v>120</v>
      </c>
      <c r="B1476">
        <v>270</v>
      </c>
      <c r="C1476">
        <v>3.7269999999999999</v>
      </c>
      <c r="E1476">
        <f t="shared" si="69"/>
        <v>827371.20000000007</v>
      </c>
      <c r="F1476">
        <f t="shared" si="70"/>
        <v>405.37222222222221</v>
      </c>
      <c r="G1476">
        <f t="shared" si="71"/>
        <v>4.2979482849888369</v>
      </c>
    </row>
    <row r="1477" spans="1:7" x14ac:dyDescent="0.35">
      <c r="A1477">
        <v>120</v>
      </c>
      <c r="B1477">
        <v>280</v>
      </c>
      <c r="C1477">
        <v>3.7829999999999999</v>
      </c>
      <c r="E1477">
        <f t="shared" si="69"/>
        <v>827371.20000000007</v>
      </c>
      <c r="F1477">
        <f t="shared" si="70"/>
        <v>410.92777777777775</v>
      </c>
      <c r="G1477">
        <f t="shared" si="71"/>
        <v>4.2343254713596075</v>
      </c>
    </row>
    <row r="1478" spans="1:7" x14ac:dyDescent="0.35">
      <c r="A1478">
        <v>120</v>
      </c>
      <c r="B1478">
        <v>290</v>
      </c>
      <c r="C1478">
        <v>3.839</v>
      </c>
      <c r="E1478">
        <f t="shared" si="69"/>
        <v>827371.20000000007</v>
      </c>
      <c r="F1478">
        <f t="shared" si="70"/>
        <v>416.48333333333335</v>
      </c>
      <c r="G1478">
        <f t="shared" si="71"/>
        <v>4.1725588064999721</v>
      </c>
    </row>
    <row r="1479" spans="1:7" x14ac:dyDescent="0.35">
      <c r="A1479">
        <v>120</v>
      </c>
      <c r="B1479">
        <v>300</v>
      </c>
      <c r="C1479">
        <v>3.895</v>
      </c>
      <c r="E1479">
        <f t="shared" si="69"/>
        <v>827371.20000000007</v>
      </c>
      <c r="F1479">
        <f t="shared" si="70"/>
        <v>422.03888888888889</v>
      </c>
      <c r="G1479">
        <f t="shared" si="71"/>
        <v>4.1125682305913722</v>
      </c>
    </row>
    <row r="1480" spans="1:7" x14ac:dyDescent="0.35">
      <c r="A1480">
        <v>125</v>
      </c>
      <c r="B1480">
        <v>70</v>
      </c>
      <c r="C1480">
        <v>2.3919999999999999</v>
      </c>
      <c r="E1480">
        <f t="shared" si="69"/>
        <v>861845</v>
      </c>
      <c r="F1480">
        <f t="shared" si="70"/>
        <v>294.26111111111106</v>
      </c>
      <c r="G1480">
        <f t="shared" si="71"/>
        <v>6.6966777835089433</v>
      </c>
    </row>
    <row r="1481" spans="1:7" x14ac:dyDescent="0.35">
      <c r="A1481">
        <v>125</v>
      </c>
      <c r="B1481">
        <v>80</v>
      </c>
      <c r="C1481">
        <v>2.4609999999999999</v>
      </c>
      <c r="E1481">
        <f t="shared" si="69"/>
        <v>861845</v>
      </c>
      <c r="F1481">
        <f t="shared" si="70"/>
        <v>299.81666666666666</v>
      </c>
      <c r="G1481">
        <f t="shared" si="71"/>
        <v>6.5089204624759827</v>
      </c>
    </row>
    <row r="1482" spans="1:7" x14ac:dyDescent="0.35">
      <c r="A1482">
        <v>125</v>
      </c>
      <c r="B1482">
        <v>90</v>
      </c>
      <c r="C1482">
        <v>2.528</v>
      </c>
      <c r="E1482">
        <f t="shared" si="69"/>
        <v>861845</v>
      </c>
      <c r="F1482">
        <f t="shared" si="70"/>
        <v>305.37222222222221</v>
      </c>
      <c r="G1482">
        <f t="shared" si="71"/>
        <v>6.3364134723708041</v>
      </c>
    </row>
    <row r="1483" spans="1:7" x14ac:dyDescent="0.35">
      <c r="A1483">
        <v>125</v>
      </c>
      <c r="B1483">
        <v>100</v>
      </c>
      <c r="C1483">
        <v>2.593</v>
      </c>
      <c r="E1483">
        <f t="shared" si="69"/>
        <v>861845</v>
      </c>
      <c r="F1483">
        <f t="shared" si="70"/>
        <v>310.92777777777775</v>
      </c>
      <c r="G1483">
        <f t="shared" si="71"/>
        <v>6.1775754948528325</v>
      </c>
    </row>
    <row r="1484" spans="1:7" x14ac:dyDescent="0.35">
      <c r="A1484">
        <v>125</v>
      </c>
      <c r="B1484">
        <v>110</v>
      </c>
      <c r="C1484">
        <v>2.657</v>
      </c>
      <c r="E1484">
        <f t="shared" si="69"/>
        <v>861845</v>
      </c>
      <c r="F1484">
        <f t="shared" si="70"/>
        <v>316.48333333333329</v>
      </c>
      <c r="G1484">
        <f t="shared" si="71"/>
        <v>6.0287742785673286</v>
      </c>
    </row>
    <row r="1485" spans="1:7" x14ac:dyDescent="0.35">
      <c r="A1485">
        <v>125</v>
      </c>
      <c r="B1485">
        <v>120</v>
      </c>
      <c r="C1485">
        <v>2.7189999999999999</v>
      </c>
      <c r="E1485">
        <f t="shared" si="69"/>
        <v>861845</v>
      </c>
      <c r="F1485">
        <f t="shared" si="70"/>
        <v>322.03888888888889</v>
      </c>
      <c r="G1485">
        <f t="shared" si="71"/>
        <v>5.8913031475371076</v>
      </c>
    </row>
    <row r="1486" spans="1:7" x14ac:dyDescent="0.35">
      <c r="A1486">
        <v>125</v>
      </c>
      <c r="B1486">
        <v>130</v>
      </c>
      <c r="C1486">
        <v>2.78</v>
      </c>
      <c r="E1486">
        <f t="shared" si="69"/>
        <v>861845</v>
      </c>
      <c r="F1486">
        <f t="shared" si="70"/>
        <v>327.59444444444443</v>
      </c>
      <c r="G1486">
        <f t="shared" si="71"/>
        <v>5.7620335460983432</v>
      </c>
    </row>
    <row r="1487" spans="1:7" x14ac:dyDescent="0.35">
      <c r="A1487">
        <v>125</v>
      </c>
      <c r="B1487">
        <v>140</v>
      </c>
      <c r="C1487">
        <v>2.84</v>
      </c>
      <c r="E1487">
        <f t="shared" si="69"/>
        <v>861845</v>
      </c>
      <c r="F1487">
        <f t="shared" si="70"/>
        <v>333.15</v>
      </c>
      <c r="G1487">
        <f t="shared" si="71"/>
        <v>5.6403004430117587</v>
      </c>
    </row>
    <row r="1488" spans="1:7" x14ac:dyDescent="0.35">
      <c r="A1488">
        <v>125</v>
      </c>
      <c r="B1488">
        <v>150</v>
      </c>
      <c r="C1488">
        <v>2.9</v>
      </c>
      <c r="E1488">
        <f t="shared" si="69"/>
        <v>861845</v>
      </c>
      <c r="F1488">
        <f t="shared" si="70"/>
        <v>338.70555555555552</v>
      </c>
      <c r="G1488">
        <f t="shared" si="71"/>
        <v>5.5236045717770326</v>
      </c>
    </row>
    <row r="1489" spans="1:7" x14ac:dyDescent="0.35">
      <c r="A1489">
        <v>125</v>
      </c>
      <c r="B1489">
        <v>160</v>
      </c>
      <c r="C1489">
        <v>2.9580000000000002</v>
      </c>
      <c r="E1489">
        <f t="shared" si="69"/>
        <v>861845</v>
      </c>
      <c r="F1489">
        <f t="shared" si="70"/>
        <v>344.26111111111106</v>
      </c>
      <c r="G1489">
        <f t="shared" si="71"/>
        <v>5.415298599781404</v>
      </c>
    </row>
    <row r="1490" spans="1:7" x14ac:dyDescent="0.35">
      <c r="A1490">
        <v>125</v>
      </c>
      <c r="B1490">
        <v>170</v>
      </c>
      <c r="C1490">
        <v>3.016</v>
      </c>
      <c r="E1490">
        <f t="shared" si="69"/>
        <v>861845</v>
      </c>
      <c r="F1490">
        <f t="shared" si="70"/>
        <v>349.81666666666666</v>
      </c>
      <c r="G1490">
        <f t="shared" si="71"/>
        <v>5.3111582420932999</v>
      </c>
    </row>
    <row r="1491" spans="1:7" x14ac:dyDescent="0.35">
      <c r="A1491">
        <v>125</v>
      </c>
      <c r="B1491">
        <v>180</v>
      </c>
      <c r="C1491">
        <v>3.0739999999999998</v>
      </c>
      <c r="E1491">
        <f t="shared" si="69"/>
        <v>861845</v>
      </c>
      <c r="F1491">
        <f t="shared" si="70"/>
        <v>355.37222222222221</v>
      </c>
      <c r="G1491">
        <f t="shared" si="71"/>
        <v>5.2109477092236158</v>
      </c>
    </row>
    <row r="1492" spans="1:7" x14ac:dyDescent="0.35">
      <c r="A1492">
        <v>125</v>
      </c>
      <c r="B1492">
        <v>190</v>
      </c>
      <c r="C1492">
        <v>3.1309999999999998</v>
      </c>
      <c r="E1492">
        <f t="shared" si="69"/>
        <v>861845</v>
      </c>
      <c r="F1492">
        <f t="shared" si="70"/>
        <v>360.92777777777775</v>
      </c>
      <c r="G1492">
        <f t="shared" si="71"/>
        <v>5.1160821648525694</v>
      </c>
    </row>
    <row r="1493" spans="1:7" x14ac:dyDescent="0.35">
      <c r="A1493">
        <v>125</v>
      </c>
      <c r="B1493">
        <v>200</v>
      </c>
      <c r="C1493">
        <v>3.1869999999999998</v>
      </c>
      <c r="E1493">
        <f t="shared" si="69"/>
        <v>861845</v>
      </c>
      <c r="F1493">
        <f t="shared" si="70"/>
        <v>366.48333333333329</v>
      </c>
      <c r="G1493">
        <f t="shared" si="71"/>
        <v>5.0261855218554734</v>
      </c>
    </row>
    <row r="1494" spans="1:7" x14ac:dyDescent="0.35">
      <c r="A1494">
        <v>125</v>
      </c>
      <c r="B1494">
        <v>210</v>
      </c>
      <c r="C1494">
        <v>3.2429999999999999</v>
      </c>
      <c r="E1494">
        <f t="shared" si="69"/>
        <v>861845</v>
      </c>
      <c r="F1494">
        <f t="shared" si="70"/>
        <v>372.03888888888889</v>
      </c>
      <c r="G1494">
        <f t="shared" si="71"/>
        <v>4.9393935424463127</v>
      </c>
    </row>
    <row r="1495" spans="1:7" x14ac:dyDescent="0.35">
      <c r="A1495">
        <v>125</v>
      </c>
      <c r="B1495">
        <v>220</v>
      </c>
      <c r="C1495">
        <v>3.2989999999999999</v>
      </c>
      <c r="E1495">
        <f t="shared" si="69"/>
        <v>861845</v>
      </c>
      <c r="F1495">
        <f t="shared" si="70"/>
        <v>377.59444444444443</v>
      </c>
      <c r="G1495">
        <f t="shared" si="71"/>
        <v>4.8555481231140938</v>
      </c>
    </row>
    <row r="1496" spans="1:7" x14ac:dyDescent="0.35">
      <c r="A1496">
        <v>125</v>
      </c>
      <c r="B1496">
        <v>230</v>
      </c>
      <c r="C1496">
        <v>3.3540000000000001</v>
      </c>
      <c r="E1496">
        <f t="shared" si="69"/>
        <v>861845</v>
      </c>
      <c r="F1496">
        <f t="shared" si="70"/>
        <v>383.15</v>
      </c>
      <c r="G1496">
        <f t="shared" si="71"/>
        <v>4.7759252409521151</v>
      </c>
    </row>
    <row r="1497" spans="1:7" x14ac:dyDescent="0.35">
      <c r="A1497">
        <v>125</v>
      </c>
      <c r="B1497">
        <v>240</v>
      </c>
      <c r="C1497">
        <v>3.4089999999999998</v>
      </c>
      <c r="E1497">
        <f t="shared" si="69"/>
        <v>861845</v>
      </c>
      <c r="F1497">
        <f t="shared" si="70"/>
        <v>388.70555555555552</v>
      </c>
      <c r="G1497">
        <f t="shared" si="71"/>
        <v>4.6988715923007902</v>
      </c>
    </row>
    <row r="1498" spans="1:7" x14ac:dyDescent="0.35">
      <c r="A1498">
        <v>125</v>
      </c>
      <c r="B1498">
        <v>250</v>
      </c>
      <c r="C1498">
        <v>3.464</v>
      </c>
      <c r="E1498">
        <f t="shared" si="69"/>
        <v>861845</v>
      </c>
      <c r="F1498">
        <f t="shared" si="70"/>
        <v>394.26111111111106</v>
      </c>
      <c r="G1498">
        <f t="shared" si="71"/>
        <v>4.6242647973883928</v>
      </c>
    </row>
    <row r="1499" spans="1:7" x14ac:dyDescent="0.35">
      <c r="A1499">
        <v>125</v>
      </c>
      <c r="B1499">
        <v>260</v>
      </c>
      <c r="C1499">
        <v>3.5190000000000001</v>
      </c>
      <c r="E1499">
        <f t="shared" si="69"/>
        <v>861845</v>
      </c>
      <c r="F1499">
        <f t="shared" si="70"/>
        <v>399.81666666666666</v>
      </c>
      <c r="G1499">
        <f t="shared" si="71"/>
        <v>4.5519901273524841</v>
      </c>
    </row>
    <row r="1500" spans="1:7" x14ac:dyDescent="0.35">
      <c r="A1500">
        <v>125</v>
      </c>
      <c r="B1500">
        <v>270</v>
      </c>
      <c r="C1500">
        <v>3.573</v>
      </c>
      <c r="E1500">
        <f t="shared" si="69"/>
        <v>861845</v>
      </c>
      <c r="F1500">
        <f t="shared" si="70"/>
        <v>405.37222222222221</v>
      </c>
      <c r="G1500">
        <f t="shared" si="71"/>
        <v>4.4831943067879632</v>
      </c>
    </row>
    <row r="1501" spans="1:7" x14ac:dyDescent="0.35">
      <c r="A1501">
        <v>125</v>
      </c>
      <c r="B1501">
        <v>280</v>
      </c>
      <c r="C1501">
        <v>3.6269999999999998</v>
      </c>
      <c r="E1501">
        <f t="shared" si="69"/>
        <v>861845</v>
      </c>
      <c r="F1501">
        <f t="shared" si="70"/>
        <v>410.92777777777775</v>
      </c>
      <c r="G1501">
        <f t="shared" si="71"/>
        <v>4.4164469970094826</v>
      </c>
    </row>
    <row r="1502" spans="1:7" x14ac:dyDescent="0.35">
      <c r="A1502">
        <v>125</v>
      </c>
      <c r="B1502">
        <v>290</v>
      </c>
      <c r="C1502">
        <v>3.681</v>
      </c>
      <c r="E1502">
        <f t="shared" si="69"/>
        <v>861845</v>
      </c>
      <c r="F1502">
        <f t="shared" si="70"/>
        <v>416.48333333333335</v>
      </c>
      <c r="G1502">
        <f t="shared" si="71"/>
        <v>4.3516580435081211</v>
      </c>
    </row>
    <row r="1503" spans="1:7" x14ac:dyDescent="0.35">
      <c r="A1503">
        <v>125</v>
      </c>
      <c r="B1503">
        <v>300</v>
      </c>
      <c r="C1503">
        <v>3.7349999999999999</v>
      </c>
      <c r="E1503">
        <f t="shared" si="69"/>
        <v>861845</v>
      </c>
      <c r="F1503">
        <f t="shared" si="70"/>
        <v>422.03888888888889</v>
      </c>
      <c r="G1503">
        <f t="shared" si="71"/>
        <v>4.2887425055296902</v>
      </c>
    </row>
    <row r="1504" spans="1:7" x14ac:dyDescent="0.35">
      <c r="A1504">
        <v>125</v>
      </c>
      <c r="B1504">
        <v>320</v>
      </c>
      <c r="C1504">
        <v>3.8420000000000001</v>
      </c>
      <c r="E1504">
        <f t="shared" si="69"/>
        <v>861845</v>
      </c>
      <c r="F1504">
        <f t="shared" si="70"/>
        <v>433.15</v>
      </c>
      <c r="G1504">
        <f t="shared" si="71"/>
        <v>4.1693006918670985</v>
      </c>
    </row>
    <row r="1505" spans="1:7" x14ac:dyDescent="0.35">
      <c r="A1505">
        <v>130</v>
      </c>
      <c r="B1505">
        <v>80</v>
      </c>
      <c r="C1505">
        <v>2.355</v>
      </c>
      <c r="E1505">
        <f t="shared" si="69"/>
        <v>896318.8</v>
      </c>
      <c r="F1505">
        <f t="shared" si="70"/>
        <v>299.81666666666666</v>
      </c>
      <c r="G1505">
        <f t="shared" si="71"/>
        <v>6.8018909801075988</v>
      </c>
    </row>
    <row r="1506" spans="1:7" x14ac:dyDescent="0.35">
      <c r="A1506">
        <v>130</v>
      </c>
      <c r="B1506">
        <v>90</v>
      </c>
      <c r="C1506">
        <v>2.4209999999999998</v>
      </c>
      <c r="E1506">
        <f t="shared" si="69"/>
        <v>896318.8</v>
      </c>
      <c r="F1506">
        <f t="shared" si="70"/>
        <v>305.37222222222221</v>
      </c>
      <c r="G1506">
        <f t="shared" si="71"/>
        <v>6.6164614862261031</v>
      </c>
    </row>
    <row r="1507" spans="1:7" x14ac:dyDescent="0.35">
      <c r="A1507">
        <v>130</v>
      </c>
      <c r="B1507">
        <v>100</v>
      </c>
      <c r="C1507">
        <v>2.484</v>
      </c>
      <c r="E1507">
        <f t="shared" si="69"/>
        <v>896318.8</v>
      </c>
      <c r="F1507">
        <f t="shared" si="70"/>
        <v>310.92777777777775</v>
      </c>
      <c r="G1507">
        <f t="shared" si="71"/>
        <v>6.4486526804160205</v>
      </c>
    </row>
    <row r="1508" spans="1:7" x14ac:dyDescent="0.35">
      <c r="A1508">
        <v>130</v>
      </c>
      <c r="B1508">
        <v>110</v>
      </c>
      <c r="C1508">
        <v>2.5459999999999998</v>
      </c>
      <c r="E1508">
        <f t="shared" si="69"/>
        <v>896318.8</v>
      </c>
      <c r="F1508">
        <f t="shared" si="70"/>
        <v>316.48333333333329</v>
      </c>
      <c r="G1508">
        <f t="shared" si="71"/>
        <v>6.2916155766509805</v>
      </c>
    </row>
    <row r="1509" spans="1:7" x14ac:dyDescent="0.35">
      <c r="A1509">
        <v>130</v>
      </c>
      <c r="B1509">
        <v>120</v>
      </c>
      <c r="C1509">
        <v>2.6059999999999999</v>
      </c>
      <c r="E1509">
        <f t="shared" si="69"/>
        <v>896318.8</v>
      </c>
      <c r="F1509">
        <f t="shared" si="70"/>
        <v>322.03888888888889</v>
      </c>
      <c r="G1509">
        <f t="shared" si="71"/>
        <v>6.1467587329828826</v>
      </c>
    </row>
    <row r="1510" spans="1:7" x14ac:dyDescent="0.35">
      <c r="A1510">
        <v>130</v>
      </c>
      <c r="B1510">
        <v>130</v>
      </c>
      <c r="C1510">
        <v>2.665</v>
      </c>
      <c r="E1510">
        <f t="shared" si="69"/>
        <v>896318.8</v>
      </c>
      <c r="F1510">
        <f t="shared" si="70"/>
        <v>327.59444444444443</v>
      </c>
      <c r="G1510">
        <f t="shared" si="71"/>
        <v>6.0106766447104665</v>
      </c>
    </row>
    <row r="1511" spans="1:7" x14ac:dyDescent="0.35">
      <c r="A1511">
        <v>130</v>
      </c>
      <c r="B1511">
        <v>140</v>
      </c>
      <c r="C1511">
        <v>2.7240000000000002</v>
      </c>
      <c r="E1511">
        <f t="shared" si="69"/>
        <v>896318.8</v>
      </c>
      <c r="F1511">
        <f t="shared" si="70"/>
        <v>333.15</v>
      </c>
      <c r="G1511">
        <f t="shared" si="71"/>
        <v>5.8804894486613044</v>
      </c>
    </row>
    <row r="1512" spans="1:7" x14ac:dyDescent="0.35">
      <c r="A1512">
        <v>130</v>
      </c>
      <c r="B1512">
        <v>150</v>
      </c>
      <c r="C1512">
        <v>2.7810000000000001</v>
      </c>
      <c r="E1512">
        <f t="shared" si="69"/>
        <v>896318.8</v>
      </c>
      <c r="F1512">
        <f t="shared" si="70"/>
        <v>338.70555555555552</v>
      </c>
      <c r="G1512">
        <f t="shared" si="71"/>
        <v>5.7599616174589681</v>
      </c>
    </row>
    <row r="1513" spans="1:7" x14ac:dyDescent="0.35">
      <c r="A1513">
        <v>130</v>
      </c>
      <c r="B1513">
        <v>160</v>
      </c>
      <c r="C1513">
        <v>2.8380000000000001</v>
      </c>
      <c r="E1513">
        <f t="shared" si="69"/>
        <v>896318.8</v>
      </c>
      <c r="F1513">
        <f t="shared" si="70"/>
        <v>344.26111111111106</v>
      </c>
      <c r="G1513">
        <f t="shared" si="71"/>
        <v>5.6442752847615898</v>
      </c>
    </row>
    <row r="1514" spans="1:7" x14ac:dyDescent="0.35">
      <c r="A1514">
        <v>130</v>
      </c>
      <c r="B1514">
        <v>170</v>
      </c>
      <c r="C1514">
        <v>2.8940000000000001</v>
      </c>
      <c r="E1514">
        <f t="shared" si="69"/>
        <v>896318.8</v>
      </c>
      <c r="F1514">
        <f t="shared" si="70"/>
        <v>349.81666666666666</v>
      </c>
      <c r="G1514">
        <f t="shared" si="71"/>
        <v>5.5350564126307509</v>
      </c>
    </row>
    <row r="1515" spans="1:7" x14ac:dyDescent="0.35">
      <c r="A1515">
        <v>130</v>
      </c>
      <c r="B1515">
        <v>180</v>
      </c>
      <c r="C1515">
        <v>2.9489999999999998</v>
      </c>
      <c r="E1515">
        <f t="shared" si="69"/>
        <v>896318.8</v>
      </c>
      <c r="F1515">
        <f t="shared" si="70"/>
        <v>355.37222222222221</v>
      </c>
      <c r="G1515">
        <f t="shared" si="71"/>
        <v>5.4318254520696492</v>
      </c>
    </row>
    <row r="1516" spans="1:7" x14ac:dyDescent="0.35">
      <c r="A1516">
        <v>130</v>
      </c>
      <c r="B1516">
        <v>190</v>
      </c>
      <c r="C1516">
        <v>3.004</v>
      </c>
      <c r="E1516">
        <f t="shared" si="69"/>
        <v>896318.8</v>
      </c>
      <c r="F1516">
        <f t="shared" si="70"/>
        <v>360.92777777777775</v>
      </c>
      <c r="G1516">
        <f t="shared" si="71"/>
        <v>5.3323745866023282</v>
      </c>
    </row>
    <row r="1517" spans="1:7" x14ac:dyDescent="0.35">
      <c r="A1517">
        <v>130</v>
      </c>
      <c r="B1517">
        <v>200</v>
      </c>
      <c r="C1517">
        <v>3.0590000000000002</v>
      </c>
      <c r="E1517">
        <f t="shared" si="69"/>
        <v>896318.8</v>
      </c>
      <c r="F1517">
        <f t="shared" si="70"/>
        <v>366.48333333333329</v>
      </c>
      <c r="G1517">
        <f t="shared" si="71"/>
        <v>5.2364999209393241</v>
      </c>
    </row>
    <row r="1518" spans="1:7" x14ac:dyDescent="0.35">
      <c r="A1518">
        <v>130</v>
      </c>
      <c r="B1518">
        <v>210</v>
      </c>
      <c r="C1518">
        <v>3.113</v>
      </c>
      <c r="E1518">
        <f t="shared" si="69"/>
        <v>896318.8</v>
      </c>
      <c r="F1518">
        <f t="shared" si="70"/>
        <v>372.03888888888889</v>
      </c>
      <c r="G1518">
        <f t="shared" si="71"/>
        <v>5.1456643938815914</v>
      </c>
    </row>
    <row r="1519" spans="1:7" x14ac:dyDescent="0.35">
      <c r="A1519">
        <v>130</v>
      </c>
      <c r="B1519">
        <v>220</v>
      </c>
      <c r="C1519">
        <v>3.1669999999999998</v>
      </c>
      <c r="E1519">
        <f t="shared" si="69"/>
        <v>896318.8</v>
      </c>
      <c r="F1519">
        <f t="shared" si="70"/>
        <v>377.59444444444443</v>
      </c>
      <c r="G1519">
        <f t="shared" si="71"/>
        <v>5.0579265103105131</v>
      </c>
    </row>
    <row r="1520" spans="1:7" x14ac:dyDescent="0.35">
      <c r="A1520">
        <v>130</v>
      </c>
      <c r="B1520">
        <v>230</v>
      </c>
      <c r="C1520">
        <v>3.22</v>
      </c>
      <c r="E1520">
        <f t="shared" si="69"/>
        <v>896318.8</v>
      </c>
      <c r="F1520">
        <f t="shared" si="70"/>
        <v>383.15</v>
      </c>
      <c r="G1520">
        <f t="shared" si="71"/>
        <v>4.9746749248923576</v>
      </c>
    </row>
    <row r="1521" spans="1:7" x14ac:dyDescent="0.35">
      <c r="A1521">
        <v>130</v>
      </c>
      <c r="B1521">
        <v>240</v>
      </c>
      <c r="C1521">
        <v>3.2730000000000001</v>
      </c>
      <c r="E1521">
        <f t="shared" si="69"/>
        <v>896318.8</v>
      </c>
      <c r="F1521">
        <f t="shared" si="70"/>
        <v>388.70555555555552</v>
      </c>
      <c r="G1521">
        <f t="shared" si="71"/>
        <v>4.8941195411406637</v>
      </c>
    </row>
    <row r="1522" spans="1:7" x14ac:dyDescent="0.35">
      <c r="A1522">
        <v>130</v>
      </c>
      <c r="B1522">
        <v>250</v>
      </c>
      <c r="C1522">
        <v>3.3260000000000001</v>
      </c>
      <c r="E1522">
        <f t="shared" si="69"/>
        <v>896318.8</v>
      </c>
      <c r="F1522">
        <f t="shared" si="70"/>
        <v>394.26111111111106</v>
      </c>
      <c r="G1522">
        <f t="shared" si="71"/>
        <v>4.8161314666726982</v>
      </c>
    </row>
    <row r="1523" spans="1:7" x14ac:dyDescent="0.35">
      <c r="A1523">
        <v>130</v>
      </c>
      <c r="B1523">
        <v>260</v>
      </c>
      <c r="C1523">
        <v>3.379</v>
      </c>
      <c r="E1523">
        <f t="shared" si="69"/>
        <v>896318.8</v>
      </c>
      <c r="F1523">
        <f t="shared" si="70"/>
        <v>399.81666666666666</v>
      </c>
      <c r="G1523">
        <f t="shared" si="71"/>
        <v>4.7405898958725636</v>
      </c>
    </row>
    <row r="1524" spans="1:7" x14ac:dyDescent="0.35">
      <c r="A1524">
        <v>130</v>
      </c>
      <c r="B1524">
        <v>270</v>
      </c>
      <c r="C1524">
        <v>3.431</v>
      </c>
      <c r="E1524">
        <f t="shared" si="69"/>
        <v>896318.8</v>
      </c>
      <c r="F1524">
        <f t="shared" si="70"/>
        <v>405.37222222222221</v>
      </c>
      <c r="G1524">
        <f t="shared" si="71"/>
        <v>4.668741841490351</v>
      </c>
    </row>
    <row r="1525" spans="1:7" x14ac:dyDescent="0.35">
      <c r="A1525">
        <v>130</v>
      </c>
      <c r="B1525">
        <v>280</v>
      </c>
      <c r="C1525">
        <v>3.4830000000000001</v>
      </c>
      <c r="E1525">
        <f t="shared" si="69"/>
        <v>896318.8</v>
      </c>
      <c r="F1525">
        <f t="shared" si="70"/>
        <v>410.92777777777775</v>
      </c>
      <c r="G1525">
        <f t="shared" si="71"/>
        <v>4.5990391209168511</v>
      </c>
    </row>
    <row r="1526" spans="1:7" x14ac:dyDescent="0.35">
      <c r="A1526">
        <v>130</v>
      </c>
      <c r="B1526">
        <v>290</v>
      </c>
      <c r="C1526">
        <v>3.5350000000000001</v>
      </c>
      <c r="E1526">
        <f t="shared" si="69"/>
        <v>896318.8</v>
      </c>
      <c r="F1526">
        <f t="shared" si="70"/>
        <v>416.48333333333335</v>
      </c>
      <c r="G1526">
        <f t="shared" si="71"/>
        <v>4.5313870602979893</v>
      </c>
    </row>
    <row r="1527" spans="1:7" x14ac:dyDescent="0.35">
      <c r="A1527">
        <v>130</v>
      </c>
      <c r="B1527">
        <v>300</v>
      </c>
      <c r="C1527">
        <v>3.5870000000000002</v>
      </c>
      <c r="E1527">
        <f t="shared" si="69"/>
        <v>896318.8</v>
      </c>
      <c r="F1527">
        <f t="shared" si="70"/>
        <v>422.03888888888889</v>
      </c>
      <c r="G1527">
        <f t="shared" si="71"/>
        <v>4.4656964756491195</v>
      </c>
    </row>
    <row r="1528" spans="1:7" x14ac:dyDescent="0.35">
      <c r="A1528">
        <v>130</v>
      </c>
      <c r="B1528">
        <v>320</v>
      </c>
      <c r="C1528">
        <v>3.69</v>
      </c>
      <c r="E1528">
        <f t="shared" si="69"/>
        <v>896318.8</v>
      </c>
      <c r="F1528">
        <f t="shared" si="70"/>
        <v>433.15</v>
      </c>
      <c r="G1528">
        <f t="shared" si="71"/>
        <v>4.3410442434020036</v>
      </c>
    </row>
    <row r="1529" spans="1:7" x14ac:dyDescent="0.35">
      <c r="A1529">
        <v>135</v>
      </c>
      <c r="B1529">
        <v>80</v>
      </c>
      <c r="C1529">
        <v>2.2570000000000001</v>
      </c>
      <c r="E1529">
        <f t="shared" si="69"/>
        <v>930792.6</v>
      </c>
      <c r="F1529">
        <f t="shared" si="70"/>
        <v>299.81666666666666</v>
      </c>
      <c r="G1529">
        <f t="shared" si="71"/>
        <v>7.0972322809718174</v>
      </c>
    </row>
    <row r="1530" spans="1:7" x14ac:dyDescent="0.35">
      <c r="A1530">
        <v>135</v>
      </c>
      <c r="B1530">
        <v>90</v>
      </c>
      <c r="C1530">
        <v>2.3210000000000002</v>
      </c>
      <c r="E1530">
        <f t="shared" si="69"/>
        <v>930792.6</v>
      </c>
      <c r="F1530">
        <f t="shared" si="70"/>
        <v>305.37222222222221</v>
      </c>
      <c r="G1530">
        <f t="shared" si="71"/>
        <v>6.9015309169122752</v>
      </c>
    </row>
    <row r="1531" spans="1:7" x14ac:dyDescent="0.35">
      <c r="A1531">
        <v>135</v>
      </c>
      <c r="B1531">
        <v>100</v>
      </c>
      <c r="C1531">
        <v>2.3820000000000001</v>
      </c>
      <c r="E1531">
        <f t="shared" si="69"/>
        <v>930792.6</v>
      </c>
      <c r="F1531">
        <f t="shared" si="70"/>
        <v>310.92777777777775</v>
      </c>
      <c r="G1531">
        <f t="shared" si="71"/>
        <v>6.7247914601819456</v>
      </c>
    </row>
    <row r="1532" spans="1:7" x14ac:dyDescent="0.35">
      <c r="A1532">
        <v>135</v>
      </c>
      <c r="B1532">
        <v>110</v>
      </c>
      <c r="C1532">
        <v>2.4420000000000002</v>
      </c>
      <c r="E1532">
        <f t="shared" si="69"/>
        <v>930792.6</v>
      </c>
      <c r="F1532">
        <f t="shared" si="70"/>
        <v>316.48333333333329</v>
      </c>
      <c r="G1532">
        <f t="shared" si="71"/>
        <v>6.5595631687769833</v>
      </c>
    </row>
    <row r="1533" spans="1:7" x14ac:dyDescent="0.35">
      <c r="A1533">
        <v>135</v>
      </c>
      <c r="B1533">
        <v>120</v>
      </c>
      <c r="C1533">
        <v>2.5009999999999999</v>
      </c>
      <c r="E1533">
        <f t="shared" si="69"/>
        <v>930792.6</v>
      </c>
      <c r="F1533">
        <f t="shared" si="70"/>
        <v>322.03888888888889</v>
      </c>
      <c r="G1533">
        <f t="shared" si="71"/>
        <v>6.4048193755111527</v>
      </c>
    </row>
    <row r="1534" spans="1:7" x14ac:dyDescent="0.35">
      <c r="A1534">
        <v>135</v>
      </c>
      <c r="B1534">
        <v>130</v>
      </c>
      <c r="C1534">
        <v>2.5590000000000002</v>
      </c>
      <c r="E1534">
        <f t="shared" si="69"/>
        <v>930792.6</v>
      </c>
      <c r="F1534">
        <f t="shared" si="70"/>
        <v>327.59444444444443</v>
      </c>
      <c r="G1534">
        <f t="shared" si="71"/>
        <v>6.2596534811072262</v>
      </c>
    </row>
    <row r="1535" spans="1:7" x14ac:dyDescent="0.35">
      <c r="A1535">
        <v>135</v>
      </c>
      <c r="B1535">
        <v>140</v>
      </c>
      <c r="C1535">
        <v>2.6150000000000002</v>
      </c>
      <c r="E1535">
        <f t="shared" si="69"/>
        <v>930792.6</v>
      </c>
      <c r="F1535">
        <f t="shared" si="70"/>
        <v>333.15</v>
      </c>
      <c r="G1535">
        <f t="shared" si="71"/>
        <v>6.1256035404028273</v>
      </c>
    </row>
    <row r="1536" spans="1:7" x14ac:dyDescent="0.35">
      <c r="A1536">
        <v>135</v>
      </c>
      <c r="B1536">
        <v>150</v>
      </c>
      <c r="C1536">
        <v>2.6709999999999998</v>
      </c>
      <c r="E1536">
        <f t="shared" si="69"/>
        <v>930792.6</v>
      </c>
      <c r="F1536">
        <f t="shared" si="70"/>
        <v>338.70555555555552</v>
      </c>
      <c r="G1536">
        <f t="shared" si="71"/>
        <v>5.9971745631424165</v>
      </c>
    </row>
    <row r="1537" spans="1:7" x14ac:dyDescent="0.35">
      <c r="A1537">
        <v>135</v>
      </c>
      <c r="B1537">
        <v>160</v>
      </c>
      <c r="C1537">
        <v>2.726</v>
      </c>
      <c r="E1537">
        <f t="shared" si="69"/>
        <v>930792.6</v>
      </c>
      <c r="F1537">
        <f t="shared" si="70"/>
        <v>344.26111111111106</v>
      </c>
      <c r="G1537">
        <f t="shared" si="71"/>
        <v>5.8761750763585443</v>
      </c>
    </row>
    <row r="1538" spans="1:7" x14ac:dyDescent="0.35">
      <c r="A1538">
        <v>135</v>
      </c>
      <c r="B1538">
        <v>170</v>
      </c>
      <c r="C1538">
        <v>2.78</v>
      </c>
      <c r="E1538">
        <f t="shared" ref="E1538:E1601" si="72">A1538*6894.76</f>
        <v>930792.6</v>
      </c>
      <c r="F1538">
        <f t="shared" si="70"/>
        <v>349.81666666666666</v>
      </c>
      <c r="G1538">
        <f t="shared" si="71"/>
        <v>5.7620335460983432</v>
      </c>
    </row>
    <row r="1539" spans="1:7" x14ac:dyDescent="0.35">
      <c r="A1539">
        <v>135</v>
      </c>
      <c r="B1539">
        <v>180</v>
      </c>
      <c r="C1539">
        <v>2.8340000000000001</v>
      </c>
      <c r="E1539">
        <f t="shared" si="72"/>
        <v>930792.6</v>
      </c>
      <c r="F1539">
        <f t="shared" ref="F1539:F1602" si="73">(B1539-32)*5/9+273.15</f>
        <v>355.37222222222221</v>
      </c>
      <c r="G1539">
        <f t="shared" ref="G1539:G1602" si="74">1/(C1539*0.062428)</f>
        <v>5.6522417989249805</v>
      </c>
    </row>
    <row r="1540" spans="1:7" x14ac:dyDescent="0.35">
      <c r="A1540">
        <v>135</v>
      </c>
      <c r="B1540">
        <v>190</v>
      </c>
      <c r="C1540">
        <v>2.887</v>
      </c>
      <c r="E1540">
        <f t="shared" si="72"/>
        <v>930792.6</v>
      </c>
      <c r="F1540">
        <f t="shared" si="73"/>
        <v>360.92777777777775</v>
      </c>
      <c r="G1540">
        <f t="shared" si="74"/>
        <v>5.5484770551276039</v>
      </c>
    </row>
    <row r="1541" spans="1:7" x14ac:dyDescent="0.35">
      <c r="A1541">
        <v>135</v>
      </c>
      <c r="B1541">
        <v>200</v>
      </c>
      <c r="C1541">
        <v>2.94</v>
      </c>
      <c r="E1541">
        <f t="shared" si="72"/>
        <v>930792.6</v>
      </c>
      <c r="F1541">
        <f t="shared" si="73"/>
        <v>366.48333333333329</v>
      </c>
      <c r="G1541">
        <f t="shared" si="74"/>
        <v>5.4484534891678216</v>
      </c>
    </row>
    <row r="1542" spans="1:7" x14ac:dyDescent="0.35">
      <c r="A1542">
        <v>135</v>
      </c>
      <c r="B1542">
        <v>210</v>
      </c>
      <c r="C1542">
        <v>2.992</v>
      </c>
      <c r="E1542">
        <f t="shared" si="72"/>
        <v>930792.6</v>
      </c>
      <c r="F1542">
        <f t="shared" si="73"/>
        <v>372.03888888888889</v>
      </c>
      <c r="G1542">
        <f t="shared" si="74"/>
        <v>5.3537611156929792</v>
      </c>
    </row>
    <row r="1543" spans="1:7" x14ac:dyDescent="0.35">
      <c r="A1543">
        <v>135</v>
      </c>
      <c r="B1543">
        <v>220</v>
      </c>
      <c r="C1543">
        <v>3.044</v>
      </c>
      <c r="E1543">
        <f t="shared" si="72"/>
        <v>930792.6</v>
      </c>
      <c r="F1543">
        <f t="shared" si="73"/>
        <v>377.59444444444443</v>
      </c>
      <c r="G1543">
        <f t="shared" si="74"/>
        <v>5.2623039612856095</v>
      </c>
    </row>
    <row r="1544" spans="1:7" x14ac:dyDescent="0.35">
      <c r="A1544">
        <v>135</v>
      </c>
      <c r="B1544">
        <v>230</v>
      </c>
      <c r="C1544">
        <v>3.0960000000000001</v>
      </c>
      <c r="E1544">
        <f t="shared" si="72"/>
        <v>930792.6</v>
      </c>
      <c r="F1544">
        <f t="shared" si="73"/>
        <v>383.15</v>
      </c>
      <c r="G1544">
        <f t="shared" si="74"/>
        <v>5.1739190110314581</v>
      </c>
    </row>
    <row r="1545" spans="1:7" x14ac:dyDescent="0.35">
      <c r="A1545">
        <v>135</v>
      </c>
      <c r="B1545">
        <v>240</v>
      </c>
      <c r="C1545">
        <v>3.1469999999999998</v>
      </c>
      <c r="E1545">
        <f t="shared" si="72"/>
        <v>930792.6</v>
      </c>
      <c r="F1545">
        <f t="shared" si="73"/>
        <v>388.70555555555552</v>
      </c>
      <c r="G1545">
        <f t="shared" si="74"/>
        <v>5.0900709431691746</v>
      </c>
    </row>
    <row r="1546" spans="1:7" x14ac:dyDescent="0.35">
      <c r="A1546">
        <v>135</v>
      </c>
      <c r="B1546">
        <v>250</v>
      </c>
      <c r="C1546">
        <v>3.198</v>
      </c>
      <c r="E1546">
        <f t="shared" si="72"/>
        <v>930792.6</v>
      </c>
      <c r="F1546">
        <f t="shared" si="73"/>
        <v>394.26111111111106</v>
      </c>
      <c r="G1546">
        <f t="shared" si="74"/>
        <v>5.0088972039253887</v>
      </c>
    </row>
    <row r="1547" spans="1:7" x14ac:dyDescent="0.35">
      <c r="A1547">
        <v>135</v>
      </c>
      <c r="B1547">
        <v>260</v>
      </c>
      <c r="C1547">
        <v>3.2490000000000001</v>
      </c>
      <c r="E1547">
        <f t="shared" si="72"/>
        <v>930792.6</v>
      </c>
      <c r="F1547">
        <f t="shared" si="73"/>
        <v>399.81666666666666</v>
      </c>
      <c r="G1547">
        <f t="shared" si="74"/>
        <v>4.9302718553873177</v>
      </c>
    </row>
    <row r="1548" spans="1:7" x14ac:dyDescent="0.35">
      <c r="A1548">
        <v>135</v>
      </c>
      <c r="B1548">
        <v>270</v>
      </c>
      <c r="C1548">
        <v>3.3</v>
      </c>
      <c r="E1548">
        <f t="shared" si="72"/>
        <v>930792.6</v>
      </c>
      <c r="F1548">
        <f t="shared" si="73"/>
        <v>405.37222222222221</v>
      </c>
      <c r="G1548">
        <f t="shared" si="74"/>
        <v>4.854076744894968</v>
      </c>
    </row>
    <row r="1549" spans="1:7" x14ac:dyDescent="0.35">
      <c r="A1549">
        <v>135</v>
      </c>
      <c r="B1549">
        <v>280</v>
      </c>
      <c r="C1549">
        <v>3.35</v>
      </c>
      <c r="E1549">
        <f t="shared" si="72"/>
        <v>930792.6</v>
      </c>
      <c r="F1549">
        <f t="shared" si="73"/>
        <v>410.92777777777775</v>
      </c>
      <c r="G1549">
        <f t="shared" si="74"/>
        <v>4.7816278382547441</v>
      </c>
    </row>
    <row r="1550" spans="1:7" x14ac:dyDescent="0.35">
      <c r="A1550">
        <v>135</v>
      </c>
      <c r="B1550">
        <v>290</v>
      </c>
      <c r="C1550">
        <v>3.4</v>
      </c>
      <c r="E1550">
        <f t="shared" si="72"/>
        <v>930792.6</v>
      </c>
      <c r="F1550">
        <f t="shared" si="73"/>
        <v>416.48333333333335</v>
      </c>
      <c r="G1550">
        <f t="shared" si="74"/>
        <v>4.7113097818098222</v>
      </c>
    </row>
    <row r="1551" spans="1:7" x14ac:dyDescent="0.35">
      <c r="A1551">
        <v>135</v>
      </c>
      <c r="B1551">
        <v>300</v>
      </c>
      <c r="C1551">
        <v>3.45</v>
      </c>
      <c r="E1551">
        <f t="shared" si="72"/>
        <v>930792.6</v>
      </c>
      <c r="F1551">
        <f t="shared" si="73"/>
        <v>422.03888888888889</v>
      </c>
      <c r="G1551">
        <f t="shared" si="74"/>
        <v>4.6430299298995337</v>
      </c>
    </row>
    <row r="1552" spans="1:7" x14ac:dyDescent="0.35">
      <c r="A1552">
        <v>135</v>
      </c>
      <c r="B1552">
        <v>320</v>
      </c>
      <c r="C1552">
        <v>3.55</v>
      </c>
      <c r="E1552">
        <f t="shared" si="72"/>
        <v>930792.6</v>
      </c>
      <c r="F1552">
        <f t="shared" si="73"/>
        <v>433.15</v>
      </c>
      <c r="G1552">
        <f t="shared" si="74"/>
        <v>4.512240354409407</v>
      </c>
    </row>
    <row r="1553" spans="1:7" x14ac:dyDescent="0.35">
      <c r="A1553">
        <v>140</v>
      </c>
      <c r="B1553">
        <v>80</v>
      </c>
      <c r="C1553">
        <v>2.1659999999999999</v>
      </c>
      <c r="E1553">
        <f t="shared" si="72"/>
        <v>965266.4</v>
      </c>
      <c r="F1553">
        <f t="shared" si="73"/>
        <v>299.81666666666666</v>
      </c>
      <c r="G1553">
        <f t="shared" si="74"/>
        <v>7.3954077830809766</v>
      </c>
    </row>
    <row r="1554" spans="1:7" x14ac:dyDescent="0.35">
      <c r="A1554">
        <v>140</v>
      </c>
      <c r="B1554">
        <v>90</v>
      </c>
      <c r="C1554">
        <v>2.2280000000000002</v>
      </c>
      <c r="E1554">
        <f t="shared" si="72"/>
        <v>965266.4</v>
      </c>
      <c r="F1554">
        <f t="shared" si="73"/>
        <v>305.37222222222221</v>
      </c>
      <c r="G1554">
        <f t="shared" si="74"/>
        <v>7.1896109776271953</v>
      </c>
    </row>
    <row r="1555" spans="1:7" x14ac:dyDescent="0.35">
      <c r="A1555">
        <v>140</v>
      </c>
      <c r="B1555">
        <v>100</v>
      </c>
      <c r="C1555">
        <v>2.2879999999999998</v>
      </c>
      <c r="E1555">
        <f t="shared" si="72"/>
        <v>965266.4</v>
      </c>
      <c r="F1555">
        <f t="shared" si="73"/>
        <v>310.92777777777775</v>
      </c>
      <c r="G1555">
        <f t="shared" si="74"/>
        <v>7.0010722282138955</v>
      </c>
    </row>
    <row r="1556" spans="1:7" x14ac:dyDescent="0.35">
      <c r="A1556">
        <v>140</v>
      </c>
      <c r="B1556">
        <v>110</v>
      </c>
      <c r="C1556">
        <v>2.347</v>
      </c>
      <c r="E1556">
        <f t="shared" si="72"/>
        <v>965266.4</v>
      </c>
      <c r="F1556">
        <f t="shared" si="73"/>
        <v>316.48333333333329</v>
      </c>
      <c r="G1556">
        <f t="shared" si="74"/>
        <v>6.8250759514927113</v>
      </c>
    </row>
    <row r="1557" spans="1:7" x14ac:dyDescent="0.35">
      <c r="A1557">
        <v>140</v>
      </c>
      <c r="B1557">
        <v>120</v>
      </c>
      <c r="C1557">
        <v>2.4039999999999999</v>
      </c>
      <c r="E1557">
        <f t="shared" si="72"/>
        <v>965266.4</v>
      </c>
      <c r="F1557">
        <f t="shared" si="73"/>
        <v>322.03888888888889</v>
      </c>
      <c r="G1557">
        <f t="shared" si="74"/>
        <v>6.6632501073849397</v>
      </c>
    </row>
    <row r="1558" spans="1:7" x14ac:dyDescent="0.35">
      <c r="A1558">
        <v>140</v>
      </c>
      <c r="B1558">
        <v>130</v>
      </c>
      <c r="C1558">
        <v>2.46</v>
      </c>
      <c r="E1558">
        <f t="shared" si="72"/>
        <v>965266.4</v>
      </c>
      <c r="F1558">
        <f t="shared" si="73"/>
        <v>327.59444444444443</v>
      </c>
      <c r="G1558">
        <f t="shared" si="74"/>
        <v>6.5115663651030058</v>
      </c>
    </row>
    <row r="1559" spans="1:7" x14ac:dyDescent="0.35">
      <c r="A1559">
        <v>140</v>
      </c>
      <c r="B1559">
        <v>140</v>
      </c>
      <c r="C1559">
        <v>2.5150000000000001</v>
      </c>
      <c r="E1559">
        <f t="shared" si="72"/>
        <v>965266.4</v>
      </c>
      <c r="F1559">
        <f t="shared" si="73"/>
        <v>333.15</v>
      </c>
      <c r="G1559">
        <f t="shared" si="74"/>
        <v>6.3691663054287844</v>
      </c>
    </row>
    <row r="1560" spans="1:7" x14ac:dyDescent="0.35">
      <c r="A1560">
        <v>140</v>
      </c>
      <c r="B1560">
        <v>150</v>
      </c>
      <c r="C1560">
        <v>2.569</v>
      </c>
      <c r="E1560">
        <f t="shared" si="72"/>
        <v>965266.4</v>
      </c>
      <c r="F1560">
        <f t="shared" si="73"/>
        <v>338.70555555555552</v>
      </c>
      <c r="G1560">
        <f t="shared" si="74"/>
        <v>6.2352873717996857</v>
      </c>
    </row>
    <row r="1561" spans="1:7" x14ac:dyDescent="0.35">
      <c r="A1561">
        <v>140</v>
      </c>
      <c r="B1561">
        <v>160</v>
      </c>
      <c r="C1561">
        <v>2.6219999999999999</v>
      </c>
      <c r="E1561">
        <f t="shared" si="72"/>
        <v>965266.4</v>
      </c>
      <c r="F1561">
        <f t="shared" si="73"/>
        <v>344.26111111111106</v>
      </c>
      <c r="G1561">
        <f t="shared" si="74"/>
        <v>6.1092499077625453</v>
      </c>
    </row>
    <row r="1562" spans="1:7" x14ac:dyDescent="0.35">
      <c r="A1562">
        <v>140</v>
      </c>
      <c r="B1562">
        <v>170</v>
      </c>
      <c r="C1562">
        <v>2.6749999999999998</v>
      </c>
      <c r="E1562">
        <f t="shared" si="72"/>
        <v>965266.4</v>
      </c>
      <c r="F1562">
        <f t="shared" si="73"/>
        <v>349.81666666666666</v>
      </c>
      <c r="G1562">
        <f t="shared" si="74"/>
        <v>5.9882068254779046</v>
      </c>
    </row>
    <row r="1563" spans="1:7" x14ac:dyDescent="0.35">
      <c r="A1563">
        <v>140</v>
      </c>
      <c r="B1563">
        <v>180</v>
      </c>
      <c r="C1563">
        <v>2.7269999999999999</v>
      </c>
      <c r="E1563">
        <f t="shared" si="72"/>
        <v>965266.4</v>
      </c>
      <c r="F1563">
        <f t="shared" si="73"/>
        <v>355.37222222222221</v>
      </c>
      <c r="G1563">
        <f t="shared" si="74"/>
        <v>5.8740202633492462</v>
      </c>
    </row>
    <row r="1564" spans="1:7" x14ac:dyDescent="0.35">
      <c r="A1564">
        <v>140</v>
      </c>
      <c r="B1564">
        <v>190</v>
      </c>
      <c r="C1564">
        <v>2.7789999999999999</v>
      </c>
      <c r="E1564">
        <f t="shared" si="72"/>
        <v>965266.4</v>
      </c>
      <c r="F1564">
        <f t="shared" si="73"/>
        <v>360.92777777777775</v>
      </c>
      <c r="G1564">
        <f t="shared" si="74"/>
        <v>5.7641069658702389</v>
      </c>
    </row>
    <row r="1565" spans="1:7" x14ac:dyDescent="0.35">
      <c r="A1565">
        <v>140</v>
      </c>
      <c r="B1565">
        <v>200</v>
      </c>
      <c r="C1565">
        <v>2.83</v>
      </c>
      <c r="E1565">
        <f t="shared" si="72"/>
        <v>965266.4</v>
      </c>
      <c r="F1565">
        <f t="shared" si="73"/>
        <v>366.48333333333329</v>
      </c>
      <c r="G1565">
        <f t="shared" si="74"/>
        <v>5.6602308332697495</v>
      </c>
    </row>
    <row r="1566" spans="1:7" x14ac:dyDescent="0.35">
      <c r="A1566">
        <v>140</v>
      </c>
      <c r="B1566">
        <v>210</v>
      </c>
      <c r="C1566">
        <v>2.88</v>
      </c>
      <c r="E1566">
        <f t="shared" si="72"/>
        <v>965266.4</v>
      </c>
      <c r="F1566">
        <f t="shared" si="73"/>
        <v>372.03888888888889</v>
      </c>
      <c r="G1566">
        <f t="shared" si="74"/>
        <v>5.5619629368588175</v>
      </c>
    </row>
    <row r="1567" spans="1:7" x14ac:dyDescent="0.35">
      <c r="A1567">
        <v>140</v>
      </c>
      <c r="B1567">
        <v>220</v>
      </c>
      <c r="C1567">
        <v>2.931</v>
      </c>
      <c r="E1567">
        <f t="shared" si="72"/>
        <v>965266.4</v>
      </c>
      <c r="F1567">
        <f t="shared" si="73"/>
        <v>377.59444444444443</v>
      </c>
      <c r="G1567">
        <f t="shared" si="74"/>
        <v>5.4651836431775473</v>
      </c>
    </row>
    <row r="1568" spans="1:7" x14ac:dyDescent="0.35">
      <c r="A1568">
        <v>140</v>
      </c>
      <c r="B1568">
        <v>230</v>
      </c>
      <c r="C1568">
        <v>2.9809999999999999</v>
      </c>
      <c r="E1568">
        <f t="shared" si="72"/>
        <v>965266.4</v>
      </c>
      <c r="F1568">
        <f t="shared" si="73"/>
        <v>383.15</v>
      </c>
      <c r="G1568">
        <f t="shared" si="74"/>
        <v>5.3735166917656478</v>
      </c>
    </row>
    <row r="1569" spans="1:7" x14ac:dyDescent="0.35">
      <c r="A1569">
        <v>140</v>
      </c>
      <c r="B1569">
        <v>240</v>
      </c>
      <c r="C1569">
        <v>3.03</v>
      </c>
      <c r="E1569">
        <f t="shared" si="72"/>
        <v>965266.4</v>
      </c>
      <c r="F1569">
        <f t="shared" si="73"/>
        <v>388.70555555555552</v>
      </c>
      <c r="G1569">
        <f t="shared" si="74"/>
        <v>5.2866182370143209</v>
      </c>
    </row>
    <row r="1570" spans="1:7" x14ac:dyDescent="0.35">
      <c r="A1570">
        <v>140</v>
      </c>
      <c r="B1570">
        <v>250</v>
      </c>
      <c r="C1570">
        <v>3.08</v>
      </c>
      <c r="E1570">
        <f t="shared" si="72"/>
        <v>965266.4</v>
      </c>
      <c r="F1570">
        <f t="shared" si="73"/>
        <v>394.26111111111106</v>
      </c>
      <c r="G1570">
        <f t="shared" si="74"/>
        <v>5.2007965123874653</v>
      </c>
    </row>
    <row r="1571" spans="1:7" x14ac:dyDescent="0.35">
      <c r="A1571">
        <v>140</v>
      </c>
      <c r="B1571">
        <v>260</v>
      </c>
      <c r="C1571">
        <v>3.129</v>
      </c>
      <c r="E1571">
        <f t="shared" si="72"/>
        <v>965266.4</v>
      </c>
      <c r="F1571">
        <f t="shared" si="73"/>
        <v>399.81666666666666</v>
      </c>
      <c r="G1571">
        <f t="shared" si="74"/>
        <v>5.1193522717013087</v>
      </c>
    </row>
    <row r="1572" spans="1:7" x14ac:dyDescent="0.35">
      <c r="A1572">
        <v>140</v>
      </c>
      <c r="B1572">
        <v>270</v>
      </c>
      <c r="C1572">
        <v>3.1789999999999998</v>
      </c>
      <c r="E1572">
        <f t="shared" si="72"/>
        <v>965266.4</v>
      </c>
      <c r="F1572">
        <f t="shared" si="73"/>
        <v>405.37222222222221</v>
      </c>
      <c r="G1572">
        <f t="shared" si="74"/>
        <v>5.0388339912404509</v>
      </c>
    </row>
    <row r="1573" spans="1:7" x14ac:dyDescent="0.35">
      <c r="A1573">
        <v>140</v>
      </c>
      <c r="B1573">
        <v>280</v>
      </c>
      <c r="C1573">
        <v>3.2269999999999999</v>
      </c>
      <c r="E1573">
        <f t="shared" si="72"/>
        <v>965266.4</v>
      </c>
      <c r="F1573">
        <f t="shared" si="73"/>
        <v>410.92777777777775</v>
      </c>
      <c r="G1573">
        <f t="shared" si="74"/>
        <v>4.9638838729945443</v>
      </c>
    </row>
    <row r="1574" spans="1:7" x14ac:dyDescent="0.35">
      <c r="A1574">
        <v>140</v>
      </c>
      <c r="B1574">
        <v>290</v>
      </c>
      <c r="C1574">
        <v>3.2749999999999999</v>
      </c>
      <c r="E1574">
        <f t="shared" si="72"/>
        <v>965266.4</v>
      </c>
      <c r="F1574">
        <f t="shared" si="73"/>
        <v>416.48333333333335</v>
      </c>
      <c r="G1574">
        <f t="shared" si="74"/>
        <v>4.8911307658483647</v>
      </c>
    </row>
    <row r="1575" spans="1:7" x14ac:dyDescent="0.35">
      <c r="A1575">
        <v>140</v>
      </c>
      <c r="B1575">
        <v>300</v>
      </c>
      <c r="C1575">
        <v>3.323</v>
      </c>
      <c r="E1575">
        <f t="shared" si="72"/>
        <v>965266.4</v>
      </c>
      <c r="F1575">
        <f t="shared" si="73"/>
        <v>422.03888888888889</v>
      </c>
      <c r="G1575">
        <f t="shared" si="74"/>
        <v>4.820479463783748</v>
      </c>
    </row>
    <row r="1576" spans="1:7" x14ac:dyDescent="0.35">
      <c r="A1576">
        <v>140</v>
      </c>
      <c r="B1576">
        <v>320</v>
      </c>
      <c r="C1576">
        <v>3.42</v>
      </c>
      <c r="E1576">
        <f t="shared" si="72"/>
        <v>965266.4</v>
      </c>
      <c r="F1576">
        <f t="shared" si="73"/>
        <v>433.15</v>
      </c>
      <c r="G1576">
        <f t="shared" si="74"/>
        <v>4.6837582626179515</v>
      </c>
    </row>
    <row r="1577" spans="1:7" x14ac:dyDescent="0.35">
      <c r="A1577">
        <v>145</v>
      </c>
      <c r="B1577">
        <v>80</v>
      </c>
      <c r="C1577">
        <v>2.08</v>
      </c>
      <c r="E1577">
        <f t="shared" si="72"/>
        <v>999740.20000000007</v>
      </c>
      <c r="F1577">
        <f t="shared" si="73"/>
        <v>299.81666666666666</v>
      </c>
      <c r="G1577">
        <f t="shared" si="74"/>
        <v>7.7011794510352845</v>
      </c>
    </row>
    <row r="1578" spans="1:7" x14ac:dyDescent="0.35">
      <c r="A1578">
        <v>145</v>
      </c>
      <c r="B1578">
        <v>90</v>
      </c>
      <c r="C1578">
        <v>2.141</v>
      </c>
      <c r="E1578">
        <f t="shared" si="72"/>
        <v>999740.20000000007</v>
      </c>
      <c r="F1578">
        <f t="shared" si="73"/>
        <v>305.37222222222221</v>
      </c>
      <c r="G1578">
        <f t="shared" si="74"/>
        <v>7.4817623812019596</v>
      </c>
    </row>
    <row r="1579" spans="1:7" x14ac:dyDescent="0.35">
      <c r="A1579">
        <v>145</v>
      </c>
      <c r="B1579">
        <v>100</v>
      </c>
      <c r="C1579">
        <v>2.2000000000000002</v>
      </c>
      <c r="E1579">
        <f t="shared" si="72"/>
        <v>999740.20000000007</v>
      </c>
      <c r="F1579">
        <f t="shared" si="73"/>
        <v>310.92777777777775</v>
      </c>
      <c r="G1579">
        <f t="shared" si="74"/>
        <v>7.2811151173424511</v>
      </c>
    </row>
    <row r="1580" spans="1:7" x14ac:dyDescent="0.35">
      <c r="A1580">
        <v>145</v>
      </c>
      <c r="B1580">
        <v>110</v>
      </c>
      <c r="C1580">
        <v>2.2570000000000001</v>
      </c>
      <c r="E1580">
        <f t="shared" si="72"/>
        <v>999740.20000000007</v>
      </c>
      <c r="F1580">
        <f t="shared" si="73"/>
        <v>316.48333333333329</v>
      </c>
      <c r="G1580">
        <f t="shared" si="74"/>
        <v>7.0972322809718174</v>
      </c>
    </row>
    <row r="1581" spans="1:7" x14ac:dyDescent="0.35">
      <c r="A1581">
        <v>145</v>
      </c>
      <c r="B1581">
        <v>120</v>
      </c>
      <c r="C1581">
        <v>2.3130000000000002</v>
      </c>
      <c r="E1581">
        <f t="shared" si="72"/>
        <v>999740.20000000007</v>
      </c>
      <c r="F1581">
        <f t="shared" si="73"/>
        <v>322.03888888888889</v>
      </c>
      <c r="G1581">
        <f t="shared" si="74"/>
        <v>6.9254013221588373</v>
      </c>
    </row>
    <row r="1582" spans="1:7" x14ac:dyDescent="0.35">
      <c r="A1582">
        <v>145</v>
      </c>
      <c r="B1582">
        <v>130</v>
      </c>
      <c r="C1582">
        <v>2.3679999999999999</v>
      </c>
      <c r="E1582">
        <f t="shared" si="72"/>
        <v>999740.20000000007</v>
      </c>
      <c r="F1582">
        <f t="shared" si="73"/>
        <v>327.59444444444443</v>
      </c>
      <c r="G1582">
        <f t="shared" si="74"/>
        <v>6.7645495178012647</v>
      </c>
    </row>
    <row r="1583" spans="1:7" x14ac:dyDescent="0.35">
      <c r="A1583">
        <v>145</v>
      </c>
      <c r="B1583">
        <v>140</v>
      </c>
      <c r="C1583">
        <v>2.4209999999999998</v>
      </c>
      <c r="E1583">
        <f t="shared" si="72"/>
        <v>999740.20000000007</v>
      </c>
      <c r="F1583">
        <f t="shared" si="73"/>
        <v>333.15</v>
      </c>
      <c r="G1583">
        <f t="shared" si="74"/>
        <v>6.6164614862261031</v>
      </c>
    </row>
    <row r="1584" spans="1:7" x14ac:dyDescent="0.35">
      <c r="A1584">
        <v>145</v>
      </c>
      <c r="B1584">
        <v>150</v>
      </c>
      <c r="C1584">
        <v>2.4740000000000002</v>
      </c>
      <c r="E1584">
        <f t="shared" si="72"/>
        <v>999740.20000000007</v>
      </c>
      <c r="F1584">
        <f t="shared" si="73"/>
        <v>338.70555555555552</v>
      </c>
      <c r="G1584">
        <f t="shared" si="74"/>
        <v>6.4747183743546453</v>
      </c>
    </row>
    <row r="1585" spans="1:7" x14ac:dyDescent="0.35">
      <c r="A1585">
        <v>145</v>
      </c>
      <c r="B1585">
        <v>160</v>
      </c>
      <c r="C1585">
        <v>2.5259999999999998</v>
      </c>
      <c r="E1585">
        <f t="shared" si="72"/>
        <v>999740.20000000007</v>
      </c>
      <c r="F1585">
        <f t="shared" si="73"/>
        <v>344.26111111111106</v>
      </c>
      <c r="G1585">
        <f t="shared" si="74"/>
        <v>6.3414304268224049</v>
      </c>
    </row>
    <row r="1586" spans="1:7" x14ac:dyDescent="0.35">
      <c r="A1586">
        <v>145</v>
      </c>
      <c r="B1586">
        <v>170</v>
      </c>
      <c r="C1586">
        <v>2.577</v>
      </c>
      <c r="E1586">
        <f t="shared" si="72"/>
        <v>999740.20000000007</v>
      </c>
      <c r="F1586">
        <f t="shared" si="73"/>
        <v>349.81666666666666</v>
      </c>
      <c r="G1586">
        <f t="shared" si="74"/>
        <v>6.2159306395628224</v>
      </c>
    </row>
    <row r="1587" spans="1:7" x14ac:dyDescent="0.35">
      <c r="A1587">
        <v>145</v>
      </c>
      <c r="B1587">
        <v>180</v>
      </c>
      <c r="C1587">
        <v>2.6269999999999998</v>
      </c>
      <c r="E1587">
        <f t="shared" si="72"/>
        <v>999740.20000000007</v>
      </c>
      <c r="F1587">
        <f t="shared" si="73"/>
        <v>355.37222222222221</v>
      </c>
      <c r="G1587">
        <f t="shared" si="74"/>
        <v>6.0976221005532523</v>
      </c>
    </row>
    <row r="1588" spans="1:7" x14ac:dyDescent="0.35">
      <c r="A1588">
        <v>145</v>
      </c>
      <c r="B1588">
        <v>190</v>
      </c>
      <c r="C1588">
        <v>2.677</v>
      </c>
      <c r="E1588">
        <f t="shared" si="72"/>
        <v>999740.20000000007</v>
      </c>
      <c r="F1588">
        <f t="shared" si="73"/>
        <v>360.92777777777775</v>
      </c>
      <c r="G1588">
        <f t="shared" si="74"/>
        <v>5.9837330064076921</v>
      </c>
    </row>
    <row r="1589" spans="1:7" x14ac:dyDescent="0.35">
      <c r="A1589">
        <v>145</v>
      </c>
      <c r="B1589">
        <v>200</v>
      </c>
      <c r="C1589">
        <v>2.7269999999999999</v>
      </c>
      <c r="E1589">
        <f t="shared" si="72"/>
        <v>999740.20000000007</v>
      </c>
      <c r="F1589">
        <f t="shared" si="73"/>
        <v>366.48333333333329</v>
      </c>
      <c r="G1589">
        <f t="shared" si="74"/>
        <v>5.8740202633492462</v>
      </c>
    </row>
    <row r="1590" spans="1:7" x14ac:dyDescent="0.35">
      <c r="A1590">
        <v>145</v>
      </c>
      <c r="B1590">
        <v>210</v>
      </c>
      <c r="C1590">
        <v>2.7759999999999998</v>
      </c>
      <c r="E1590">
        <f t="shared" si="72"/>
        <v>999740.20000000007</v>
      </c>
      <c r="F1590">
        <f t="shared" si="73"/>
        <v>372.03888888888889</v>
      </c>
      <c r="G1590">
        <f t="shared" si="74"/>
        <v>5.7703361880956034</v>
      </c>
    </row>
    <row r="1591" spans="1:7" x14ac:dyDescent="0.35">
      <c r="A1591">
        <v>145</v>
      </c>
      <c r="B1591">
        <v>220</v>
      </c>
      <c r="C1591">
        <v>2.8250000000000002</v>
      </c>
      <c r="E1591">
        <f t="shared" si="72"/>
        <v>999740.20000000007</v>
      </c>
      <c r="F1591">
        <f t="shared" si="73"/>
        <v>377.59444444444443</v>
      </c>
      <c r="G1591">
        <f t="shared" si="74"/>
        <v>5.6702489409392545</v>
      </c>
    </row>
    <row r="1592" spans="1:7" x14ac:dyDescent="0.35">
      <c r="A1592">
        <v>145</v>
      </c>
      <c r="B1592">
        <v>230</v>
      </c>
      <c r="C1592">
        <v>2.8730000000000002</v>
      </c>
      <c r="E1592">
        <f t="shared" si="72"/>
        <v>999740.20000000007</v>
      </c>
      <c r="F1592">
        <f t="shared" si="73"/>
        <v>383.15</v>
      </c>
      <c r="G1592">
        <f t="shared" si="74"/>
        <v>5.575514534686179</v>
      </c>
    </row>
    <row r="1593" spans="1:7" x14ac:dyDescent="0.35">
      <c r="A1593">
        <v>145</v>
      </c>
      <c r="B1593">
        <v>240</v>
      </c>
      <c r="C1593">
        <v>2.9209999999999998</v>
      </c>
      <c r="E1593">
        <f t="shared" si="72"/>
        <v>999740.20000000007</v>
      </c>
      <c r="F1593">
        <f t="shared" si="73"/>
        <v>388.70555555555552</v>
      </c>
      <c r="G1593">
        <f t="shared" si="74"/>
        <v>5.4838936179915763</v>
      </c>
    </row>
    <row r="1594" spans="1:7" x14ac:dyDescent="0.35">
      <c r="A1594">
        <v>145</v>
      </c>
      <c r="B1594">
        <v>250</v>
      </c>
      <c r="C1594">
        <v>2.9689999999999999</v>
      </c>
      <c r="E1594">
        <f t="shared" si="72"/>
        <v>999740.20000000007</v>
      </c>
      <c r="F1594">
        <f t="shared" si="73"/>
        <v>394.26111111111106</v>
      </c>
      <c r="G1594">
        <f t="shared" si="74"/>
        <v>5.3952351829415273</v>
      </c>
    </row>
    <row r="1595" spans="1:7" x14ac:dyDescent="0.35">
      <c r="A1595">
        <v>145</v>
      </c>
      <c r="B1595">
        <v>260</v>
      </c>
      <c r="C1595">
        <v>3.0169999999999999</v>
      </c>
      <c r="E1595">
        <f t="shared" si="72"/>
        <v>999740.20000000007</v>
      </c>
      <c r="F1595">
        <f t="shared" si="73"/>
        <v>399.81666666666666</v>
      </c>
      <c r="G1595">
        <f t="shared" si="74"/>
        <v>5.3093978316716584</v>
      </c>
    </row>
    <row r="1596" spans="1:7" x14ac:dyDescent="0.35">
      <c r="A1596">
        <v>145</v>
      </c>
      <c r="B1596">
        <v>270</v>
      </c>
      <c r="C1596">
        <v>3.0640000000000001</v>
      </c>
      <c r="E1596">
        <f t="shared" si="72"/>
        <v>999740.20000000007</v>
      </c>
      <c r="F1596">
        <f t="shared" si="73"/>
        <v>405.37222222222221</v>
      </c>
      <c r="G1596">
        <f t="shared" si="74"/>
        <v>5.2279547187184701</v>
      </c>
    </row>
    <row r="1597" spans="1:7" x14ac:dyDescent="0.35">
      <c r="A1597">
        <v>145</v>
      </c>
      <c r="B1597">
        <v>280</v>
      </c>
      <c r="C1597">
        <v>3.1110000000000002</v>
      </c>
      <c r="E1597">
        <f t="shared" si="72"/>
        <v>999740.20000000007</v>
      </c>
      <c r="F1597">
        <f t="shared" si="73"/>
        <v>410.92777777777775</v>
      </c>
      <c r="G1597">
        <f t="shared" si="74"/>
        <v>5.1489724391364167</v>
      </c>
    </row>
    <row r="1598" spans="1:7" x14ac:dyDescent="0.35">
      <c r="A1598">
        <v>145</v>
      </c>
      <c r="B1598">
        <v>290</v>
      </c>
      <c r="C1598">
        <v>3.1579999999999999</v>
      </c>
      <c r="E1598">
        <f t="shared" si="72"/>
        <v>999740.20000000007</v>
      </c>
      <c r="F1598">
        <f t="shared" si="73"/>
        <v>416.48333333333335</v>
      </c>
      <c r="G1598">
        <f t="shared" si="74"/>
        <v>5.072341120377895</v>
      </c>
    </row>
    <row r="1599" spans="1:7" x14ac:dyDescent="0.35">
      <c r="A1599">
        <v>145</v>
      </c>
      <c r="B1599">
        <v>300</v>
      </c>
      <c r="C1599">
        <v>3.2050000000000001</v>
      </c>
      <c r="E1599">
        <f t="shared" si="72"/>
        <v>999740.20000000007</v>
      </c>
      <c r="F1599">
        <f t="shared" si="73"/>
        <v>422.03888888888889</v>
      </c>
      <c r="G1599">
        <f t="shared" si="74"/>
        <v>4.9979573348372517</v>
      </c>
    </row>
    <row r="1600" spans="1:7" x14ac:dyDescent="0.35">
      <c r="A1600">
        <v>145</v>
      </c>
      <c r="B1600">
        <v>320</v>
      </c>
      <c r="C1600">
        <v>3.298</v>
      </c>
      <c r="E1600">
        <f t="shared" si="72"/>
        <v>999740.20000000007</v>
      </c>
      <c r="F1600">
        <f t="shared" si="73"/>
        <v>433.15</v>
      </c>
      <c r="G1600">
        <f t="shared" si="74"/>
        <v>4.857020393618372</v>
      </c>
    </row>
    <row r="1601" spans="1:7" x14ac:dyDescent="0.35">
      <c r="A1601">
        <v>150</v>
      </c>
      <c r="B1601">
        <v>80</v>
      </c>
      <c r="C1601">
        <v>2.0009999999999999</v>
      </c>
      <c r="E1601">
        <f t="shared" si="72"/>
        <v>1034214</v>
      </c>
      <c r="F1601">
        <f t="shared" si="73"/>
        <v>299.81666666666666</v>
      </c>
      <c r="G1601">
        <f t="shared" si="74"/>
        <v>8.0052240170681639</v>
      </c>
    </row>
    <row r="1602" spans="1:7" x14ac:dyDescent="0.35">
      <c r="A1602">
        <v>150</v>
      </c>
      <c r="B1602">
        <v>90</v>
      </c>
      <c r="C1602">
        <v>2.0609999999999999</v>
      </c>
      <c r="E1602">
        <f t="shared" ref="E1602:E1665" si="75">A1602*6894.76</f>
        <v>1034214</v>
      </c>
      <c r="F1602">
        <f t="shared" si="73"/>
        <v>305.37222222222221</v>
      </c>
      <c r="G1602">
        <f t="shared" si="74"/>
        <v>7.7721752829468187</v>
      </c>
    </row>
    <row r="1603" spans="1:7" x14ac:dyDescent="0.35">
      <c r="A1603">
        <v>150</v>
      </c>
      <c r="B1603">
        <v>100</v>
      </c>
      <c r="C1603">
        <v>2.1179999999999999</v>
      </c>
      <c r="E1603">
        <f t="shared" si="75"/>
        <v>1034214</v>
      </c>
      <c r="F1603">
        <f t="shared" ref="F1603:F1666" si="76">(B1603-32)*5/9+273.15</f>
        <v>310.92777777777775</v>
      </c>
      <c r="G1603">
        <f t="shared" ref="G1603:G1666" si="77">1/(C1603*0.062428)</f>
        <v>7.5630090926125559</v>
      </c>
    </row>
    <row r="1604" spans="1:7" x14ac:dyDescent="0.35">
      <c r="A1604">
        <v>150</v>
      </c>
      <c r="B1604">
        <v>110</v>
      </c>
      <c r="C1604">
        <v>2.1739999999999999</v>
      </c>
      <c r="E1604">
        <f t="shared" si="75"/>
        <v>1034214</v>
      </c>
      <c r="F1604">
        <f t="shared" si="76"/>
        <v>316.48333333333329</v>
      </c>
      <c r="G1604">
        <f t="shared" si="77"/>
        <v>7.3681937709997216</v>
      </c>
    </row>
    <row r="1605" spans="1:7" x14ac:dyDescent="0.35">
      <c r="A1605">
        <v>150</v>
      </c>
      <c r="B1605">
        <v>120</v>
      </c>
      <c r="C1605">
        <v>2.2280000000000002</v>
      </c>
      <c r="E1605">
        <f t="shared" si="75"/>
        <v>1034214</v>
      </c>
      <c r="F1605">
        <f t="shared" si="76"/>
        <v>322.03888888888889</v>
      </c>
      <c r="G1605">
        <f t="shared" si="77"/>
        <v>7.1896109776271953</v>
      </c>
    </row>
    <row r="1606" spans="1:7" x14ac:dyDescent="0.35">
      <c r="A1606">
        <v>150</v>
      </c>
      <c r="B1606">
        <v>130</v>
      </c>
      <c r="C1606">
        <v>2.2810000000000001</v>
      </c>
      <c r="E1606">
        <f t="shared" si="75"/>
        <v>1034214</v>
      </c>
      <c r="F1606">
        <f t="shared" si="76"/>
        <v>327.59444444444443</v>
      </c>
      <c r="G1606">
        <f t="shared" si="77"/>
        <v>7.022557324924767</v>
      </c>
    </row>
    <row r="1607" spans="1:7" x14ac:dyDescent="0.35">
      <c r="A1607">
        <v>150</v>
      </c>
      <c r="B1607">
        <v>140</v>
      </c>
      <c r="C1607">
        <v>2.3340000000000001</v>
      </c>
      <c r="E1607">
        <f t="shared" si="75"/>
        <v>1034214</v>
      </c>
      <c r="F1607">
        <f t="shared" si="76"/>
        <v>333.15</v>
      </c>
      <c r="G1607">
        <f t="shared" si="77"/>
        <v>6.8630905133476405</v>
      </c>
    </row>
    <row r="1608" spans="1:7" x14ac:dyDescent="0.35">
      <c r="A1608">
        <v>150</v>
      </c>
      <c r="B1608">
        <v>150</v>
      </c>
      <c r="C1608">
        <v>2.3849999999999998</v>
      </c>
      <c r="E1608">
        <f t="shared" si="75"/>
        <v>1034214</v>
      </c>
      <c r="F1608">
        <f t="shared" si="76"/>
        <v>338.70555555555552</v>
      </c>
      <c r="G1608">
        <f t="shared" si="77"/>
        <v>6.7163326029993273</v>
      </c>
    </row>
    <row r="1609" spans="1:7" x14ac:dyDescent="0.35">
      <c r="A1609">
        <v>150</v>
      </c>
      <c r="B1609">
        <v>160</v>
      </c>
      <c r="C1609">
        <v>2.4350000000000001</v>
      </c>
      <c r="E1609">
        <f t="shared" si="75"/>
        <v>1034214</v>
      </c>
      <c r="F1609">
        <f t="shared" si="76"/>
        <v>344.26111111111106</v>
      </c>
      <c r="G1609">
        <f t="shared" si="77"/>
        <v>6.5784202292211056</v>
      </c>
    </row>
    <row r="1610" spans="1:7" x14ac:dyDescent="0.35">
      <c r="A1610">
        <v>150</v>
      </c>
      <c r="B1610">
        <v>170</v>
      </c>
      <c r="C1610">
        <v>2.4849999999999999</v>
      </c>
      <c r="E1610">
        <f t="shared" si="75"/>
        <v>1034214</v>
      </c>
      <c r="F1610">
        <f t="shared" si="76"/>
        <v>349.81666666666666</v>
      </c>
      <c r="G1610">
        <f t="shared" si="77"/>
        <v>6.4460576491562955</v>
      </c>
    </row>
    <row r="1611" spans="1:7" x14ac:dyDescent="0.35">
      <c r="A1611">
        <v>150</v>
      </c>
      <c r="B1611">
        <v>180</v>
      </c>
      <c r="C1611">
        <v>2.5339999999999998</v>
      </c>
      <c r="E1611">
        <f t="shared" si="75"/>
        <v>1034214</v>
      </c>
      <c r="F1611">
        <f t="shared" si="76"/>
        <v>355.37222222222221</v>
      </c>
      <c r="G1611">
        <f t="shared" si="77"/>
        <v>6.3214101255538253</v>
      </c>
    </row>
    <row r="1612" spans="1:7" x14ac:dyDescent="0.35">
      <c r="A1612">
        <v>150</v>
      </c>
      <c r="B1612">
        <v>190</v>
      </c>
      <c r="C1612">
        <v>2.5830000000000002</v>
      </c>
      <c r="E1612">
        <f t="shared" si="75"/>
        <v>1034214</v>
      </c>
      <c r="F1612">
        <f t="shared" si="76"/>
        <v>360.92777777777775</v>
      </c>
      <c r="G1612">
        <f t="shared" si="77"/>
        <v>6.2014917762885764</v>
      </c>
    </row>
    <row r="1613" spans="1:7" x14ac:dyDescent="0.35">
      <c r="A1613">
        <v>150</v>
      </c>
      <c r="B1613">
        <v>200</v>
      </c>
      <c r="C1613">
        <v>2.6309999999999998</v>
      </c>
      <c r="E1613">
        <f t="shared" si="75"/>
        <v>1034214</v>
      </c>
      <c r="F1613">
        <f t="shared" si="76"/>
        <v>366.48333333333329</v>
      </c>
      <c r="G1613">
        <f t="shared" si="77"/>
        <v>6.0883516754668934</v>
      </c>
    </row>
    <row r="1614" spans="1:7" x14ac:dyDescent="0.35">
      <c r="A1614">
        <v>150</v>
      </c>
      <c r="B1614">
        <v>210</v>
      </c>
      <c r="C1614">
        <v>2.6789999999999998</v>
      </c>
      <c r="E1614">
        <f t="shared" si="75"/>
        <v>1034214</v>
      </c>
      <c r="F1614">
        <f t="shared" si="76"/>
        <v>372.03888888888889</v>
      </c>
      <c r="G1614">
        <f t="shared" si="77"/>
        <v>5.9792658671718533</v>
      </c>
    </row>
    <row r="1615" spans="1:7" x14ac:dyDescent="0.35">
      <c r="A1615">
        <v>150</v>
      </c>
      <c r="B1615">
        <v>220</v>
      </c>
      <c r="C1615">
        <v>2.726</v>
      </c>
      <c r="E1615">
        <f t="shared" si="75"/>
        <v>1034214</v>
      </c>
      <c r="F1615">
        <f t="shared" si="76"/>
        <v>377.59444444444443</v>
      </c>
      <c r="G1615">
        <f t="shared" si="77"/>
        <v>5.8761750763585443</v>
      </c>
    </row>
    <row r="1616" spans="1:7" x14ac:dyDescent="0.35">
      <c r="A1616">
        <v>150</v>
      </c>
      <c r="B1616">
        <v>230</v>
      </c>
      <c r="C1616">
        <v>2.7730000000000001</v>
      </c>
      <c r="E1616">
        <f t="shared" si="75"/>
        <v>1034214</v>
      </c>
      <c r="F1616">
        <f t="shared" si="76"/>
        <v>383.15</v>
      </c>
      <c r="G1616">
        <f t="shared" si="77"/>
        <v>5.7765788886236544</v>
      </c>
    </row>
    <row r="1617" spans="1:7" x14ac:dyDescent="0.35">
      <c r="A1617">
        <v>150</v>
      </c>
      <c r="B1617">
        <v>240</v>
      </c>
      <c r="C1617">
        <v>2.82</v>
      </c>
      <c r="E1617">
        <f t="shared" si="75"/>
        <v>1034214</v>
      </c>
      <c r="F1617">
        <f t="shared" si="76"/>
        <v>388.70555555555552</v>
      </c>
      <c r="G1617">
        <f t="shared" si="77"/>
        <v>5.6803025738132602</v>
      </c>
    </row>
    <row r="1618" spans="1:7" x14ac:dyDescent="0.35">
      <c r="A1618">
        <v>150</v>
      </c>
      <c r="B1618">
        <v>250</v>
      </c>
      <c r="C1618">
        <v>2.8660000000000001</v>
      </c>
      <c r="E1618">
        <f t="shared" si="75"/>
        <v>1034214</v>
      </c>
      <c r="F1618">
        <f t="shared" si="76"/>
        <v>394.26111111111106</v>
      </c>
      <c r="G1618">
        <f t="shared" si="77"/>
        <v>5.5891323301302842</v>
      </c>
    </row>
    <row r="1619" spans="1:7" x14ac:dyDescent="0.35">
      <c r="A1619">
        <v>150</v>
      </c>
      <c r="B1619">
        <v>260</v>
      </c>
      <c r="C1619">
        <v>2.9119999999999999</v>
      </c>
      <c r="E1619">
        <f t="shared" si="75"/>
        <v>1034214</v>
      </c>
      <c r="F1619">
        <f t="shared" si="76"/>
        <v>399.81666666666666</v>
      </c>
      <c r="G1619">
        <f t="shared" si="77"/>
        <v>5.5008424650252037</v>
      </c>
    </row>
    <row r="1620" spans="1:7" x14ac:dyDescent="0.35">
      <c r="A1620">
        <v>150</v>
      </c>
      <c r="B1620">
        <v>270</v>
      </c>
      <c r="C1620">
        <v>2.9580000000000002</v>
      </c>
      <c r="E1620">
        <f t="shared" si="75"/>
        <v>1034214</v>
      </c>
      <c r="F1620">
        <f t="shared" si="76"/>
        <v>405.37222222222221</v>
      </c>
      <c r="G1620">
        <f t="shared" si="77"/>
        <v>5.415298599781404</v>
      </c>
    </row>
    <row r="1621" spans="1:7" x14ac:dyDescent="0.35">
      <c r="A1621">
        <v>150</v>
      </c>
      <c r="B1621">
        <v>280</v>
      </c>
      <c r="C1621">
        <v>3.004</v>
      </c>
      <c r="E1621">
        <f t="shared" si="75"/>
        <v>1034214</v>
      </c>
      <c r="F1621">
        <f t="shared" si="76"/>
        <v>410.92777777777775</v>
      </c>
      <c r="G1621">
        <f t="shared" si="77"/>
        <v>5.3323745866023282</v>
      </c>
    </row>
    <row r="1622" spans="1:7" x14ac:dyDescent="0.35">
      <c r="A1622">
        <v>150</v>
      </c>
      <c r="B1622">
        <v>290</v>
      </c>
      <c r="C1622">
        <v>3.0489999999999999</v>
      </c>
      <c r="E1622">
        <f t="shared" si="75"/>
        <v>1034214</v>
      </c>
      <c r="F1622">
        <f t="shared" si="76"/>
        <v>416.48333333333335</v>
      </c>
      <c r="G1622">
        <f t="shared" si="77"/>
        <v>5.2536744041172163</v>
      </c>
    </row>
    <row r="1623" spans="1:7" x14ac:dyDescent="0.35">
      <c r="A1623">
        <v>150</v>
      </c>
      <c r="B1623">
        <v>300</v>
      </c>
      <c r="C1623">
        <v>3.0950000000000002</v>
      </c>
      <c r="E1623">
        <f t="shared" si="75"/>
        <v>1034214</v>
      </c>
      <c r="F1623">
        <f t="shared" si="76"/>
        <v>422.03888888888889</v>
      </c>
      <c r="G1623">
        <f t="shared" si="77"/>
        <v>5.175590713458285</v>
      </c>
    </row>
    <row r="1624" spans="1:7" x14ac:dyDescent="0.35">
      <c r="A1624">
        <v>150</v>
      </c>
      <c r="B1624">
        <v>320</v>
      </c>
      <c r="C1624">
        <v>3.1850000000000001</v>
      </c>
      <c r="E1624">
        <f t="shared" si="75"/>
        <v>1034214</v>
      </c>
      <c r="F1624">
        <f t="shared" si="76"/>
        <v>433.15</v>
      </c>
      <c r="G1624">
        <f t="shared" si="77"/>
        <v>5.0293416823087576</v>
      </c>
    </row>
    <row r="1625" spans="1:7" x14ac:dyDescent="0.35">
      <c r="A1625">
        <v>150</v>
      </c>
      <c r="B1625">
        <v>340</v>
      </c>
      <c r="C1625">
        <v>3.274</v>
      </c>
      <c r="E1625">
        <f t="shared" si="75"/>
        <v>1034214</v>
      </c>
      <c r="F1625">
        <f t="shared" si="76"/>
        <v>444.26111111111106</v>
      </c>
      <c r="G1625">
        <f t="shared" si="77"/>
        <v>4.8926246970535718</v>
      </c>
    </row>
    <row r="1626" spans="1:7" x14ac:dyDescent="0.35">
      <c r="A1626">
        <v>160</v>
      </c>
      <c r="B1626">
        <v>90</v>
      </c>
      <c r="C1626">
        <v>1.9139999999999999</v>
      </c>
      <c r="E1626">
        <f t="shared" si="75"/>
        <v>1103161.6000000001</v>
      </c>
      <c r="F1626">
        <f t="shared" si="76"/>
        <v>305.37222222222221</v>
      </c>
      <c r="G1626">
        <f t="shared" si="77"/>
        <v>8.3690978360258068</v>
      </c>
    </row>
    <row r="1627" spans="1:7" x14ac:dyDescent="0.35">
      <c r="A1627">
        <v>160</v>
      </c>
      <c r="B1627">
        <v>100</v>
      </c>
      <c r="C1627">
        <v>1.9690000000000001</v>
      </c>
      <c r="E1627">
        <f t="shared" si="75"/>
        <v>1103161.6000000001</v>
      </c>
      <c r="F1627">
        <f t="shared" si="76"/>
        <v>310.92777777777775</v>
      </c>
      <c r="G1627">
        <f t="shared" si="77"/>
        <v>8.1353241534552527</v>
      </c>
    </row>
    <row r="1628" spans="1:7" x14ac:dyDescent="0.35">
      <c r="A1628">
        <v>160</v>
      </c>
      <c r="B1628">
        <v>110</v>
      </c>
      <c r="C1628">
        <v>2.0230000000000001</v>
      </c>
      <c r="E1628">
        <f t="shared" si="75"/>
        <v>1103161.6000000001</v>
      </c>
      <c r="F1628">
        <f t="shared" si="76"/>
        <v>316.48333333333329</v>
      </c>
      <c r="G1628">
        <f t="shared" si="77"/>
        <v>7.9181677005207076</v>
      </c>
    </row>
    <row r="1629" spans="1:7" x14ac:dyDescent="0.35">
      <c r="A1629">
        <v>160</v>
      </c>
      <c r="B1629">
        <v>120</v>
      </c>
      <c r="C1629">
        <v>2.0750000000000002</v>
      </c>
      <c r="E1629">
        <f t="shared" si="75"/>
        <v>1103161.6000000001</v>
      </c>
      <c r="F1629">
        <f t="shared" si="76"/>
        <v>322.03888888888889</v>
      </c>
      <c r="G1629">
        <f t="shared" si="77"/>
        <v>7.7197365099534414</v>
      </c>
    </row>
    <row r="1630" spans="1:7" x14ac:dyDescent="0.35">
      <c r="A1630">
        <v>160</v>
      </c>
      <c r="B1630">
        <v>130</v>
      </c>
      <c r="C1630">
        <v>2.125</v>
      </c>
      <c r="E1630">
        <f t="shared" si="75"/>
        <v>1103161.6000000001</v>
      </c>
      <c r="F1630">
        <f t="shared" si="76"/>
        <v>327.59444444444443</v>
      </c>
      <c r="G1630">
        <f t="shared" si="77"/>
        <v>7.5380956508957153</v>
      </c>
    </row>
    <row r="1631" spans="1:7" x14ac:dyDescent="0.35">
      <c r="A1631">
        <v>160</v>
      </c>
      <c r="B1631">
        <v>140</v>
      </c>
      <c r="C1631">
        <v>2.1749999999999998</v>
      </c>
      <c r="E1631">
        <f t="shared" si="75"/>
        <v>1103161.6000000001</v>
      </c>
      <c r="F1631">
        <f t="shared" si="76"/>
        <v>333.15</v>
      </c>
      <c r="G1631">
        <f t="shared" si="77"/>
        <v>7.3648060957027104</v>
      </c>
    </row>
    <row r="1632" spans="1:7" x14ac:dyDescent="0.35">
      <c r="A1632">
        <v>160</v>
      </c>
      <c r="B1632">
        <v>150</v>
      </c>
      <c r="C1632">
        <v>2.2240000000000002</v>
      </c>
      <c r="E1632">
        <f t="shared" si="75"/>
        <v>1103161.6000000001</v>
      </c>
      <c r="F1632">
        <f t="shared" si="76"/>
        <v>338.70555555555552</v>
      </c>
      <c r="G1632">
        <f t="shared" si="77"/>
        <v>7.2025419326229283</v>
      </c>
    </row>
    <row r="1633" spans="1:7" x14ac:dyDescent="0.35">
      <c r="A1633">
        <v>160</v>
      </c>
      <c r="B1633">
        <v>160</v>
      </c>
      <c r="C1633">
        <v>2.2719999999999998</v>
      </c>
      <c r="E1633">
        <f t="shared" si="75"/>
        <v>1103161.6000000001</v>
      </c>
      <c r="F1633">
        <f t="shared" si="76"/>
        <v>344.26111111111106</v>
      </c>
      <c r="G1633">
        <f t="shared" si="77"/>
        <v>7.0503755537646979</v>
      </c>
    </row>
    <row r="1634" spans="1:7" x14ac:dyDescent="0.35">
      <c r="A1634">
        <v>160</v>
      </c>
      <c r="B1634">
        <v>170</v>
      </c>
      <c r="C1634">
        <v>2.319</v>
      </c>
      <c r="E1634">
        <f t="shared" si="75"/>
        <v>1103161.6000000001</v>
      </c>
      <c r="F1634">
        <f t="shared" si="76"/>
        <v>349.81666666666666</v>
      </c>
      <c r="G1634">
        <f t="shared" si="77"/>
        <v>6.9074830781170311</v>
      </c>
    </row>
    <row r="1635" spans="1:7" x14ac:dyDescent="0.35">
      <c r="A1635">
        <v>160</v>
      </c>
      <c r="B1635">
        <v>180</v>
      </c>
      <c r="C1635">
        <v>2.3650000000000002</v>
      </c>
      <c r="E1635">
        <f t="shared" si="75"/>
        <v>1103161.6000000001</v>
      </c>
      <c r="F1635">
        <f t="shared" si="76"/>
        <v>355.37222222222221</v>
      </c>
      <c r="G1635">
        <f t="shared" si="77"/>
        <v>6.773130341713907</v>
      </c>
    </row>
    <row r="1636" spans="1:7" x14ac:dyDescent="0.35">
      <c r="A1636">
        <v>160</v>
      </c>
      <c r="B1636">
        <v>190</v>
      </c>
      <c r="C1636">
        <v>2.411</v>
      </c>
      <c r="E1636">
        <f t="shared" si="75"/>
        <v>1103161.6000000001</v>
      </c>
      <c r="F1636">
        <f t="shared" si="76"/>
        <v>360.92777777777775</v>
      </c>
      <c r="G1636">
        <f t="shared" si="77"/>
        <v>6.6439042962063013</v>
      </c>
    </row>
    <row r="1637" spans="1:7" x14ac:dyDescent="0.35">
      <c r="A1637">
        <v>160</v>
      </c>
      <c r="B1637">
        <v>200</v>
      </c>
      <c r="C1637">
        <v>2.4569999999999999</v>
      </c>
      <c r="E1637">
        <f t="shared" si="75"/>
        <v>1103161.6000000001</v>
      </c>
      <c r="F1637">
        <f t="shared" si="76"/>
        <v>366.48333333333329</v>
      </c>
      <c r="G1637">
        <f t="shared" si="77"/>
        <v>6.5195169955854269</v>
      </c>
    </row>
    <row r="1638" spans="1:7" x14ac:dyDescent="0.35">
      <c r="A1638">
        <v>160</v>
      </c>
      <c r="B1638">
        <v>210</v>
      </c>
      <c r="C1638">
        <v>2.5019999999999998</v>
      </c>
      <c r="E1638">
        <f t="shared" si="75"/>
        <v>1103161.6000000001</v>
      </c>
      <c r="F1638">
        <f t="shared" si="76"/>
        <v>372.03888888888889</v>
      </c>
      <c r="G1638">
        <f t="shared" si="77"/>
        <v>6.4022594956648256</v>
      </c>
    </row>
    <row r="1639" spans="1:7" x14ac:dyDescent="0.35">
      <c r="A1639">
        <v>160</v>
      </c>
      <c r="B1639">
        <v>220</v>
      </c>
      <c r="C1639">
        <v>2.5470000000000002</v>
      </c>
      <c r="E1639">
        <f t="shared" si="75"/>
        <v>1103161.6000000001</v>
      </c>
      <c r="F1639">
        <f t="shared" si="76"/>
        <v>377.59444444444443</v>
      </c>
      <c r="G1639">
        <f t="shared" si="77"/>
        <v>6.289145370299722</v>
      </c>
    </row>
    <row r="1640" spans="1:7" x14ac:dyDescent="0.35">
      <c r="A1640">
        <v>160</v>
      </c>
      <c r="B1640">
        <v>230</v>
      </c>
      <c r="C1640">
        <v>2.5910000000000002</v>
      </c>
      <c r="E1640">
        <f t="shared" si="75"/>
        <v>1103161.6000000001</v>
      </c>
      <c r="F1640">
        <f t="shared" si="76"/>
        <v>383.15</v>
      </c>
      <c r="G1640">
        <f t="shared" si="77"/>
        <v>6.1823439823054391</v>
      </c>
    </row>
    <row r="1641" spans="1:7" x14ac:dyDescent="0.35">
      <c r="A1641">
        <v>160</v>
      </c>
      <c r="B1641">
        <v>240</v>
      </c>
      <c r="C1641">
        <v>2.6349999999999998</v>
      </c>
      <c r="E1641">
        <f t="shared" si="75"/>
        <v>1103161.6000000001</v>
      </c>
      <c r="F1641">
        <f t="shared" si="76"/>
        <v>388.70555555555552</v>
      </c>
      <c r="G1641">
        <f t="shared" si="77"/>
        <v>6.0791093958836413</v>
      </c>
    </row>
    <row r="1642" spans="1:7" x14ac:dyDescent="0.35">
      <c r="A1642">
        <v>160</v>
      </c>
      <c r="B1642">
        <v>250</v>
      </c>
      <c r="C1642">
        <v>2.6789999999999998</v>
      </c>
      <c r="E1642">
        <f t="shared" si="75"/>
        <v>1103161.6000000001</v>
      </c>
      <c r="F1642">
        <f t="shared" si="76"/>
        <v>394.26111111111106</v>
      </c>
      <c r="G1642">
        <f t="shared" si="77"/>
        <v>5.9792658671718533</v>
      </c>
    </row>
    <row r="1643" spans="1:7" x14ac:dyDescent="0.35">
      <c r="A1643">
        <v>160</v>
      </c>
      <c r="B1643">
        <v>260</v>
      </c>
      <c r="C1643">
        <v>2.7229999999999999</v>
      </c>
      <c r="E1643">
        <f t="shared" si="75"/>
        <v>1103161.6000000001</v>
      </c>
      <c r="F1643">
        <f t="shared" si="76"/>
        <v>399.81666666666666</v>
      </c>
      <c r="G1643">
        <f t="shared" si="77"/>
        <v>5.8826490114408347</v>
      </c>
    </row>
    <row r="1644" spans="1:7" x14ac:dyDescent="0.35">
      <c r="A1644">
        <v>160</v>
      </c>
      <c r="B1644">
        <v>270</v>
      </c>
      <c r="C1644">
        <v>2.766</v>
      </c>
      <c r="E1644">
        <f t="shared" si="75"/>
        <v>1103161.6000000001</v>
      </c>
      <c r="F1644">
        <f t="shared" si="76"/>
        <v>405.37222222222221</v>
      </c>
      <c r="G1644">
        <f t="shared" si="77"/>
        <v>5.7911978518269676</v>
      </c>
    </row>
    <row r="1645" spans="1:7" x14ac:dyDescent="0.35">
      <c r="A1645">
        <v>160</v>
      </c>
      <c r="B1645">
        <v>280</v>
      </c>
      <c r="C1645">
        <v>2.8090000000000002</v>
      </c>
      <c r="E1645">
        <f t="shared" si="75"/>
        <v>1103161.6000000001</v>
      </c>
      <c r="F1645">
        <f t="shared" si="76"/>
        <v>410.92777777777775</v>
      </c>
      <c r="G1645">
        <f t="shared" si="77"/>
        <v>5.7025465497164092</v>
      </c>
    </row>
    <row r="1646" spans="1:7" x14ac:dyDescent="0.35">
      <c r="A1646">
        <v>160</v>
      </c>
      <c r="B1646">
        <v>290</v>
      </c>
      <c r="C1646">
        <v>2.8519999999999999</v>
      </c>
      <c r="E1646">
        <f t="shared" si="75"/>
        <v>1103161.6000000001</v>
      </c>
      <c r="F1646">
        <f t="shared" si="76"/>
        <v>416.48333333333335</v>
      </c>
      <c r="G1646">
        <f t="shared" si="77"/>
        <v>5.6165684635881465</v>
      </c>
    </row>
    <row r="1647" spans="1:7" x14ac:dyDescent="0.35">
      <c r="A1647">
        <v>160</v>
      </c>
      <c r="B1647">
        <v>300</v>
      </c>
      <c r="C1647">
        <v>2.895</v>
      </c>
      <c r="E1647">
        <f t="shared" si="75"/>
        <v>1103161.6000000001</v>
      </c>
      <c r="F1647">
        <f t="shared" si="76"/>
        <v>422.03888888888889</v>
      </c>
      <c r="G1647">
        <f t="shared" si="77"/>
        <v>5.5331444760460773</v>
      </c>
    </row>
    <row r="1648" spans="1:7" x14ac:dyDescent="0.35">
      <c r="A1648">
        <v>160</v>
      </c>
      <c r="B1648">
        <v>320</v>
      </c>
      <c r="C1648">
        <v>2.98</v>
      </c>
      <c r="E1648">
        <f t="shared" si="75"/>
        <v>1103161.6000000001</v>
      </c>
      <c r="F1648">
        <f t="shared" si="76"/>
        <v>433.15</v>
      </c>
      <c r="G1648">
        <f t="shared" si="77"/>
        <v>5.3753198852863733</v>
      </c>
    </row>
    <row r="1649" spans="1:7" x14ac:dyDescent="0.35">
      <c r="A1649">
        <v>160</v>
      </c>
      <c r="B1649">
        <v>340</v>
      </c>
      <c r="C1649">
        <v>3.0640000000000001</v>
      </c>
      <c r="E1649">
        <f t="shared" si="75"/>
        <v>1103161.6000000001</v>
      </c>
      <c r="F1649">
        <f t="shared" si="76"/>
        <v>444.26111111111106</v>
      </c>
      <c r="G1649">
        <f t="shared" si="77"/>
        <v>5.2279547187184701</v>
      </c>
    </row>
    <row r="1650" spans="1:7" x14ac:dyDescent="0.35">
      <c r="A1650">
        <v>170</v>
      </c>
      <c r="B1650">
        <v>90</v>
      </c>
      <c r="C1650">
        <v>1.784</v>
      </c>
      <c r="E1650">
        <f t="shared" si="75"/>
        <v>1172109.2</v>
      </c>
      <c r="F1650">
        <f t="shared" si="76"/>
        <v>305.37222222222221</v>
      </c>
      <c r="G1650">
        <f t="shared" si="77"/>
        <v>8.9789536200411391</v>
      </c>
    </row>
    <row r="1651" spans="1:7" x14ac:dyDescent="0.35">
      <c r="A1651">
        <v>170</v>
      </c>
      <c r="B1651">
        <v>100</v>
      </c>
      <c r="C1651">
        <v>1.837</v>
      </c>
      <c r="E1651">
        <f t="shared" si="75"/>
        <v>1172109.2</v>
      </c>
      <c r="F1651">
        <f t="shared" si="76"/>
        <v>310.92777777777775</v>
      </c>
      <c r="G1651">
        <f t="shared" si="77"/>
        <v>8.7198983441226972</v>
      </c>
    </row>
    <row r="1652" spans="1:7" x14ac:dyDescent="0.35">
      <c r="A1652">
        <v>170</v>
      </c>
      <c r="B1652">
        <v>110</v>
      </c>
      <c r="C1652">
        <v>1.889</v>
      </c>
      <c r="E1652">
        <f t="shared" si="75"/>
        <v>1172109.2</v>
      </c>
      <c r="F1652">
        <f t="shared" si="76"/>
        <v>316.48333333333329</v>
      </c>
      <c r="G1652">
        <f t="shared" si="77"/>
        <v>8.4798587920346176</v>
      </c>
    </row>
    <row r="1653" spans="1:7" x14ac:dyDescent="0.35">
      <c r="A1653">
        <v>170</v>
      </c>
      <c r="B1653">
        <v>120</v>
      </c>
      <c r="C1653">
        <v>1.9390000000000001</v>
      </c>
      <c r="E1653">
        <f t="shared" si="75"/>
        <v>1172109.2</v>
      </c>
      <c r="F1653">
        <f t="shared" si="76"/>
        <v>322.03888888888889</v>
      </c>
      <c r="G1653">
        <f t="shared" si="77"/>
        <v>8.2611930160667306</v>
      </c>
    </row>
    <row r="1654" spans="1:7" x14ac:dyDescent="0.35">
      <c r="A1654">
        <v>170</v>
      </c>
      <c r="B1654">
        <v>130</v>
      </c>
      <c r="C1654">
        <v>1.988</v>
      </c>
      <c r="E1654">
        <f t="shared" si="75"/>
        <v>1172109.2</v>
      </c>
      <c r="F1654">
        <f t="shared" si="76"/>
        <v>327.59444444444443</v>
      </c>
      <c r="G1654">
        <f t="shared" si="77"/>
        <v>8.0575720614453683</v>
      </c>
    </row>
    <row r="1655" spans="1:7" x14ac:dyDescent="0.35">
      <c r="A1655">
        <v>170</v>
      </c>
      <c r="B1655">
        <v>140</v>
      </c>
      <c r="C1655">
        <v>2.0350000000000001</v>
      </c>
      <c r="E1655">
        <f t="shared" si="75"/>
        <v>1172109.2</v>
      </c>
      <c r="F1655">
        <f t="shared" si="76"/>
        <v>333.15</v>
      </c>
      <c r="G1655">
        <f t="shared" si="77"/>
        <v>7.8714758025323794</v>
      </c>
    </row>
    <row r="1656" spans="1:7" x14ac:dyDescent="0.35">
      <c r="A1656">
        <v>170</v>
      </c>
      <c r="B1656">
        <v>150</v>
      </c>
      <c r="C1656">
        <v>2.081</v>
      </c>
      <c r="E1656">
        <f t="shared" si="75"/>
        <v>1172109.2</v>
      </c>
      <c r="F1656">
        <f t="shared" si="76"/>
        <v>338.70555555555552</v>
      </c>
      <c r="G1656">
        <f t="shared" si="77"/>
        <v>7.6974787401025448</v>
      </c>
    </row>
    <row r="1657" spans="1:7" x14ac:dyDescent="0.35">
      <c r="A1657">
        <v>170</v>
      </c>
      <c r="B1657">
        <v>160</v>
      </c>
      <c r="C1657">
        <v>2.1269999999999998</v>
      </c>
      <c r="E1657">
        <f t="shared" si="75"/>
        <v>1172109.2</v>
      </c>
      <c r="F1657">
        <f t="shared" si="76"/>
        <v>344.26111111111106</v>
      </c>
      <c r="G1657">
        <f t="shared" si="77"/>
        <v>7.5310076437016429</v>
      </c>
    </row>
    <row r="1658" spans="1:7" x14ac:dyDescent="0.35">
      <c r="A1658">
        <v>170</v>
      </c>
      <c r="B1658">
        <v>170</v>
      </c>
      <c r="C1658">
        <v>2.1720000000000002</v>
      </c>
      <c r="E1658">
        <f t="shared" si="75"/>
        <v>1172109.2</v>
      </c>
      <c r="F1658">
        <f t="shared" si="76"/>
        <v>349.81666666666666</v>
      </c>
      <c r="G1658">
        <f t="shared" si="77"/>
        <v>7.3749784798127962</v>
      </c>
    </row>
    <row r="1659" spans="1:7" x14ac:dyDescent="0.35">
      <c r="A1659">
        <v>170</v>
      </c>
      <c r="B1659">
        <v>180</v>
      </c>
      <c r="C1659">
        <v>2.2160000000000002</v>
      </c>
      <c r="E1659">
        <f t="shared" si="75"/>
        <v>1172109.2</v>
      </c>
      <c r="F1659">
        <f t="shared" si="76"/>
        <v>355.37222222222221</v>
      </c>
      <c r="G1659">
        <f t="shared" si="77"/>
        <v>7.2285438890583897</v>
      </c>
    </row>
    <row r="1660" spans="1:7" x14ac:dyDescent="0.35">
      <c r="A1660">
        <v>170</v>
      </c>
      <c r="B1660">
        <v>190</v>
      </c>
      <c r="C1660">
        <v>2.2599999999999998</v>
      </c>
      <c r="E1660">
        <f t="shared" si="75"/>
        <v>1172109.2</v>
      </c>
      <c r="F1660">
        <f t="shared" si="76"/>
        <v>360.92777777777775</v>
      </c>
      <c r="G1660">
        <f t="shared" si="77"/>
        <v>7.0878111761740685</v>
      </c>
    </row>
    <row r="1661" spans="1:7" x14ac:dyDescent="0.35">
      <c r="A1661">
        <v>170</v>
      </c>
      <c r="B1661">
        <v>200</v>
      </c>
      <c r="C1661">
        <v>2.3029999999999999</v>
      </c>
      <c r="E1661">
        <f t="shared" si="75"/>
        <v>1172109.2</v>
      </c>
      <c r="F1661">
        <f t="shared" si="76"/>
        <v>366.48333333333329</v>
      </c>
      <c r="G1661">
        <f t="shared" si="77"/>
        <v>6.9554725393631758</v>
      </c>
    </row>
    <row r="1662" spans="1:7" x14ac:dyDescent="0.35">
      <c r="A1662">
        <v>170</v>
      </c>
      <c r="B1662">
        <v>210</v>
      </c>
      <c r="C1662">
        <v>2.3460000000000001</v>
      </c>
      <c r="E1662">
        <f t="shared" si="75"/>
        <v>1172109.2</v>
      </c>
      <c r="F1662">
        <f t="shared" si="76"/>
        <v>372.03888888888889</v>
      </c>
      <c r="G1662">
        <f t="shared" si="77"/>
        <v>6.8279851910287261</v>
      </c>
    </row>
    <row r="1663" spans="1:7" x14ac:dyDescent="0.35">
      <c r="A1663">
        <v>170</v>
      </c>
      <c r="B1663">
        <v>220</v>
      </c>
      <c r="C1663">
        <v>2.3889999999999998</v>
      </c>
      <c r="E1663">
        <f t="shared" si="75"/>
        <v>1172109.2</v>
      </c>
      <c r="F1663">
        <f t="shared" si="76"/>
        <v>377.59444444444443</v>
      </c>
      <c r="G1663">
        <f t="shared" si="77"/>
        <v>6.7050871737770592</v>
      </c>
    </row>
    <row r="1664" spans="1:7" x14ac:dyDescent="0.35">
      <c r="A1664">
        <v>170</v>
      </c>
      <c r="B1664">
        <v>230</v>
      </c>
      <c r="C1664">
        <v>2.431</v>
      </c>
      <c r="E1664">
        <f t="shared" si="75"/>
        <v>1172109.2</v>
      </c>
      <c r="F1664">
        <f t="shared" si="76"/>
        <v>383.15</v>
      </c>
      <c r="G1664">
        <f t="shared" si="77"/>
        <v>6.5892444500836671</v>
      </c>
    </row>
    <row r="1665" spans="1:7" x14ac:dyDescent="0.35">
      <c r="A1665">
        <v>170</v>
      </c>
      <c r="B1665">
        <v>240</v>
      </c>
      <c r="C1665">
        <v>2.4729999999999999</v>
      </c>
      <c r="E1665">
        <f t="shared" si="75"/>
        <v>1172109.2</v>
      </c>
      <c r="F1665">
        <f t="shared" si="76"/>
        <v>388.70555555555552</v>
      </c>
      <c r="G1665">
        <f t="shared" si="77"/>
        <v>6.4773365378703573</v>
      </c>
    </row>
    <row r="1666" spans="1:7" x14ac:dyDescent="0.35">
      <c r="A1666">
        <v>170</v>
      </c>
      <c r="B1666">
        <v>250</v>
      </c>
      <c r="C1666">
        <v>2.5139999999999998</v>
      </c>
      <c r="E1666">
        <f t="shared" ref="E1666:E1729" si="78">A1666*6894.76</f>
        <v>1172109.2</v>
      </c>
      <c r="F1666">
        <f t="shared" si="76"/>
        <v>394.26111111111106</v>
      </c>
      <c r="G1666">
        <f t="shared" si="77"/>
        <v>6.3716997844683352</v>
      </c>
    </row>
    <row r="1667" spans="1:7" x14ac:dyDescent="0.35">
      <c r="A1667">
        <v>170</v>
      </c>
      <c r="B1667">
        <v>260</v>
      </c>
      <c r="C1667">
        <v>2.5550000000000002</v>
      </c>
      <c r="E1667">
        <f t="shared" si="78"/>
        <v>1172109.2</v>
      </c>
      <c r="F1667">
        <f t="shared" ref="F1667:F1730" si="79">(B1667-32)*5/9+273.15</f>
        <v>399.81666666666666</v>
      </c>
      <c r="G1667">
        <f t="shared" ref="G1667:G1730" si="80">1/(C1667*0.062428)</f>
        <v>6.269453330001328</v>
      </c>
    </row>
    <row r="1668" spans="1:7" x14ac:dyDescent="0.35">
      <c r="A1668">
        <v>170</v>
      </c>
      <c r="B1668">
        <v>270</v>
      </c>
      <c r="C1668">
        <v>2.5960000000000001</v>
      </c>
      <c r="E1668">
        <f t="shared" si="78"/>
        <v>1172109.2</v>
      </c>
      <c r="F1668">
        <f t="shared" si="79"/>
        <v>405.37222222222221</v>
      </c>
      <c r="G1668">
        <f t="shared" si="80"/>
        <v>6.170436540120722</v>
      </c>
    </row>
    <row r="1669" spans="1:7" x14ac:dyDescent="0.35">
      <c r="A1669">
        <v>170</v>
      </c>
      <c r="B1669">
        <v>280</v>
      </c>
      <c r="C1669">
        <v>2.637</v>
      </c>
      <c r="E1669">
        <f t="shared" si="78"/>
        <v>1172109.2</v>
      </c>
      <c r="F1669">
        <f t="shared" si="79"/>
        <v>410.92777777777775</v>
      </c>
      <c r="G1669">
        <f t="shared" si="80"/>
        <v>6.0744987706307905</v>
      </c>
    </row>
    <row r="1670" spans="1:7" x14ac:dyDescent="0.35">
      <c r="A1670">
        <v>170</v>
      </c>
      <c r="B1670">
        <v>290</v>
      </c>
      <c r="C1670">
        <v>2.6779999999999999</v>
      </c>
      <c r="E1670">
        <f t="shared" si="78"/>
        <v>1172109.2</v>
      </c>
      <c r="F1670">
        <f t="shared" si="79"/>
        <v>416.48333333333335</v>
      </c>
      <c r="G1670">
        <f t="shared" si="80"/>
        <v>5.9814986027458525</v>
      </c>
    </row>
    <row r="1671" spans="1:7" x14ac:dyDescent="0.35">
      <c r="A1671">
        <v>170</v>
      </c>
      <c r="B1671">
        <v>300</v>
      </c>
      <c r="C1671">
        <v>2.718</v>
      </c>
      <c r="E1671">
        <f t="shared" si="78"/>
        <v>1172109.2</v>
      </c>
      <c r="F1671">
        <f t="shared" si="79"/>
        <v>422.03888888888889</v>
      </c>
      <c r="G1671">
        <f t="shared" si="80"/>
        <v>5.8934706615722563</v>
      </c>
    </row>
    <row r="1672" spans="1:7" x14ac:dyDescent="0.35">
      <c r="A1672">
        <v>170</v>
      </c>
      <c r="B1672">
        <v>320</v>
      </c>
      <c r="C1672">
        <v>2.798</v>
      </c>
      <c r="E1672">
        <f t="shared" si="78"/>
        <v>1172109.2</v>
      </c>
      <c r="F1672">
        <f t="shared" si="79"/>
        <v>433.15</v>
      </c>
      <c r="G1672">
        <f t="shared" si="80"/>
        <v>5.7249654246438153</v>
      </c>
    </row>
    <row r="1673" spans="1:7" x14ac:dyDescent="0.35">
      <c r="A1673">
        <v>170</v>
      </c>
      <c r="B1673">
        <v>340</v>
      </c>
      <c r="C1673">
        <v>2.8780000000000001</v>
      </c>
      <c r="E1673">
        <f t="shared" si="78"/>
        <v>1172109.2</v>
      </c>
      <c r="F1673">
        <f t="shared" si="79"/>
        <v>444.26111111111106</v>
      </c>
      <c r="G1673">
        <f t="shared" si="80"/>
        <v>5.5658280952583024</v>
      </c>
    </row>
    <row r="1674" spans="1:7" x14ac:dyDescent="0.35">
      <c r="A1674">
        <v>180</v>
      </c>
      <c r="B1674">
        <v>90</v>
      </c>
      <c r="C1674">
        <v>1.6679999999999999</v>
      </c>
      <c r="E1674">
        <f t="shared" si="78"/>
        <v>1241056.8</v>
      </c>
      <c r="F1674">
        <f t="shared" si="79"/>
        <v>305.37222222222221</v>
      </c>
      <c r="G1674">
        <f t="shared" si="80"/>
        <v>9.6033892434972383</v>
      </c>
    </row>
    <row r="1675" spans="1:7" x14ac:dyDescent="0.35">
      <c r="A1675">
        <v>180</v>
      </c>
      <c r="B1675">
        <v>100</v>
      </c>
      <c r="C1675">
        <v>1.72</v>
      </c>
      <c r="E1675">
        <f t="shared" si="78"/>
        <v>1241056.8</v>
      </c>
      <c r="F1675">
        <f t="shared" si="79"/>
        <v>310.92777777777775</v>
      </c>
      <c r="G1675">
        <f t="shared" si="80"/>
        <v>9.3130542198566246</v>
      </c>
    </row>
    <row r="1676" spans="1:7" x14ac:dyDescent="0.35">
      <c r="A1676">
        <v>180</v>
      </c>
      <c r="B1676">
        <v>110</v>
      </c>
      <c r="C1676">
        <v>1.77</v>
      </c>
      <c r="E1676">
        <f t="shared" si="78"/>
        <v>1241056.8</v>
      </c>
      <c r="F1676">
        <f t="shared" si="79"/>
        <v>316.48333333333329</v>
      </c>
      <c r="G1676">
        <f t="shared" si="80"/>
        <v>9.049973592177059</v>
      </c>
    </row>
    <row r="1677" spans="1:7" x14ac:dyDescent="0.35">
      <c r="A1677">
        <v>180</v>
      </c>
      <c r="B1677">
        <v>120</v>
      </c>
      <c r="C1677">
        <v>1.8180000000000001</v>
      </c>
      <c r="E1677">
        <f t="shared" si="78"/>
        <v>1241056.8</v>
      </c>
      <c r="F1677">
        <f t="shared" si="79"/>
        <v>322.03888888888889</v>
      </c>
      <c r="G1677">
        <f t="shared" si="80"/>
        <v>8.8110303950238684</v>
      </c>
    </row>
    <row r="1678" spans="1:7" x14ac:dyDescent="0.35">
      <c r="A1678">
        <v>180</v>
      </c>
      <c r="B1678">
        <v>130</v>
      </c>
      <c r="C1678">
        <v>1.865</v>
      </c>
      <c r="E1678">
        <f t="shared" si="78"/>
        <v>1241056.8</v>
      </c>
      <c r="F1678">
        <f t="shared" si="79"/>
        <v>327.59444444444443</v>
      </c>
      <c r="G1678">
        <f t="shared" si="80"/>
        <v>8.5889829802431059</v>
      </c>
    </row>
    <row r="1679" spans="1:7" x14ac:dyDescent="0.35">
      <c r="A1679">
        <v>180</v>
      </c>
      <c r="B1679">
        <v>140</v>
      </c>
      <c r="C1679">
        <v>1.91</v>
      </c>
      <c r="E1679">
        <f t="shared" si="78"/>
        <v>1241056.8</v>
      </c>
      <c r="F1679">
        <f t="shared" si="79"/>
        <v>333.15</v>
      </c>
      <c r="G1679">
        <f t="shared" si="80"/>
        <v>8.3866247424886886</v>
      </c>
    </row>
    <row r="1680" spans="1:7" x14ac:dyDescent="0.35">
      <c r="A1680">
        <v>180</v>
      </c>
      <c r="B1680">
        <v>150</v>
      </c>
      <c r="C1680">
        <v>1.9550000000000001</v>
      </c>
      <c r="E1680">
        <f t="shared" si="78"/>
        <v>1241056.8</v>
      </c>
      <c r="F1680">
        <f t="shared" si="79"/>
        <v>338.70555555555552</v>
      </c>
      <c r="G1680">
        <f t="shared" si="80"/>
        <v>8.1935822292344724</v>
      </c>
    </row>
    <row r="1681" spans="1:7" x14ac:dyDescent="0.35">
      <c r="A1681">
        <v>180</v>
      </c>
      <c r="B1681">
        <v>160</v>
      </c>
      <c r="C1681">
        <v>1.9990000000000001</v>
      </c>
      <c r="E1681">
        <f t="shared" si="78"/>
        <v>1241056.8</v>
      </c>
      <c r="F1681">
        <f t="shared" si="79"/>
        <v>344.26111111111106</v>
      </c>
      <c r="G1681">
        <f t="shared" si="80"/>
        <v>8.0132332456995456</v>
      </c>
    </row>
    <row r="1682" spans="1:7" x14ac:dyDescent="0.35">
      <c r="A1682">
        <v>180</v>
      </c>
      <c r="B1682">
        <v>170</v>
      </c>
      <c r="C1682">
        <v>2.0419999999999998</v>
      </c>
      <c r="E1682">
        <f t="shared" si="78"/>
        <v>1241056.8</v>
      </c>
      <c r="F1682">
        <f t="shared" si="79"/>
        <v>349.81666666666666</v>
      </c>
      <c r="G1682">
        <f t="shared" si="80"/>
        <v>7.8444922909664028</v>
      </c>
    </row>
    <row r="1683" spans="1:7" x14ac:dyDescent="0.35">
      <c r="A1683">
        <v>180</v>
      </c>
      <c r="B1683">
        <v>180</v>
      </c>
      <c r="C1683">
        <v>2.0840000000000001</v>
      </c>
      <c r="E1683">
        <f t="shared" si="78"/>
        <v>1241056.8</v>
      </c>
      <c r="F1683">
        <f t="shared" si="79"/>
        <v>355.37222222222221</v>
      </c>
      <c r="G1683">
        <f t="shared" si="80"/>
        <v>7.6863979165803231</v>
      </c>
    </row>
    <row r="1684" spans="1:7" x14ac:dyDescent="0.35">
      <c r="A1684">
        <v>180</v>
      </c>
      <c r="B1684">
        <v>190</v>
      </c>
      <c r="C1684">
        <v>2.1259999999999999</v>
      </c>
      <c r="E1684">
        <f t="shared" si="78"/>
        <v>1241056.8</v>
      </c>
      <c r="F1684">
        <f t="shared" si="79"/>
        <v>360.92777777777775</v>
      </c>
      <c r="G1684">
        <f t="shared" si="80"/>
        <v>7.5345499803167426</v>
      </c>
    </row>
    <row r="1685" spans="1:7" x14ac:dyDescent="0.35">
      <c r="A1685">
        <v>180</v>
      </c>
      <c r="B1685">
        <v>200</v>
      </c>
      <c r="C1685">
        <v>2.1669999999999998</v>
      </c>
      <c r="E1685">
        <f t="shared" si="78"/>
        <v>1241056.8</v>
      </c>
      <c r="F1685">
        <f t="shared" si="79"/>
        <v>366.48333333333329</v>
      </c>
      <c r="G1685">
        <f t="shared" si="80"/>
        <v>7.3919950429872614</v>
      </c>
    </row>
    <row r="1686" spans="1:7" x14ac:dyDescent="0.35">
      <c r="A1686">
        <v>180</v>
      </c>
      <c r="B1686">
        <v>210</v>
      </c>
      <c r="C1686">
        <v>2.2080000000000002</v>
      </c>
      <c r="E1686">
        <f t="shared" si="78"/>
        <v>1241056.8</v>
      </c>
      <c r="F1686">
        <f t="shared" si="79"/>
        <v>372.03888888888889</v>
      </c>
      <c r="G1686">
        <f t="shared" si="80"/>
        <v>7.2547342654680218</v>
      </c>
    </row>
    <row r="1687" spans="1:7" x14ac:dyDescent="0.35">
      <c r="A1687">
        <v>180</v>
      </c>
      <c r="B1687">
        <v>220</v>
      </c>
      <c r="C1687">
        <v>2.2480000000000002</v>
      </c>
      <c r="E1687">
        <f t="shared" si="78"/>
        <v>1241056.8</v>
      </c>
      <c r="F1687">
        <f t="shared" si="79"/>
        <v>377.59444444444443</v>
      </c>
      <c r="G1687">
        <f t="shared" si="80"/>
        <v>7.1256464671500854</v>
      </c>
    </row>
    <row r="1688" spans="1:7" x14ac:dyDescent="0.35">
      <c r="A1688">
        <v>180</v>
      </c>
      <c r="B1688">
        <v>230</v>
      </c>
      <c r="C1688">
        <v>2.2879999999999998</v>
      </c>
      <c r="E1688">
        <f t="shared" si="78"/>
        <v>1241056.8</v>
      </c>
      <c r="F1688">
        <f t="shared" si="79"/>
        <v>383.15</v>
      </c>
      <c r="G1688">
        <f t="shared" si="80"/>
        <v>7.0010722282138955</v>
      </c>
    </row>
    <row r="1689" spans="1:7" x14ac:dyDescent="0.35">
      <c r="A1689">
        <v>180</v>
      </c>
      <c r="B1689">
        <v>240</v>
      </c>
      <c r="C1689">
        <v>2.3279999999999998</v>
      </c>
      <c r="E1689">
        <f t="shared" si="78"/>
        <v>1241056.8</v>
      </c>
      <c r="F1689">
        <f t="shared" si="79"/>
        <v>388.70555555555552</v>
      </c>
      <c r="G1689">
        <f t="shared" si="80"/>
        <v>6.8807788909593617</v>
      </c>
    </row>
    <row r="1690" spans="1:7" x14ac:dyDescent="0.35">
      <c r="A1690">
        <v>180</v>
      </c>
      <c r="B1690">
        <v>250</v>
      </c>
      <c r="C1690">
        <v>2.367</v>
      </c>
      <c r="E1690">
        <f t="shared" si="78"/>
        <v>1241056.8</v>
      </c>
      <c r="F1690">
        <f t="shared" si="79"/>
        <v>394.26111111111106</v>
      </c>
      <c r="G1690">
        <f t="shared" si="80"/>
        <v>6.7674073756457087</v>
      </c>
    </row>
    <row r="1691" spans="1:7" x14ac:dyDescent="0.35">
      <c r="A1691">
        <v>180</v>
      </c>
      <c r="B1691">
        <v>260</v>
      </c>
      <c r="C1691">
        <v>2.407</v>
      </c>
      <c r="E1691">
        <f t="shared" si="78"/>
        <v>1241056.8</v>
      </c>
      <c r="F1691">
        <f t="shared" si="79"/>
        <v>399.81666666666666</v>
      </c>
      <c r="G1691">
        <f t="shared" si="80"/>
        <v>6.6549452672012439</v>
      </c>
    </row>
    <row r="1692" spans="1:7" x14ac:dyDescent="0.35">
      <c r="A1692">
        <v>180</v>
      </c>
      <c r="B1692">
        <v>270</v>
      </c>
      <c r="C1692">
        <v>2.4460000000000002</v>
      </c>
      <c r="E1692">
        <f t="shared" si="78"/>
        <v>1241056.8</v>
      </c>
      <c r="F1692">
        <f t="shared" si="79"/>
        <v>405.37222222222221</v>
      </c>
      <c r="G1692">
        <f t="shared" si="80"/>
        <v>6.5488361644126707</v>
      </c>
    </row>
    <row r="1693" spans="1:7" x14ac:dyDescent="0.35">
      <c r="A1693">
        <v>180</v>
      </c>
      <c r="B1693">
        <v>280</v>
      </c>
      <c r="C1693">
        <v>2.484</v>
      </c>
      <c r="E1693">
        <f t="shared" si="78"/>
        <v>1241056.8</v>
      </c>
      <c r="F1693">
        <f t="shared" si="79"/>
        <v>410.92777777777775</v>
      </c>
      <c r="G1693">
        <f t="shared" si="80"/>
        <v>6.4486526804160205</v>
      </c>
    </row>
    <row r="1694" spans="1:7" x14ac:dyDescent="0.35">
      <c r="A1694">
        <v>180</v>
      </c>
      <c r="B1694">
        <v>290</v>
      </c>
      <c r="C1694">
        <v>2.5230000000000001</v>
      </c>
      <c r="E1694">
        <f t="shared" si="78"/>
        <v>1241056.8</v>
      </c>
      <c r="F1694">
        <f t="shared" si="79"/>
        <v>416.48333333333335</v>
      </c>
      <c r="G1694">
        <f t="shared" si="80"/>
        <v>6.3489707721575082</v>
      </c>
    </row>
    <row r="1695" spans="1:7" x14ac:dyDescent="0.35">
      <c r="A1695">
        <v>180</v>
      </c>
      <c r="B1695">
        <v>300</v>
      </c>
      <c r="C1695">
        <v>2.5609999999999999</v>
      </c>
      <c r="E1695">
        <f t="shared" si="78"/>
        <v>1241056.8</v>
      </c>
      <c r="F1695">
        <f t="shared" si="79"/>
        <v>422.03888888888889</v>
      </c>
      <c r="G1695">
        <f t="shared" si="80"/>
        <v>6.2547650363738354</v>
      </c>
    </row>
    <row r="1696" spans="1:7" x14ac:dyDescent="0.35">
      <c r="A1696">
        <v>180</v>
      </c>
      <c r="B1696">
        <v>320</v>
      </c>
      <c r="C1696">
        <v>2.637</v>
      </c>
      <c r="E1696">
        <f t="shared" si="78"/>
        <v>1241056.8</v>
      </c>
      <c r="F1696">
        <f t="shared" si="79"/>
        <v>433.15</v>
      </c>
      <c r="G1696">
        <f t="shared" si="80"/>
        <v>6.0744987706307905</v>
      </c>
    </row>
    <row r="1697" spans="1:7" x14ac:dyDescent="0.35">
      <c r="A1697">
        <v>180</v>
      </c>
      <c r="B1697">
        <v>340</v>
      </c>
      <c r="C1697">
        <v>2.7130000000000001</v>
      </c>
      <c r="E1697">
        <f t="shared" si="78"/>
        <v>1241056.8</v>
      </c>
      <c r="F1697">
        <f t="shared" si="79"/>
        <v>444.26111111111106</v>
      </c>
      <c r="G1697">
        <f t="shared" si="80"/>
        <v>5.904332199835383</v>
      </c>
    </row>
    <row r="1698" spans="1:7" x14ac:dyDescent="0.35">
      <c r="A1698">
        <v>190</v>
      </c>
      <c r="B1698">
        <v>100</v>
      </c>
      <c r="C1698">
        <v>1.615</v>
      </c>
      <c r="E1698">
        <f t="shared" si="78"/>
        <v>1310004.4000000001</v>
      </c>
      <c r="F1698">
        <f t="shared" si="79"/>
        <v>310.92777777777775</v>
      </c>
      <c r="G1698">
        <f t="shared" si="80"/>
        <v>9.91854690907331</v>
      </c>
    </row>
    <row r="1699" spans="1:7" x14ac:dyDescent="0.35">
      <c r="A1699">
        <v>190</v>
      </c>
      <c r="B1699">
        <v>110</v>
      </c>
      <c r="C1699">
        <v>1.663</v>
      </c>
      <c r="E1699">
        <f t="shared" si="78"/>
        <v>1310004.4000000001</v>
      </c>
      <c r="F1699">
        <f t="shared" si="79"/>
        <v>316.48333333333329</v>
      </c>
      <c r="G1699">
        <f t="shared" si="80"/>
        <v>9.6322629333453964</v>
      </c>
    </row>
    <row r="1700" spans="1:7" x14ac:dyDescent="0.35">
      <c r="A1700">
        <v>190</v>
      </c>
      <c r="B1700">
        <v>120</v>
      </c>
      <c r="C1700">
        <v>1.71</v>
      </c>
      <c r="E1700">
        <f t="shared" si="78"/>
        <v>1310004.4000000001</v>
      </c>
      <c r="F1700">
        <f t="shared" si="79"/>
        <v>322.03888888888889</v>
      </c>
      <c r="G1700">
        <f t="shared" si="80"/>
        <v>9.3675165252359029</v>
      </c>
    </row>
    <row r="1701" spans="1:7" x14ac:dyDescent="0.35">
      <c r="A1701">
        <v>190</v>
      </c>
      <c r="B1701">
        <v>130</v>
      </c>
      <c r="C1701">
        <v>1.7549999999999999</v>
      </c>
      <c r="E1701">
        <f t="shared" si="78"/>
        <v>1310004.4000000001</v>
      </c>
      <c r="F1701">
        <f t="shared" si="79"/>
        <v>327.59444444444443</v>
      </c>
      <c r="G1701">
        <f t="shared" si="80"/>
        <v>9.1273237938195972</v>
      </c>
    </row>
    <row r="1702" spans="1:7" x14ac:dyDescent="0.35">
      <c r="A1702">
        <v>190</v>
      </c>
      <c r="B1702">
        <v>140</v>
      </c>
      <c r="C1702">
        <v>1.7989999999999999</v>
      </c>
      <c r="E1702">
        <f t="shared" si="78"/>
        <v>1310004.4000000001</v>
      </c>
      <c r="F1702">
        <f t="shared" si="79"/>
        <v>333.15</v>
      </c>
      <c r="G1702">
        <f t="shared" si="80"/>
        <v>8.9040874142042217</v>
      </c>
    </row>
    <row r="1703" spans="1:7" x14ac:dyDescent="0.35">
      <c r="A1703">
        <v>190</v>
      </c>
      <c r="B1703">
        <v>150</v>
      </c>
      <c r="C1703">
        <v>1.8420000000000001</v>
      </c>
      <c r="E1703">
        <f t="shared" si="78"/>
        <v>1310004.4000000001</v>
      </c>
      <c r="F1703">
        <f t="shared" si="79"/>
        <v>338.70555555555552</v>
      </c>
      <c r="G1703">
        <f t="shared" si="80"/>
        <v>8.6962286960659032</v>
      </c>
    </row>
    <row r="1704" spans="1:7" x14ac:dyDescent="0.35">
      <c r="A1704">
        <v>190</v>
      </c>
      <c r="B1704">
        <v>160</v>
      </c>
      <c r="C1704">
        <v>1.8839999999999999</v>
      </c>
      <c r="E1704">
        <f t="shared" si="78"/>
        <v>1310004.4000000001</v>
      </c>
      <c r="F1704">
        <f t="shared" si="79"/>
        <v>344.26111111111106</v>
      </c>
      <c r="G1704">
        <f t="shared" si="80"/>
        <v>8.5023637251344972</v>
      </c>
    </row>
    <row r="1705" spans="1:7" x14ac:dyDescent="0.35">
      <c r="A1705">
        <v>190</v>
      </c>
      <c r="B1705">
        <v>170</v>
      </c>
      <c r="C1705">
        <v>1.925</v>
      </c>
      <c r="E1705">
        <f t="shared" si="78"/>
        <v>1310004.4000000001</v>
      </c>
      <c r="F1705">
        <f t="shared" si="79"/>
        <v>349.81666666666666</v>
      </c>
      <c r="G1705">
        <f t="shared" si="80"/>
        <v>8.3212744198199449</v>
      </c>
    </row>
    <row r="1706" spans="1:7" x14ac:dyDescent="0.35">
      <c r="A1706">
        <v>190</v>
      </c>
      <c r="B1706">
        <v>180</v>
      </c>
      <c r="C1706">
        <v>1.966</v>
      </c>
      <c r="E1706">
        <f t="shared" si="78"/>
        <v>1310004.4000000001</v>
      </c>
      <c r="F1706">
        <f t="shared" si="79"/>
        <v>355.37222222222221</v>
      </c>
      <c r="G1706">
        <f t="shared" si="80"/>
        <v>8.147738178104472</v>
      </c>
    </row>
    <row r="1707" spans="1:7" x14ac:dyDescent="0.35">
      <c r="A1707">
        <v>190</v>
      </c>
      <c r="B1707">
        <v>190</v>
      </c>
      <c r="C1707">
        <v>2.0049999999999999</v>
      </c>
      <c r="E1707">
        <f t="shared" si="78"/>
        <v>1310004.4000000001</v>
      </c>
      <c r="F1707">
        <f t="shared" si="79"/>
        <v>360.92777777777775</v>
      </c>
      <c r="G1707">
        <f t="shared" si="80"/>
        <v>7.9892534953383514</v>
      </c>
    </row>
    <row r="1708" spans="1:7" x14ac:dyDescent="0.35">
      <c r="A1708">
        <v>190</v>
      </c>
      <c r="B1708">
        <v>200</v>
      </c>
      <c r="C1708">
        <v>2.0449999999999999</v>
      </c>
      <c r="E1708">
        <f t="shared" si="78"/>
        <v>1310004.4000000001</v>
      </c>
      <c r="F1708">
        <f t="shared" si="79"/>
        <v>366.48333333333329</v>
      </c>
      <c r="G1708">
        <f t="shared" si="80"/>
        <v>7.832984478314617</v>
      </c>
    </row>
    <row r="1709" spans="1:7" x14ac:dyDescent="0.35">
      <c r="A1709">
        <v>190</v>
      </c>
      <c r="B1709">
        <v>210</v>
      </c>
      <c r="C1709">
        <v>2.0840000000000001</v>
      </c>
      <c r="E1709">
        <f t="shared" si="78"/>
        <v>1310004.4000000001</v>
      </c>
      <c r="F1709">
        <f t="shared" si="79"/>
        <v>372.03888888888889</v>
      </c>
      <c r="G1709">
        <f t="shared" si="80"/>
        <v>7.6863979165803231</v>
      </c>
    </row>
    <row r="1710" spans="1:7" x14ac:dyDescent="0.35">
      <c r="A1710">
        <v>190</v>
      </c>
      <c r="B1710">
        <v>220</v>
      </c>
      <c r="C1710">
        <v>2.1230000000000002</v>
      </c>
      <c r="E1710">
        <f t="shared" si="78"/>
        <v>1310004.4000000001</v>
      </c>
      <c r="F1710">
        <f t="shared" si="79"/>
        <v>377.59444444444443</v>
      </c>
      <c r="G1710">
        <f t="shared" si="80"/>
        <v>7.5451970127901049</v>
      </c>
    </row>
    <row r="1711" spans="1:7" x14ac:dyDescent="0.35">
      <c r="A1711">
        <v>190</v>
      </c>
      <c r="B1711">
        <v>230</v>
      </c>
      <c r="C1711">
        <v>2.161</v>
      </c>
      <c r="E1711">
        <f t="shared" si="78"/>
        <v>1310004.4000000001</v>
      </c>
      <c r="F1711">
        <f t="shared" si="79"/>
        <v>383.15</v>
      </c>
      <c r="G1711">
        <f t="shared" si="80"/>
        <v>7.4125188607836154</v>
      </c>
    </row>
    <row r="1712" spans="1:7" x14ac:dyDescent="0.35">
      <c r="A1712">
        <v>190</v>
      </c>
      <c r="B1712">
        <v>240</v>
      </c>
      <c r="C1712">
        <v>2.1989999999999998</v>
      </c>
      <c r="E1712">
        <f t="shared" si="78"/>
        <v>1310004.4000000001</v>
      </c>
      <c r="F1712">
        <f t="shared" si="79"/>
        <v>388.70555555555552</v>
      </c>
      <c r="G1712">
        <f t="shared" si="80"/>
        <v>7.2844262201698022</v>
      </c>
    </row>
    <row r="1713" spans="1:7" x14ac:dyDescent="0.35">
      <c r="A1713">
        <v>190</v>
      </c>
      <c r="B1713">
        <v>250</v>
      </c>
      <c r="C1713">
        <v>2.234</v>
      </c>
      <c r="E1713">
        <f t="shared" si="78"/>
        <v>1310004.4000000001</v>
      </c>
      <c r="F1713">
        <f t="shared" si="79"/>
        <v>394.26111111111106</v>
      </c>
      <c r="G1713">
        <f t="shared" si="80"/>
        <v>7.1703013689137851</v>
      </c>
    </row>
    <row r="1714" spans="1:7" x14ac:dyDescent="0.35">
      <c r="A1714">
        <v>190</v>
      </c>
      <c r="B1714">
        <v>260</v>
      </c>
      <c r="C1714">
        <v>2.274</v>
      </c>
      <c r="E1714">
        <f t="shared" si="78"/>
        <v>1310004.4000000001</v>
      </c>
      <c r="F1714">
        <f t="shared" si="79"/>
        <v>399.81666666666666</v>
      </c>
      <c r="G1714">
        <f t="shared" si="80"/>
        <v>7.0441746957578681</v>
      </c>
    </row>
    <row r="1715" spans="1:7" x14ac:dyDescent="0.35">
      <c r="A1715">
        <v>190</v>
      </c>
      <c r="B1715">
        <v>270</v>
      </c>
      <c r="C1715">
        <v>2.3109999999999999</v>
      </c>
      <c r="E1715">
        <f t="shared" si="78"/>
        <v>1310004.4000000001</v>
      </c>
      <c r="F1715">
        <f t="shared" si="79"/>
        <v>405.37222222222221</v>
      </c>
      <c r="G1715">
        <f t="shared" si="80"/>
        <v>6.9313947460637797</v>
      </c>
    </row>
    <row r="1716" spans="1:7" x14ac:dyDescent="0.35">
      <c r="A1716">
        <v>190</v>
      </c>
      <c r="B1716">
        <v>280</v>
      </c>
      <c r="C1716">
        <v>2.3479999999999999</v>
      </c>
      <c r="E1716">
        <f t="shared" si="78"/>
        <v>1310004.4000000001</v>
      </c>
      <c r="F1716">
        <f t="shared" si="79"/>
        <v>410.92777777777775</v>
      </c>
      <c r="G1716">
        <f t="shared" si="80"/>
        <v>6.8221691900142218</v>
      </c>
    </row>
    <row r="1717" spans="1:7" x14ac:dyDescent="0.35">
      <c r="A1717">
        <v>190</v>
      </c>
      <c r="B1717">
        <v>290</v>
      </c>
      <c r="C1717">
        <v>2.3839999999999999</v>
      </c>
      <c r="E1717">
        <f t="shared" si="78"/>
        <v>1310004.4000000001</v>
      </c>
      <c r="F1717">
        <f t="shared" si="79"/>
        <v>416.48333333333335</v>
      </c>
      <c r="G1717">
        <f t="shared" si="80"/>
        <v>6.7191498566079666</v>
      </c>
    </row>
    <row r="1718" spans="1:7" x14ac:dyDescent="0.35">
      <c r="A1718">
        <v>190</v>
      </c>
      <c r="B1718">
        <v>300</v>
      </c>
      <c r="C1718">
        <v>2.4209999999999998</v>
      </c>
      <c r="E1718">
        <f t="shared" si="78"/>
        <v>1310004.4000000001</v>
      </c>
      <c r="F1718">
        <f t="shared" si="79"/>
        <v>422.03888888888889</v>
      </c>
      <c r="G1718">
        <f t="shared" si="80"/>
        <v>6.6164614862261031</v>
      </c>
    </row>
    <row r="1719" spans="1:7" x14ac:dyDescent="0.35">
      <c r="A1719">
        <v>190</v>
      </c>
      <c r="B1719">
        <v>320</v>
      </c>
      <c r="C1719">
        <v>2.4929999999999999</v>
      </c>
      <c r="E1719">
        <f t="shared" si="78"/>
        <v>1310004.4000000001</v>
      </c>
      <c r="F1719">
        <f t="shared" si="79"/>
        <v>433.15</v>
      </c>
      <c r="G1719">
        <f t="shared" si="80"/>
        <v>6.4253723458296808</v>
      </c>
    </row>
    <row r="1720" spans="1:7" x14ac:dyDescent="0.35">
      <c r="A1720">
        <v>190</v>
      </c>
      <c r="B1720">
        <v>340</v>
      </c>
      <c r="C1720">
        <v>2.5649999999999999</v>
      </c>
      <c r="E1720">
        <f t="shared" si="78"/>
        <v>1310004.4000000001</v>
      </c>
      <c r="F1720">
        <f t="shared" si="79"/>
        <v>444.26111111111106</v>
      </c>
      <c r="G1720">
        <f t="shared" si="80"/>
        <v>6.2450110168239359</v>
      </c>
    </row>
    <row r="1721" spans="1:7" x14ac:dyDescent="0.35">
      <c r="A1721">
        <v>200</v>
      </c>
      <c r="B1721">
        <v>100</v>
      </c>
      <c r="C1721">
        <v>1.52</v>
      </c>
      <c r="E1721">
        <f t="shared" si="78"/>
        <v>1378952</v>
      </c>
      <c r="F1721">
        <f t="shared" si="79"/>
        <v>310.92777777777775</v>
      </c>
      <c r="G1721">
        <f t="shared" si="80"/>
        <v>10.53845609089039</v>
      </c>
    </row>
    <row r="1722" spans="1:7" x14ac:dyDescent="0.35">
      <c r="A1722">
        <v>200</v>
      </c>
      <c r="B1722">
        <v>110</v>
      </c>
      <c r="C1722">
        <v>1.5669999999999999</v>
      </c>
      <c r="E1722">
        <f t="shared" si="78"/>
        <v>1378952</v>
      </c>
      <c r="F1722">
        <f t="shared" si="79"/>
        <v>316.48333333333329</v>
      </c>
      <c r="G1722">
        <f t="shared" si="80"/>
        <v>10.222369660595655</v>
      </c>
    </row>
    <row r="1723" spans="1:7" x14ac:dyDescent="0.35">
      <c r="A1723">
        <v>200</v>
      </c>
      <c r="B1723">
        <v>120</v>
      </c>
      <c r="C1723">
        <v>1.6120000000000001</v>
      </c>
      <c r="E1723">
        <f t="shared" si="78"/>
        <v>1378952</v>
      </c>
      <c r="F1723">
        <f t="shared" si="79"/>
        <v>322.03888888888889</v>
      </c>
      <c r="G1723">
        <f t="shared" si="80"/>
        <v>9.9370057432713352</v>
      </c>
    </row>
    <row r="1724" spans="1:7" x14ac:dyDescent="0.35">
      <c r="A1724">
        <v>200</v>
      </c>
      <c r="B1724">
        <v>130</v>
      </c>
      <c r="C1724">
        <v>1.6559999999999999</v>
      </c>
      <c r="E1724">
        <f t="shared" si="78"/>
        <v>1378952</v>
      </c>
      <c r="F1724">
        <f t="shared" si="79"/>
        <v>327.59444444444443</v>
      </c>
      <c r="G1724">
        <f t="shared" si="80"/>
        <v>9.6729790206240303</v>
      </c>
    </row>
    <row r="1725" spans="1:7" x14ac:dyDescent="0.35">
      <c r="A1725">
        <v>200</v>
      </c>
      <c r="B1725">
        <v>140</v>
      </c>
      <c r="C1725">
        <v>1.698</v>
      </c>
      <c r="E1725">
        <f t="shared" si="78"/>
        <v>1378952</v>
      </c>
      <c r="F1725">
        <f t="shared" si="79"/>
        <v>333.15</v>
      </c>
      <c r="G1725">
        <f t="shared" si="80"/>
        <v>9.4337180554495834</v>
      </c>
    </row>
    <row r="1726" spans="1:7" x14ac:dyDescent="0.35">
      <c r="A1726">
        <v>200</v>
      </c>
      <c r="B1726">
        <v>150</v>
      </c>
      <c r="C1726">
        <v>1.74</v>
      </c>
      <c r="E1726">
        <f t="shared" si="78"/>
        <v>1378952</v>
      </c>
      <c r="F1726">
        <f t="shared" si="79"/>
        <v>338.70555555555552</v>
      </c>
      <c r="G1726">
        <f t="shared" si="80"/>
        <v>9.2060076196283873</v>
      </c>
    </row>
    <row r="1727" spans="1:7" x14ac:dyDescent="0.35">
      <c r="A1727">
        <v>200</v>
      </c>
      <c r="B1727">
        <v>160</v>
      </c>
      <c r="C1727">
        <v>1.78</v>
      </c>
      <c r="E1727">
        <f t="shared" si="78"/>
        <v>1378952</v>
      </c>
      <c r="F1727">
        <f t="shared" si="79"/>
        <v>344.26111111111106</v>
      </c>
      <c r="G1727">
        <f t="shared" si="80"/>
        <v>8.9991310439064005</v>
      </c>
    </row>
    <row r="1728" spans="1:7" x14ac:dyDescent="0.35">
      <c r="A1728">
        <v>200</v>
      </c>
      <c r="B1728">
        <v>170</v>
      </c>
      <c r="C1728">
        <v>1.82</v>
      </c>
      <c r="E1728">
        <f t="shared" si="78"/>
        <v>1378952</v>
      </c>
      <c r="F1728">
        <f t="shared" si="79"/>
        <v>349.81666666666666</v>
      </c>
      <c r="G1728">
        <f t="shared" si="80"/>
        <v>8.8013479440403248</v>
      </c>
    </row>
    <row r="1729" spans="1:7" x14ac:dyDescent="0.35">
      <c r="A1729">
        <v>200</v>
      </c>
      <c r="B1729">
        <v>180</v>
      </c>
      <c r="C1729">
        <v>1.859</v>
      </c>
      <c r="E1729">
        <f t="shared" si="78"/>
        <v>1378952</v>
      </c>
      <c r="F1729">
        <f t="shared" si="79"/>
        <v>355.37222222222221</v>
      </c>
      <c r="G1729">
        <f t="shared" si="80"/>
        <v>8.6167042808786416</v>
      </c>
    </row>
    <row r="1730" spans="1:7" x14ac:dyDescent="0.35">
      <c r="A1730">
        <v>200</v>
      </c>
      <c r="B1730">
        <v>190</v>
      </c>
      <c r="C1730">
        <v>1.897</v>
      </c>
      <c r="E1730">
        <f t="shared" ref="E1730:E1793" si="81">A1730*6894.76</f>
        <v>1378952</v>
      </c>
      <c r="F1730">
        <f t="shared" si="79"/>
        <v>360.92777777777775</v>
      </c>
      <c r="G1730">
        <f t="shared" si="80"/>
        <v>8.4440976584888734</v>
      </c>
    </row>
    <row r="1731" spans="1:7" x14ac:dyDescent="0.35">
      <c r="A1731">
        <v>200</v>
      </c>
      <c r="B1731">
        <v>200</v>
      </c>
      <c r="C1731">
        <v>1.9350000000000001</v>
      </c>
      <c r="E1731">
        <f t="shared" si="81"/>
        <v>1378952</v>
      </c>
      <c r="F1731">
        <f t="shared" ref="F1731:F1794" si="82">(B1731-32)*5/9+273.15</f>
        <v>366.48333333333329</v>
      </c>
      <c r="G1731">
        <f t="shared" ref="G1731:G1794" si="83">1/(C1731*0.062428)</f>
        <v>8.2782704176503312</v>
      </c>
    </row>
    <row r="1732" spans="1:7" x14ac:dyDescent="0.35">
      <c r="A1732">
        <v>200</v>
      </c>
      <c r="B1732">
        <v>210</v>
      </c>
      <c r="C1732">
        <v>1.972</v>
      </c>
      <c r="E1732">
        <f t="shared" si="81"/>
        <v>1378952</v>
      </c>
      <c r="F1732">
        <f t="shared" si="82"/>
        <v>372.03888888888889</v>
      </c>
      <c r="G1732">
        <f t="shared" si="83"/>
        <v>8.1229478996721074</v>
      </c>
    </row>
    <row r="1733" spans="1:7" x14ac:dyDescent="0.35">
      <c r="A1733">
        <v>200</v>
      </c>
      <c r="B1733">
        <v>220</v>
      </c>
      <c r="C1733">
        <v>2.0089999999999999</v>
      </c>
      <c r="E1733">
        <f t="shared" si="81"/>
        <v>1378952</v>
      </c>
      <c r="F1733">
        <f t="shared" si="82"/>
        <v>377.59444444444443</v>
      </c>
      <c r="G1733">
        <f t="shared" si="83"/>
        <v>7.9733465695138843</v>
      </c>
    </row>
    <row r="1734" spans="1:7" x14ac:dyDescent="0.35">
      <c r="A1734">
        <v>200</v>
      </c>
      <c r="B1734">
        <v>230</v>
      </c>
      <c r="C1734">
        <v>2.0459999999999998</v>
      </c>
      <c r="E1734">
        <f t="shared" si="81"/>
        <v>1378952</v>
      </c>
      <c r="F1734">
        <f t="shared" si="82"/>
        <v>383.15</v>
      </c>
      <c r="G1734">
        <f t="shared" si="83"/>
        <v>7.8291560401531743</v>
      </c>
    </row>
    <row r="1735" spans="1:7" x14ac:dyDescent="0.35">
      <c r="A1735">
        <v>200</v>
      </c>
      <c r="B1735">
        <v>240</v>
      </c>
      <c r="C1735">
        <v>2.0819999999999999</v>
      </c>
      <c r="E1735">
        <f t="shared" si="81"/>
        <v>1378952</v>
      </c>
      <c r="F1735">
        <f t="shared" si="82"/>
        <v>388.70555555555552</v>
      </c>
      <c r="G1735">
        <f t="shared" si="83"/>
        <v>7.6937815841274713</v>
      </c>
    </row>
    <row r="1736" spans="1:7" x14ac:dyDescent="0.35">
      <c r="A1736">
        <v>200</v>
      </c>
      <c r="B1736">
        <v>250</v>
      </c>
      <c r="C1736">
        <v>2.1179999999999999</v>
      </c>
      <c r="E1736">
        <f t="shared" si="81"/>
        <v>1378952</v>
      </c>
      <c r="F1736">
        <f t="shared" si="82"/>
        <v>394.26111111111106</v>
      </c>
      <c r="G1736">
        <f t="shared" si="83"/>
        <v>7.5630090926125559</v>
      </c>
    </row>
    <row r="1737" spans="1:7" x14ac:dyDescent="0.35">
      <c r="A1737">
        <v>200</v>
      </c>
      <c r="B1737">
        <v>260</v>
      </c>
      <c r="C1737">
        <v>2.1539999999999999</v>
      </c>
      <c r="E1737">
        <f t="shared" si="81"/>
        <v>1378952</v>
      </c>
      <c r="F1737">
        <f t="shared" si="82"/>
        <v>399.81666666666666</v>
      </c>
      <c r="G1737">
        <f t="shared" si="83"/>
        <v>7.436607826440758</v>
      </c>
    </row>
    <row r="1738" spans="1:7" x14ac:dyDescent="0.35">
      <c r="A1738">
        <v>200</v>
      </c>
      <c r="B1738">
        <v>270</v>
      </c>
      <c r="C1738">
        <v>2.1890000000000001</v>
      </c>
      <c r="E1738">
        <f t="shared" si="81"/>
        <v>1378952</v>
      </c>
      <c r="F1738">
        <f t="shared" si="82"/>
        <v>405.37222222222221</v>
      </c>
      <c r="G1738">
        <f t="shared" si="83"/>
        <v>7.3177036355200515</v>
      </c>
    </row>
    <row r="1739" spans="1:7" x14ac:dyDescent="0.35">
      <c r="A1739">
        <v>200</v>
      </c>
      <c r="B1739">
        <v>280</v>
      </c>
      <c r="C1739">
        <v>2.2250000000000001</v>
      </c>
      <c r="E1739">
        <f t="shared" si="81"/>
        <v>1378952</v>
      </c>
      <c r="F1739">
        <f t="shared" si="82"/>
        <v>410.92777777777775</v>
      </c>
      <c r="G1739">
        <f t="shared" si="83"/>
        <v>7.1993048351251199</v>
      </c>
    </row>
    <row r="1740" spans="1:7" x14ac:dyDescent="0.35">
      <c r="A1740">
        <v>200</v>
      </c>
      <c r="B1740">
        <v>290</v>
      </c>
      <c r="C1740">
        <v>2.2599999999999998</v>
      </c>
      <c r="E1740">
        <f t="shared" si="81"/>
        <v>1378952</v>
      </c>
      <c r="F1740">
        <f t="shared" si="82"/>
        <v>416.48333333333335</v>
      </c>
      <c r="G1740">
        <f t="shared" si="83"/>
        <v>7.0878111761740685</v>
      </c>
    </row>
    <row r="1741" spans="1:7" x14ac:dyDescent="0.35">
      <c r="A1741">
        <v>200</v>
      </c>
      <c r="B1741">
        <v>300</v>
      </c>
      <c r="C1741">
        <v>2.2949999999999999</v>
      </c>
      <c r="E1741">
        <f t="shared" si="81"/>
        <v>1378952</v>
      </c>
      <c r="F1741">
        <f t="shared" si="82"/>
        <v>422.03888888888889</v>
      </c>
      <c r="G1741">
        <f t="shared" si="83"/>
        <v>6.9797181952738105</v>
      </c>
    </row>
    <row r="1742" spans="1:7" x14ac:dyDescent="0.35">
      <c r="A1742">
        <v>200</v>
      </c>
      <c r="B1742">
        <v>320</v>
      </c>
      <c r="C1742">
        <v>2.3639999999999999</v>
      </c>
      <c r="E1742">
        <f t="shared" si="81"/>
        <v>1378952</v>
      </c>
      <c r="F1742">
        <f t="shared" si="82"/>
        <v>433.15</v>
      </c>
      <c r="G1742">
        <f t="shared" si="83"/>
        <v>6.775995456071656</v>
      </c>
    </row>
    <row r="1743" spans="1:7" x14ac:dyDescent="0.35">
      <c r="A1743">
        <v>200</v>
      </c>
      <c r="B1743">
        <v>340</v>
      </c>
      <c r="C1743">
        <v>2.4319999999999999</v>
      </c>
      <c r="E1743">
        <f t="shared" si="81"/>
        <v>1378952</v>
      </c>
      <c r="F1743">
        <f t="shared" si="82"/>
        <v>444.26111111111106</v>
      </c>
      <c r="G1743">
        <f t="shared" si="83"/>
        <v>6.5865350568064942</v>
      </c>
    </row>
    <row r="1744" spans="1:7" x14ac:dyDescent="0.35">
      <c r="A1744">
        <v>200</v>
      </c>
      <c r="B1744">
        <v>360</v>
      </c>
      <c r="C1744">
        <v>2.5</v>
      </c>
      <c r="E1744">
        <f t="shared" si="81"/>
        <v>1378952</v>
      </c>
      <c r="F1744">
        <f t="shared" si="82"/>
        <v>455.37222222222221</v>
      </c>
      <c r="G1744">
        <f t="shared" si="83"/>
        <v>6.4073813032613574</v>
      </c>
    </row>
    <row r="1745" spans="1:7" x14ac:dyDescent="0.35">
      <c r="A1745">
        <v>200</v>
      </c>
      <c r="B1745">
        <v>380</v>
      </c>
      <c r="C1745">
        <v>2.5680000000000001</v>
      </c>
      <c r="E1745">
        <f t="shared" si="81"/>
        <v>1378952</v>
      </c>
      <c r="F1745">
        <f t="shared" si="82"/>
        <v>466.48333333333335</v>
      </c>
      <c r="G1745">
        <f t="shared" si="83"/>
        <v>6.2377154432061506</v>
      </c>
    </row>
    <row r="1746" spans="1:7" x14ac:dyDescent="0.35">
      <c r="A1746">
        <v>210</v>
      </c>
      <c r="B1746">
        <v>110</v>
      </c>
      <c r="C1746">
        <v>1.48</v>
      </c>
      <c r="E1746">
        <f t="shared" si="81"/>
        <v>1447899.6</v>
      </c>
      <c r="F1746">
        <f t="shared" si="82"/>
        <v>316.48333333333329</v>
      </c>
      <c r="G1746">
        <f t="shared" si="83"/>
        <v>10.823279228482022</v>
      </c>
    </row>
    <row r="1747" spans="1:7" x14ac:dyDescent="0.35">
      <c r="A1747">
        <v>210</v>
      </c>
      <c r="B1747">
        <v>120</v>
      </c>
      <c r="C1747">
        <v>1.524</v>
      </c>
      <c r="E1747">
        <f t="shared" si="81"/>
        <v>1447899.6</v>
      </c>
      <c r="F1747">
        <f t="shared" si="82"/>
        <v>322.03888888888889</v>
      </c>
      <c r="G1747">
        <f t="shared" si="83"/>
        <v>10.51079610115052</v>
      </c>
    </row>
    <row r="1748" spans="1:7" x14ac:dyDescent="0.35">
      <c r="A1748">
        <v>210</v>
      </c>
      <c r="B1748">
        <v>130</v>
      </c>
      <c r="C1748">
        <v>1.5660000000000001</v>
      </c>
      <c r="E1748">
        <f t="shared" si="81"/>
        <v>1447899.6</v>
      </c>
      <c r="F1748">
        <f t="shared" si="82"/>
        <v>327.59444444444443</v>
      </c>
      <c r="G1748">
        <f t="shared" si="83"/>
        <v>10.228897355142653</v>
      </c>
    </row>
    <row r="1749" spans="1:7" x14ac:dyDescent="0.35">
      <c r="A1749">
        <v>210</v>
      </c>
      <c r="B1749">
        <v>140</v>
      </c>
      <c r="C1749">
        <v>1.6080000000000001</v>
      </c>
      <c r="E1749">
        <f t="shared" si="81"/>
        <v>1447899.6</v>
      </c>
      <c r="F1749">
        <f t="shared" si="82"/>
        <v>333.15</v>
      </c>
      <c r="G1749">
        <f t="shared" si="83"/>
        <v>9.9617246630307168</v>
      </c>
    </row>
    <row r="1750" spans="1:7" x14ac:dyDescent="0.35">
      <c r="A1750">
        <v>210</v>
      </c>
      <c r="B1750">
        <v>150</v>
      </c>
      <c r="C1750">
        <v>1.6479999999999999</v>
      </c>
      <c r="E1750">
        <f t="shared" si="81"/>
        <v>1447899.6</v>
      </c>
      <c r="F1750">
        <f t="shared" si="82"/>
        <v>338.70555555555552</v>
      </c>
      <c r="G1750">
        <f t="shared" si="83"/>
        <v>9.7199352294620116</v>
      </c>
    </row>
    <row r="1751" spans="1:7" x14ac:dyDescent="0.35">
      <c r="A1751">
        <v>210</v>
      </c>
      <c r="B1751">
        <v>160</v>
      </c>
      <c r="C1751">
        <v>1.6870000000000001</v>
      </c>
      <c r="E1751">
        <f t="shared" si="81"/>
        <v>1447899.6</v>
      </c>
      <c r="F1751">
        <f t="shared" si="82"/>
        <v>344.26111111111106</v>
      </c>
      <c r="G1751">
        <f t="shared" si="83"/>
        <v>9.4952301470974465</v>
      </c>
    </row>
    <row r="1752" spans="1:7" x14ac:dyDescent="0.35">
      <c r="A1752">
        <v>210</v>
      </c>
      <c r="B1752">
        <v>170</v>
      </c>
      <c r="C1752">
        <v>1.7250000000000001</v>
      </c>
      <c r="E1752">
        <f t="shared" si="81"/>
        <v>1447899.6</v>
      </c>
      <c r="F1752">
        <f t="shared" si="82"/>
        <v>349.81666666666666</v>
      </c>
      <c r="G1752">
        <f t="shared" si="83"/>
        <v>9.2860598597990673</v>
      </c>
    </row>
    <row r="1753" spans="1:7" x14ac:dyDescent="0.35">
      <c r="A1753">
        <v>210</v>
      </c>
      <c r="B1753">
        <v>180</v>
      </c>
      <c r="C1753">
        <v>1.762</v>
      </c>
      <c r="E1753">
        <f t="shared" si="81"/>
        <v>1447899.6</v>
      </c>
      <c r="F1753">
        <f t="shared" si="82"/>
        <v>355.37222222222221</v>
      </c>
      <c r="G1753">
        <f t="shared" si="83"/>
        <v>9.0910631431063518</v>
      </c>
    </row>
    <row r="1754" spans="1:7" x14ac:dyDescent="0.35">
      <c r="A1754">
        <v>210</v>
      </c>
      <c r="B1754">
        <v>190</v>
      </c>
      <c r="C1754">
        <v>1.7989999999999999</v>
      </c>
      <c r="E1754">
        <f t="shared" si="81"/>
        <v>1447899.6</v>
      </c>
      <c r="F1754">
        <f t="shared" si="82"/>
        <v>360.92777777777775</v>
      </c>
      <c r="G1754">
        <f t="shared" si="83"/>
        <v>8.9040874142042217</v>
      </c>
    </row>
    <row r="1755" spans="1:7" x14ac:dyDescent="0.35">
      <c r="A1755">
        <v>210</v>
      </c>
      <c r="B1755">
        <v>200</v>
      </c>
      <c r="C1755">
        <v>1.8360000000000001</v>
      </c>
      <c r="E1755">
        <f t="shared" si="81"/>
        <v>1447899.6</v>
      </c>
      <c r="F1755">
        <f t="shared" si="82"/>
        <v>366.48333333333329</v>
      </c>
      <c r="G1755">
        <f t="shared" si="83"/>
        <v>8.7246477440922625</v>
      </c>
    </row>
    <row r="1756" spans="1:7" x14ac:dyDescent="0.35">
      <c r="A1756">
        <v>210</v>
      </c>
      <c r="B1756">
        <v>210</v>
      </c>
      <c r="C1756">
        <v>1.8720000000000001</v>
      </c>
      <c r="E1756">
        <f t="shared" si="81"/>
        <v>1447899.6</v>
      </c>
      <c r="F1756">
        <f t="shared" si="82"/>
        <v>372.03888888888889</v>
      </c>
      <c r="G1756">
        <f t="shared" si="83"/>
        <v>8.5568660567058714</v>
      </c>
    </row>
    <row r="1757" spans="1:7" x14ac:dyDescent="0.35">
      <c r="A1757">
        <v>210</v>
      </c>
      <c r="B1757">
        <v>220</v>
      </c>
      <c r="C1757">
        <v>1.907</v>
      </c>
      <c r="E1757">
        <f t="shared" si="81"/>
        <v>1447899.6</v>
      </c>
      <c r="F1757">
        <f t="shared" si="82"/>
        <v>377.59444444444443</v>
      </c>
      <c r="G1757">
        <f t="shared" si="83"/>
        <v>8.3998181741758753</v>
      </c>
    </row>
    <row r="1758" spans="1:7" x14ac:dyDescent="0.35">
      <c r="A1758">
        <v>210</v>
      </c>
      <c r="B1758">
        <v>230</v>
      </c>
      <c r="C1758">
        <v>1.9419999999999999</v>
      </c>
      <c r="E1758">
        <f t="shared" si="81"/>
        <v>1447899.6</v>
      </c>
      <c r="F1758">
        <f t="shared" si="82"/>
        <v>383.15</v>
      </c>
      <c r="G1758">
        <f t="shared" si="83"/>
        <v>8.2484311319018513</v>
      </c>
    </row>
    <row r="1759" spans="1:7" x14ac:dyDescent="0.35">
      <c r="A1759">
        <v>210</v>
      </c>
      <c r="B1759">
        <v>240</v>
      </c>
      <c r="C1759">
        <v>1.9770000000000001</v>
      </c>
      <c r="E1759">
        <f t="shared" si="81"/>
        <v>1447899.6</v>
      </c>
      <c r="F1759">
        <f t="shared" si="82"/>
        <v>388.70555555555552</v>
      </c>
      <c r="G1759">
        <f t="shared" si="83"/>
        <v>8.1024042782768806</v>
      </c>
    </row>
    <row r="1760" spans="1:7" x14ac:dyDescent="0.35">
      <c r="A1760">
        <v>210</v>
      </c>
      <c r="B1760">
        <v>250</v>
      </c>
      <c r="C1760">
        <v>2.0110000000000001</v>
      </c>
      <c r="E1760">
        <f t="shared" si="81"/>
        <v>1447899.6</v>
      </c>
      <c r="F1760">
        <f t="shared" si="82"/>
        <v>394.26111111111106</v>
      </c>
      <c r="G1760">
        <f t="shared" si="83"/>
        <v>7.965416836476078</v>
      </c>
    </row>
    <row r="1761" spans="1:7" x14ac:dyDescent="0.35">
      <c r="A1761">
        <v>210</v>
      </c>
      <c r="B1761">
        <v>260</v>
      </c>
      <c r="C1761">
        <v>2.0459999999999998</v>
      </c>
      <c r="E1761">
        <f t="shared" si="81"/>
        <v>1447899.6</v>
      </c>
      <c r="F1761">
        <f t="shared" si="82"/>
        <v>399.81666666666666</v>
      </c>
      <c r="G1761">
        <f t="shared" si="83"/>
        <v>7.8291560401531743</v>
      </c>
    </row>
    <row r="1762" spans="1:7" x14ac:dyDescent="0.35">
      <c r="A1762">
        <v>210</v>
      </c>
      <c r="B1762">
        <v>270</v>
      </c>
      <c r="C1762">
        <v>2.08</v>
      </c>
      <c r="E1762">
        <f t="shared" si="81"/>
        <v>1447899.6</v>
      </c>
      <c r="F1762">
        <f t="shared" si="82"/>
        <v>405.37222222222221</v>
      </c>
      <c r="G1762">
        <f t="shared" si="83"/>
        <v>7.7011794510352845</v>
      </c>
    </row>
    <row r="1763" spans="1:7" x14ac:dyDescent="0.35">
      <c r="A1763">
        <v>210</v>
      </c>
      <c r="B1763">
        <v>280</v>
      </c>
      <c r="C1763">
        <v>2.113</v>
      </c>
      <c r="E1763">
        <f t="shared" si="81"/>
        <v>1447899.6</v>
      </c>
      <c r="F1763">
        <f t="shared" si="82"/>
        <v>410.92777777777775</v>
      </c>
      <c r="G1763">
        <f t="shared" si="83"/>
        <v>7.5809054700205358</v>
      </c>
    </row>
    <row r="1764" spans="1:7" x14ac:dyDescent="0.35">
      <c r="A1764">
        <v>210</v>
      </c>
      <c r="B1764">
        <v>290</v>
      </c>
      <c r="C1764">
        <v>2.1469999999999998</v>
      </c>
      <c r="E1764">
        <f t="shared" si="81"/>
        <v>1447899.6</v>
      </c>
      <c r="F1764">
        <f t="shared" si="82"/>
        <v>416.48333333333335</v>
      </c>
      <c r="G1764">
        <f t="shared" si="83"/>
        <v>7.4608538696569147</v>
      </c>
    </row>
    <row r="1765" spans="1:7" x14ac:dyDescent="0.35">
      <c r="A1765">
        <v>210</v>
      </c>
      <c r="B1765">
        <v>300</v>
      </c>
      <c r="C1765">
        <v>2.1800000000000002</v>
      </c>
      <c r="E1765">
        <f t="shared" si="81"/>
        <v>1447899.6</v>
      </c>
      <c r="F1765">
        <f t="shared" si="82"/>
        <v>422.03888888888889</v>
      </c>
      <c r="G1765">
        <f t="shared" si="83"/>
        <v>7.3479143386024734</v>
      </c>
    </row>
    <row r="1766" spans="1:7" x14ac:dyDescent="0.35">
      <c r="A1766">
        <v>210</v>
      </c>
      <c r="B1766">
        <v>320</v>
      </c>
      <c r="C1766">
        <v>2.246</v>
      </c>
      <c r="E1766">
        <f t="shared" si="81"/>
        <v>1447899.6</v>
      </c>
      <c r="F1766">
        <f t="shared" si="82"/>
        <v>433.15</v>
      </c>
      <c r="G1766">
        <f t="shared" si="83"/>
        <v>7.1319916554556517</v>
      </c>
    </row>
    <row r="1767" spans="1:7" x14ac:dyDescent="0.35">
      <c r="A1767">
        <v>210</v>
      </c>
      <c r="B1767">
        <v>340</v>
      </c>
      <c r="C1767">
        <v>2.3119999999999998</v>
      </c>
      <c r="E1767">
        <f t="shared" si="81"/>
        <v>1447899.6</v>
      </c>
      <c r="F1767">
        <f t="shared" si="82"/>
        <v>444.26111111111106</v>
      </c>
      <c r="G1767">
        <f t="shared" si="83"/>
        <v>6.9283967379556204</v>
      </c>
    </row>
    <row r="1768" spans="1:7" x14ac:dyDescent="0.35">
      <c r="A1768">
        <v>210</v>
      </c>
      <c r="B1768">
        <v>360</v>
      </c>
      <c r="C1768">
        <v>2.3769999999999998</v>
      </c>
      <c r="E1768">
        <f t="shared" si="81"/>
        <v>1447899.6</v>
      </c>
      <c r="F1768">
        <f t="shared" si="82"/>
        <v>455.37222222222221</v>
      </c>
      <c r="G1768">
        <f t="shared" si="83"/>
        <v>6.7389370038508183</v>
      </c>
    </row>
    <row r="1769" spans="1:7" x14ac:dyDescent="0.35">
      <c r="A1769">
        <v>210</v>
      </c>
      <c r="B1769">
        <v>380</v>
      </c>
      <c r="C1769">
        <v>2.4420000000000002</v>
      </c>
      <c r="E1769">
        <f t="shared" si="81"/>
        <v>1447899.6</v>
      </c>
      <c r="F1769">
        <f t="shared" si="82"/>
        <v>466.48333333333335</v>
      </c>
      <c r="G1769">
        <f t="shared" si="83"/>
        <v>6.5595631687769833</v>
      </c>
    </row>
    <row r="1770" spans="1:7" x14ac:dyDescent="0.35">
      <c r="A1770">
        <v>220</v>
      </c>
      <c r="B1770">
        <v>110</v>
      </c>
      <c r="C1770">
        <v>1.4</v>
      </c>
      <c r="E1770">
        <f t="shared" si="81"/>
        <v>1516847.2</v>
      </c>
      <c r="F1770">
        <f t="shared" si="82"/>
        <v>316.48333333333329</v>
      </c>
      <c r="G1770">
        <f t="shared" si="83"/>
        <v>11.441752327252424</v>
      </c>
    </row>
    <row r="1771" spans="1:7" x14ac:dyDescent="0.35">
      <c r="A1771">
        <v>220</v>
      </c>
      <c r="B1771">
        <v>120</v>
      </c>
      <c r="C1771">
        <v>1.4430000000000001</v>
      </c>
      <c r="E1771">
        <f t="shared" si="81"/>
        <v>1516847.2</v>
      </c>
      <c r="F1771">
        <f t="shared" si="82"/>
        <v>322.03888888888889</v>
      </c>
      <c r="G1771">
        <f t="shared" si="83"/>
        <v>11.10079920869951</v>
      </c>
    </row>
    <row r="1772" spans="1:7" x14ac:dyDescent="0.35">
      <c r="A1772">
        <v>220</v>
      </c>
      <c r="B1772">
        <v>130</v>
      </c>
      <c r="C1772">
        <v>1.4850000000000001</v>
      </c>
      <c r="E1772">
        <f t="shared" si="81"/>
        <v>1516847.2</v>
      </c>
      <c r="F1772">
        <f t="shared" si="82"/>
        <v>327.59444444444443</v>
      </c>
      <c r="G1772">
        <f t="shared" si="83"/>
        <v>10.786837210877707</v>
      </c>
    </row>
    <row r="1773" spans="1:7" x14ac:dyDescent="0.35">
      <c r="A1773">
        <v>220</v>
      </c>
      <c r="B1773">
        <v>140</v>
      </c>
      <c r="C1773">
        <v>1.5249999999999999</v>
      </c>
      <c r="E1773">
        <f t="shared" si="81"/>
        <v>1516847.2</v>
      </c>
      <c r="F1773">
        <f t="shared" si="82"/>
        <v>333.15</v>
      </c>
      <c r="G1773">
        <f t="shared" si="83"/>
        <v>10.503903775838292</v>
      </c>
    </row>
    <row r="1774" spans="1:7" x14ac:dyDescent="0.35">
      <c r="A1774">
        <v>220</v>
      </c>
      <c r="B1774">
        <v>150</v>
      </c>
      <c r="C1774">
        <v>1.5640000000000001</v>
      </c>
      <c r="E1774">
        <f t="shared" si="81"/>
        <v>1516847.2</v>
      </c>
      <c r="F1774">
        <f t="shared" si="82"/>
        <v>338.70555555555552</v>
      </c>
      <c r="G1774">
        <f t="shared" si="83"/>
        <v>10.241977786543089</v>
      </c>
    </row>
    <row r="1775" spans="1:7" x14ac:dyDescent="0.35">
      <c r="A1775">
        <v>220</v>
      </c>
      <c r="B1775">
        <v>160</v>
      </c>
      <c r="C1775">
        <v>1.601</v>
      </c>
      <c r="E1775">
        <f t="shared" si="81"/>
        <v>1516847.2</v>
      </c>
      <c r="F1775">
        <f t="shared" si="82"/>
        <v>344.26111111111106</v>
      </c>
      <c r="G1775">
        <f t="shared" si="83"/>
        <v>10.005279986354399</v>
      </c>
    </row>
    <row r="1776" spans="1:7" x14ac:dyDescent="0.35">
      <c r="A1776">
        <v>220</v>
      </c>
      <c r="B1776">
        <v>170</v>
      </c>
      <c r="C1776">
        <v>1.6379999999999999</v>
      </c>
      <c r="E1776">
        <f t="shared" si="81"/>
        <v>1516847.2</v>
      </c>
      <c r="F1776">
        <f t="shared" si="82"/>
        <v>349.81666666666666</v>
      </c>
      <c r="G1776">
        <f t="shared" si="83"/>
        <v>9.7792754933781403</v>
      </c>
    </row>
    <row r="1777" spans="1:7" x14ac:dyDescent="0.35">
      <c r="A1777">
        <v>220</v>
      </c>
      <c r="B1777">
        <v>180</v>
      </c>
      <c r="C1777">
        <v>1.675</v>
      </c>
      <c r="E1777">
        <f t="shared" si="81"/>
        <v>1516847.2</v>
      </c>
      <c r="F1777">
        <f t="shared" si="82"/>
        <v>355.37222222222221</v>
      </c>
      <c r="G1777">
        <f t="shared" si="83"/>
        <v>9.5632556765094883</v>
      </c>
    </row>
    <row r="1778" spans="1:7" x14ac:dyDescent="0.35">
      <c r="A1778">
        <v>220</v>
      </c>
      <c r="B1778">
        <v>190</v>
      </c>
      <c r="C1778">
        <v>1.71</v>
      </c>
      <c r="E1778">
        <f t="shared" si="81"/>
        <v>1516847.2</v>
      </c>
      <c r="F1778">
        <f t="shared" si="82"/>
        <v>360.92777777777775</v>
      </c>
      <c r="G1778">
        <f t="shared" si="83"/>
        <v>9.3675165252359029</v>
      </c>
    </row>
    <row r="1779" spans="1:7" x14ac:dyDescent="0.35">
      <c r="A1779">
        <v>220</v>
      </c>
      <c r="B1779">
        <v>200</v>
      </c>
      <c r="C1779">
        <v>1.7450000000000001</v>
      </c>
      <c r="E1779">
        <f t="shared" si="81"/>
        <v>1516847.2</v>
      </c>
      <c r="F1779">
        <f t="shared" si="82"/>
        <v>366.48333333333329</v>
      </c>
      <c r="G1779">
        <f t="shared" si="83"/>
        <v>9.1796293742999389</v>
      </c>
    </row>
    <row r="1780" spans="1:7" x14ac:dyDescent="0.35">
      <c r="A1780">
        <v>220</v>
      </c>
      <c r="B1780">
        <v>210</v>
      </c>
      <c r="C1780">
        <v>1.78</v>
      </c>
      <c r="E1780">
        <f t="shared" si="81"/>
        <v>1516847.2</v>
      </c>
      <c r="F1780">
        <f t="shared" si="82"/>
        <v>372.03888888888889</v>
      </c>
      <c r="G1780">
        <f t="shared" si="83"/>
        <v>8.9991310439064005</v>
      </c>
    </row>
    <row r="1781" spans="1:7" x14ac:dyDescent="0.35">
      <c r="A1781">
        <v>220</v>
      </c>
      <c r="B1781">
        <v>220</v>
      </c>
      <c r="C1781">
        <v>1.8140000000000001</v>
      </c>
      <c r="E1781">
        <f t="shared" si="81"/>
        <v>1516847.2</v>
      </c>
      <c r="F1781">
        <f t="shared" si="82"/>
        <v>377.59444444444443</v>
      </c>
      <c r="G1781">
        <f t="shared" si="83"/>
        <v>8.8304593484858831</v>
      </c>
    </row>
    <row r="1782" spans="1:7" x14ac:dyDescent="0.35">
      <c r="A1782">
        <v>220</v>
      </c>
      <c r="B1782">
        <v>230</v>
      </c>
      <c r="C1782">
        <v>1.8480000000000001</v>
      </c>
      <c r="E1782">
        <f t="shared" si="81"/>
        <v>1516847.2</v>
      </c>
      <c r="F1782">
        <f t="shared" si="82"/>
        <v>383.15</v>
      </c>
      <c r="G1782">
        <f t="shared" si="83"/>
        <v>8.6679941873124413</v>
      </c>
    </row>
    <row r="1783" spans="1:7" x14ac:dyDescent="0.35">
      <c r="A1783">
        <v>220</v>
      </c>
      <c r="B1783">
        <v>240</v>
      </c>
      <c r="C1783">
        <v>1.881</v>
      </c>
      <c r="E1783">
        <f t="shared" si="81"/>
        <v>1516847.2</v>
      </c>
      <c r="F1783">
        <f t="shared" si="82"/>
        <v>388.70555555555552</v>
      </c>
      <c r="G1783">
        <f t="shared" si="83"/>
        <v>8.5159241138508204</v>
      </c>
    </row>
    <row r="1784" spans="1:7" x14ac:dyDescent="0.35">
      <c r="A1784">
        <v>220</v>
      </c>
      <c r="B1784">
        <v>250</v>
      </c>
      <c r="C1784">
        <v>1.9139999999999999</v>
      </c>
      <c r="E1784">
        <f t="shared" si="81"/>
        <v>1516847.2</v>
      </c>
      <c r="F1784">
        <f t="shared" si="82"/>
        <v>394.26111111111106</v>
      </c>
      <c r="G1784">
        <f t="shared" si="83"/>
        <v>8.3690978360258068</v>
      </c>
    </row>
    <row r="1785" spans="1:7" x14ac:dyDescent="0.35">
      <c r="A1785">
        <v>220</v>
      </c>
      <c r="B1785">
        <v>260</v>
      </c>
      <c r="C1785">
        <v>1.9470000000000001</v>
      </c>
      <c r="E1785">
        <f t="shared" si="81"/>
        <v>1516847.2</v>
      </c>
      <c r="F1785">
        <f t="shared" si="82"/>
        <v>399.81666666666666</v>
      </c>
      <c r="G1785">
        <f t="shared" si="83"/>
        <v>8.2272487201609614</v>
      </c>
    </row>
    <row r="1786" spans="1:7" x14ac:dyDescent="0.35">
      <c r="A1786">
        <v>220</v>
      </c>
      <c r="B1786">
        <v>270</v>
      </c>
      <c r="C1786">
        <v>1.98</v>
      </c>
      <c r="E1786">
        <f t="shared" si="81"/>
        <v>1516847.2</v>
      </c>
      <c r="F1786">
        <f t="shared" si="82"/>
        <v>405.37222222222221</v>
      </c>
      <c r="G1786">
        <f t="shared" si="83"/>
        <v>8.09012790815828</v>
      </c>
    </row>
    <row r="1787" spans="1:7" x14ac:dyDescent="0.35">
      <c r="A1787">
        <v>220</v>
      </c>
      <c r="B1787">
        <v>280</v>
      </c>
      <c r="C1787">
        <v>2.012</v>
      </c>
      <c r="E1787">
        <f t="shared" si="81"/>
        <v>1516847.2</v>
      </c>
      <c r="F1787">
        <f t="shared" si="82"/>
        <v>410.92777777777775</v>
      </c>
      <c r="G1787">
        <f t="shared" si="83"/>
        <v>7.9614578817859805</v>
      </c>
    </row>
    <row r="1788" spans="1:7" x14ac:dyDescent="0.35">
      <c r="A1788">
        <v>220</v>
      </c>
      <c r="B1788">
        <v>290</v>
      </c>
      <c r="C1788">
        <v>2.044</v>
      </c>
      <c r="E1788">
        <f t="shared" si="81"/>
        <v>1516847.2</v>
      </c>
      <c r="F1788">
        <f t="shared" si="82"/>
        <v>416.48333333333335</v>
      </c>
      <c r="G1788">
        <f t="shared" si="83"/>
        <v>7.8368166625016595</v>
      </c>
    </row>
    <row r="1789" spans="1:7" x14ac:dyDescent="0.35">
      <c r="A1789">
        <v>220</v>
      </c>
      <c r="B1789">
        <v>300</v>
      </c>
      <c r="C1789">
        <v>2.0760000000000001</v>
      </c>
      <c r="E1789">
        <f t="shared" si="81"/>
        <v>1516847.2</v>
      </c>
      <c r="F1789">
        <f t="shared" si="82"/>
        <v>422.03888888888889</v>
      </c>
      <c r="G1789">
        <f t="shared" si="83"/>
        <v>7.7160179470873764</v>
      </c>
    </row>
    <row r="1790" spans="1:7" x14ac:dyDescent="0.35">
      <c r="A1790">
        <v>220</v>
      </c>
      <c r="B1790">
        <v>320</v>
      </c>
      <c r="C1790">
        <v>2.14</v>
      </c>
      <c r="E1790">
        <f t="shared" si="81"/>
        <v>1516847.2</v>
      </c>
      <c r="F1790">
        <f t="shared" si="82"/>
        <v>433.15</v>
      </c>
      <c r="G1790">
        <f t="shared" si="83"/>
        <v>7.4852585318473794</v>
      </c>
    </row>
    <row r="1791" spans="1:7" x14ac:dyDescent="0.35">
      <c r="A1791">
        <v>220</v>
      </c>
      <c r="B1791">
        <v>340</v>
      </c>
      <c r="C1791">
        <v>2.2029999999999998</v>
      </c>
      <c r="E1791">
        <f t="shared" si="81"/>
        <v>1516847.2</v>
      </c>
      <c r="F1791">
        <f t="shared" si="82"/>
        <v>444.26111111111106</v>
      </c>
      <c r="G1791">
        <f t="shared" si="83"/>
        <v>7.2711998448267785</v>
      </c>
    </row>
    <row r="1792" spans="1:7" x14ac:dyDescent="0.35">
      <c r="A1792">
        <v>220</v>
      </c>
      <c r="B1792">
        <v>360</v>
      </c>
      <c r="C1792">
        <v>2.2650000000000001</v>
      </c>
      <c r="E1792">
        <f t="shared" si="81"/>
        <v>1516847.2</v>
      </c>
      <c r="F1792">
        <f t="shared" si="82"/>
        <v>455.37222222222221</v>
      </c>
      <c r="G1792">
        <f t="shared" si="83"/>
        <v>7.0721647938867074</v>
      </c>
    </row>
    <row r="1793" spans="1:7" x14ac:dyDescent="0.35">
      <c r="A1793">
        <v>220</v>
      </c>
      <c r="B1793">
        <v>380</v>
      </c>
      <c r="C1793">
        <v>2.327</v>
      </c>
      <c r="E1793">
        <f t="shared" si="81"/>
        <v>1516847.2</v>
      </c>
      <c r="F1793">
        <f t="shared" si="82"/>
        <v>466.48333333333335</v>
      </c>
      <c r="G1793">
        <f t="shared" si="83"/>
        <v>6.8837358221544456</v>
      </c>
    </row>
    <row r="1794" spans="1:7" x14ac:dyDescent="0.35">
      <c r="A1794">
        <v>230</v>
      </c>
      <c r="B1794">
        <v>110</v>
      </c>
      <c r="C1794">
        <v>1.3280000000000001</v>
      </c>
      <c r="E1794">
        <f t="shared" ref="E1794:E1857" si="84">A1794*6894.76</f>
        <v>1585794.8</v>
      </c>
      <c r="F1794">
        <f t="shared" si="82"/>
        <v>316.48333333333329</v>
      </c>
      <c r="G1794">
        <f t="shared" si="83"/>
        <v>12.062088296802253</v>
      </c>
    </row>
    <row r="1795" spans="1:7" x14ac:dyDescent="0.35">
      <c r="A1795">
        <v>230</v>
      </c>
      <c r="B1795">
        <v>120</v>
      </c>
      <c r="C1795">
        <v>1.37</v>
      </c>
      <c r="E1795">
        <f t="shared" si="84"/>
        <v>1585794.8</v>
      </c>
      <c r="F1795">
        <f t="shared" ref="F1795:F1858" si="85">(B1795-32)*5/9+273.15</f>
        <v>322.03888888888889</v>
      </c>
      <c r="G1795">
        <f t="shared" ref="G1795:G1858" si="86">1/(C1795*0.062428)</f>
        <v>11.692301648287147</v>
      </c>
    </row>
    <row r="1796" spans="1:7" x14ac:dyDescent="0.35">
      <c r="A1796">
        <v>230</v>
      </c>
      <c r="B1796">
        <v>130</v>
      </c>
      <c r="C1796">
        <v>1.41</v>
      </c>
      <c r="E1796">
        <f t="shared" si="84"/>
        <v>1585794.8</v>
      </c>
      <c r="F1796">
        <f t="shared" si="85"/>
        <v>327.59444444444443</v>
      </c>
      <c r="G1796">
        <f t="shared" si="86"/>
        <v>11.36060514762652</v>
      </c>
    </row>
    <row r="1797" spans="1:7" x14ac:dyDescent="0.35">
      <c r="A1797">
        <v>230</v>
      </c>
      <c r="B1797">
        <v>140</v>
      </c>
      <c r="C1797">
        <v>1.4490000000000001</v>
      </c>
      <c r="E1797">
        <f t="shared" si="84"/>
        <v>1585794.8</v>
      </c>
      <c r="F1797">
        <f t="shared" si="85"/>
        <v>333.15</v>
      </c>
      <c r="G1797">
        <f t="shared" si="86"/>
        <v>11.054833166427462</v>
      </c>
    </row>
    <row r="1798" spans="1:7" x14ac:dyDescent="0.35">
      <c r="A1798">
        <v>230</v>
      </c>
      <c r="B1798">
        <v>150</v>
      </c>
      <c r="C1798">
        <v>1.4870000000000001</v>
      </c>
      <c r="E1798">
        <f t="shared" si="84"/>
        <v>1585794.8</v>
      </c>
      <c r="F1798">
        <f t="shared" si="85"/>
        <v>338.70555555555552</v>
      </c>
      <c r="G1798">
        <f t="shared" si="86"/>
        <v>10.772329023640479</v>
      </c>
    </row>
    <row r="1799" spans="1:7" x14ac:dyDescent="0.35">
      <c r="A1799">
        <v>230</v>
      </c>
      <c r="B1799">
        <v>160</v>
      </c>
      <c r="C1799">
        <v>1.524</v>
      </c>
      <c r="E1799">
        <f t="shared" si="84"/>
        <v>1585794.8</v>
      </c>
      <c r="F1799">
        <f t="shared" si="85"/>
        <v>344.26111111111106</v>
      </c>
      <c r="G1799">
        <f t="shared" si="86"/>
        <v>10.51079610115052</v>
      </c>
    </row>
    <row r="1800" spans="1:7" x14ac:dyDescent="0.35">
      <c r="A1800">
        <v>230</v>
      </c>
      <c r="B1800">
        <v>170</v>
      </c>
      <c r="C1800">
        <v>1.5589999999999999</v>
      </c>
      <c r="E1800">
        <f t="shared" si="84"/>
        <v>1585794.8</v>
      </c>
      <c r="F1800">
        <f t="shared" si="85"/>
        <v>349.81666666666666</v>
      </c>
      <c r="G1800">
        <f t="shared" si="86"/>
        <v>10.274825694774467</v>
      </c>
    </row>
    <row r="1801" spans="1:7" x14ac:dyDescent="0.35">
      <c r="A1801">
        <v>230</v>
      </c>
      <c r="B1801">
        <v>180</v>
      </c>
      <c r="C1801">
        <v>1.5940000000000001</v>
      </c>
      <c r="E1801">
        <f t="shared" si="84"/>
        <v>1585794.8</v>
      </c>
      <c r="F1801">
        <f t="shared" si="85"/>
        <v>355.37222222222221</v>
      </c>
      <c r="G1801">
        <f t="shared" si="86"/>
        <v>10.04921785329573</v>
      </c>
    </row>
    <row r="1802" spans="1:7" x14ac:dyDescent="0.35">
      <c r="A1802">
        <v>230</v>
      </c>
      <c r="B1802">
        <v>190</v>
      </c>
      <c r="C1802">
        <v>1.629</v>
      </c>
      <c r="E1802">
        <f t="shared" si="84"/>
        <v>1585794.8</v>
      </c>
      <c r="F1802">
        <f t="shared" si="85"/>
        <v>360.92777777777775</v>
      </c>
      <c r="G1802">
        <f t="shared" si="86"/>
        <v>9.8333046397503949</v>
      </c>
    </row>
    <row r="1803" spans="1:7" x14ac:dyDescent="0.35">
      <c r="A1803">
        <v>230</v>
      </c>
      <c r="B1803">
        <v>200</v>
      </c>
      <c r="C1803">
        <v>1.663</v>
      </c>
      <c r="E1803">
        <f t="shared" si="84"/>
        <v>1585794.8</v>
      </c>
      <c r="F1803">
        <f t="shared" si="85"/>
        <v>366.48333333333329</v>
      </c>
      <c r="G1803">
        <f t="shared" si="86"/>
        <v>9.6322629333453964</v>
      </c>
    </row>
    <row r="1804" spans="1:7" x14ac:dyDescent="0.35">
      <c r="A1804">
        <v>230</v>
      </c>
      <c r="B1804">
        <v>210</v>
      </c>
      <c r="C1804">
        <v>1.696</v>
      </c>
      <c r="E1804">
        <f t="shared" si="84"/>
        <v>1585794.8</v>
      </c>
      <c r="F1804">
        <f t="shared" si="85"/>
        <v>372.03888888888889</v>
      </c>
      <c r="G1804">
        <f t="shared" si="86"/>
        <v>9.4448427229678025</v>
      </c>
    </row>
    <row r="1805" spans="1:7" x14ac:dyDescent="0.35">
      <c r="A1805">
        <v>230</v>
      </c>
      <c r="B1805">
        <v>220</v>
      </c>
      <c r="C1805">
        <v>1.7290000000000001</v>
      </c>
      <c r="E1805">
        <f t="shared" si="84"/>
        <v>1585794.8</v>
      </c>
      <c r="F1805">
        <f t="shared" si="85"/>
        <v>377.59444444444443</v>
      </c>
      <c r="G1805">
        <f t="shared" si="86"/>
        <v>9.2645767832003436</v>
      </c>
    </row>
    <row r="1806" spans="1:7" x14ac:dyDescent="0.35">
      <c r="A1806">
        <v>230</v>
      </c>
      <c r="B1806">
        <v>230</v>
      </c>
      <c r="C1806">
        <v>1.762</v>
      </c>
      <c r="E1806">
        <f t="shared" si="84"/>
        <v>1585794.8</v>
      </c>
      <c r="F1806">
        <f t="shared" si="85"/>
        <v>383.15</v>
      </c>
      <c r="G1806">
        <f t="shared" si="86"/>
        <v>9.0910631431063518</v>
      </c>
    </row>
    <row r="1807" spans="1:7" x14ac:dyDescent="0.35">
      <c r="A1807">
        <v>230</v>
      </c>
      <c r="B1807">
        <v>240</v>
      </c>
      <c r="C1807">
        <v>1.794</v>
      </c>
      <c r="E1807">
        <f t="shared" si="84"/>
        <v>1585794.8</v>
      </c>
      <c r="F1807">
        <f t="shared" si="85"/>
        <v>388.70555555555552</v>
      </c>
      <c r="G1807">
        <f t="shared" si="86"/>
        <v>8.9289037113452583</v>
      </c>
    </row>
    <row r="1808" spans="1:7" x14ac:dyDescent="0.35">
      <c r="A1808">
        <v>230</v>
      </c>
      <c r="B1808">
        <v>250</v>
      </c>
      <c r="C1808">
        <v>1.8260000000000001</v>
      </c>
      <c r="E1808">
        <f t="shared" si="84"/>
        <v>1585794.8</v>
      </c>
      <c r="F1808">
        <f t="shared" si="85"/>
        <v>394.26111111111106</v>
      </c>
      <c r="G1808">
        <f t="shared" si="86"/>
        <v>8.7724278522198205</v>
      </c>
    </row>
    <row r="1809" spans="1:7" x14ac:dyDescent="0.35">
      <c r="A1809">
        <v>230</v>
      </c>
      <c r="B1809">
        <v>260</v>
      </c>
      <c r="C1809">
        <v>1.857</v>
      </c>
      <c r="E1809">
        <f t="shared" si="84"/>
        <v>1585794.8</v>
      </c>
      <c r="F1809">
        <f t="shared" si="85"/>
        <v>399.81666666666666</v>
      </c>
      <c r="G1809">
        <f t="shared" si="86"/>
        <v>8.6259845224304748</v>
      </c>
    </row>
    <row r="1810" spans="1:7" x14ac:dyDescent="0.35">
      <c r="A1810">
        <v>230</v>
      </c>
      <c r="B1810">
        <v>270</v>
      </c>
      <c r="C1810">
        <v>1.889</v>
      </c>
      <c r="E1810">
        <f t="shared" si="84"/>
        <v>1585794.8</v>
      </c>
      <c r="F1810">
        <f t="shared" si="85"/>
        <v>405.37222222222221</v>
      </c>
      <c r="G1810">
        <f t="shared" si="86"/>
        <v>8.4798587920346176</v>
      </c>
    </row>
    <row r="1811" spans="1:7" x14ac:dyDescent="0.35">
      <c r="A1811">
        <v>230</v>
      </c>
      <c r="B1811">
        <v>280</v>
      </c>
      <c r="C1811">
        <v>1.92</v>
      </c>
      <c r="E1811">
        <f t="shared" si="84"/>
        <v>1585794.8</v>
      </c>
      <c r="F1811">
        <f t="shared" si="85"/>
        <v>410.92777777777775</v>
      </c>
      <c r="G1811">
        <f t="shared" si="86"/>
        <v>8.3429444052882271</v>
      </c>
    </row>
    <row r="1812" spans="1:7" x14ac:dyDescent="0.35">
      <c r="A1812">
        <v>230</v>
      </c>
      <c r="B1812">
        <v>290</v>
      </c>
      <c r="C1812">
        <v>1.9510000000000001</v>
      </c>
      <c r="E1812">
        <f t="shared" si="84"/>
        <v>1585794.8</v>
      </c>
      <c r="F1812">
        <f t="shared" si="85"/>
        <v>416.48333333333335</v>
      </c>
      <c r="G1812">
        <f t="shared" si="86"/>
        <v>8.2103809626619135</v>
      </c>
    </row>
    <row r="1813" spans="1:7" x14ac:dyDescent="0.35">
      <c r="A1813">
        <v>230</v>
      </c>
      <c r="B1813">
        <v>300</v>
      </c>
      <c r="C1813">
        <v>1.982</v>
      </c>
      <c r="E1813">
        <f t="shared" si="84"/>
        <v>1585794.8</v>
      </c>
      <c r="F1813">
        <f t="shared" si="85"/>
        <v>422.03888888888889</v>
      </c>
      <c r="G1813">
        <f t="shared" si="86"/>
        <v>8.081964307847322</v>
      </c>
    </row>
    <row r="1814" spans="1:7" x14ac:dyDescent="0.35">
      <c r="A1814">
        <v>230</v>
      </c>
      <c r="B1814">
        <v>320</v>
      </c>
      <c r="C1814">
        <v>2.0430000000000001</v>
      </c>
      <c r="E1814">
        <f t="shared" si="84"/>
        <v>1585794.8</v>
      </c>
      <c r="F1814">
        <f t="shared" si="85"/>
        <v>433.15</v>
      </c>
      <c r="G1814">
        <f t="shared" si="86"/>
        <v>7.8406525982150725</v>
      </c>
    </row>
    <row r="1815" spans="1:7" x14ac:dyDescent="0.35">
      <c r="A1815">
        <v>230</v>
      </c>
      <c r="B1815">
        <v>340</v>
      </c>
      <c r="C1815">
        <v>2.1030000000000002</v>
      </c>
      <c r="E1815">
        <f t="shared" si="84"/>
        <v>1585794.8</v>
      </c>
      <c r="F1815">
        <f t="shared" si="85"/>
        <v>444.26111111111106</v>
      </c>
      <c r="G1815">
        <f t="shared" si="86"/>
        <v>7.6169535226597205</v>
      </c>
    </row>
    <row r="1816" spans="1:7" x14ac:dyDescent="0.35">
      <c r="A1816">
        <v>230</v>
      </c>
      <c r="B1816">
        <v>360</v>
      </c>
      <c r="C1816">
        <v>2.1629999999999998</v>
      </c>
      <c r="E1816">
        <f t="shared" si="84"/>
        <v>1585794.8</v>
      </c>
      <c r="F1816">
        <f t="shared" si="85"/>
        <v>455.37222222222221</v>
      </c>
      <c r="G1816">
        <f t="shared" si="86"/>
        <v>7.4056649367329621</v>
      </c>
    </row>
    <row r="1817" spans="1:7" x14ac:dyDescent="0.35">
      <c r="A1817">
        <v>230</v>
      </c>
      <c r="B1817">
        <v>380</v>
      </c>
      <c r="C1817">
        <v>2.222</v>
      </c>
      <c r="E1817">
        <f t="shared" si="84"/>
        <v>1585794.8</v>
      </c>
      <c r="F1817">
        <f t="shared" si="85"/>
        <v>466.48333333333335</v>
      </c>
      <c r="G1817">
        <f t="shared" si="86"/>
        <v>7.2090248686558924</v>
      </c>
    </row>
    <row r="1818" spans="1:7" x14ac:dyDescent="0.35">
      <c r="A1818">
        <v>240</v>
      </c>
      <c r="B1818">
        <v>110</v>
      </c>
      <c r="C1818">
        <v>1.2609999999999999</v>
      </c>
      <c r="E1818">
        <f t="shared" si="84"/>
        <v>1654742.4000000001</v>
      </c>
      <c r="F1818">
        <f t="shared" si="85"/>
        <v>316.48333333333329</v>
      </c>
      <c r="G1818">
        <f t="shared" si="86"/>
        <v>12.702976414078822</v>
      </c>
    </row>
    <row r="1819" spans="1:7" x14ac:dyDescent="0.35">
      <c r="A1819">
        <v>240</v>
      </c>
      <c r="B1819">
        <v>120</v>
      </c>
      <c r="C1819">
        <v>1.302</v>
      </c>
      <c r="E1819">
        <f t="shared" si="84"/>
        <v>1654742.4000000001</v>
      </c>
      <c r="F1819">
        <f t="shared" si="85"/>
        <v>322.03888888888889</v>
      </c>
      <c r="G1819">
        <f t="shared" si="86"/>
        <v>12.302959491669274</v>
      </c>
    </row>
    <row r="1820" spans="1:7" x14ac:dyDescent="0.35">
      <c r="A1820">
        <v>240</v>
      </c>
      <c r="B1820">
        <v>130</v>
      </c>
      <c r="C1820">
        <v>1.3420000000000001</v>
      </c>
      <c r="E1820">
        <f t="shared" si="84"/>
        <v>1654742.4000000001</v>
      </c>
      <c r="F1820">
        <f t="shared" si="85"/>
        <v>327.59444444444443</v>
      </c>
      <c r="G1820">
        <f t="shared" si="86"/>
        <v>11.93625429072533</v>
      </c>
    </row>
    <row r="1821" spans="1:7" x14ac:dyDescent="0.35">
      <c r="A1821">
        <v>240</v>
      </c>
      <c r="B1821">
        <v>140</v>
      </c>
      <c r="C1821">
        <v>1.38</v>
      </c>
      <c r="E1821">
        <f t="shared" si="84"/>
        <v>1654742.4000000001</v>
      </c>
      <c r="F1821">
        <f t="shared" si="85"/>
        <v>333.15</v>
      </c>
      <c r="G1821">
        <f t="shared" si="86"/>
        <v>11.607574824748838</v>
      </c>
    </row>
    <row r="1822" spans="1:7" x14ac:dyDescent="0.35">
      <c r="A1822">
        <v>240</v>
      </c>
      <c r="B1822">
        <v>150</v>
      </c>
      <c r="C1822">
        <v>1.4159999999999999</v>
      </c>
      <c r="E1822">
        <f t="shared" si="84"/>
        <v>1654742.4000000001</v>
      </c>
      <c r="F1822">
        <f t="shared" si="85"/>
        <v>338.70555555555552</v>
      </c>
      <c r="G1822">
        <f t="shared" si="86"/>
        <v>11.312466990221324</v>
      </c>
    </row>
    <row r="1823" spans="1:7" x14ac:dyDescent="0.35">
      <c r="A1823">
        <v>240</v>
      </c>
      <c r="B1823">
        <v>160</v>
      </c>
      <c r="C1823">
        <v>1.452</v>
      </c>
      <c r="E1823">
        <f t="shared" si="84"/>
        <v>1654742.4000000001</v>
      </c>
      <c r="F1823">
        <f t="shared" si="85"/>
        <v>344.26111111111106</v>
      </c>
      <c r="G1823">
        <f t="shared" si="86"/>
        <v>11.031992602034018</v>
      </c>
    </row>
    <row r="1824" spans="1:7" x14ac:dyDescent="0.35">
      <c r="A1824">
        <v>240</v>
      </c>
      <c r="B1824">
        <v>170</v>
      </c>
      <c r="C1824">
        <v>1.4870000000000001</v>
      </c>
      <c r="E1824">
        <f t="shared" si="84"/>
        <v>1654742.4000000001</v>
      </c>
      <c r="F1824">
        <f t="shared" si="85"/>
        <v>349.81666666666666</v>
      </c>
      <c r="G1824">
        <f t="shared" si="86"/>
        <v>10.772329023640479</v>
      </c>
    </row>
    <row r="1825" spans="1:7" x14ac:dyDescent="0.35">
      <c r="A1825">
        <v>240</v>
      </c>
      <c r="B1825">
        <v>180</v>
      </c>
      <c r="C1825">
        <v>1.5209999999999999</v>
      </c>
      <c r="E1825">
        <f t="shared" si="84"/>
        <v>1654742.4000000001</v>
      </c>
      <c r="F1825">
        <f t="shared" si="85"/>
        <v>355.37222222222221</v>
      </c>
      <c r="G1825">
        <f t="shared" si="86"/>
        <v>10.531527454407229</v>
      </c>
    </row>
    <row r="1826" spans="1:7" x14ac:dyDescent="0.35">
      <c r="A1826">
        <v>240</v>
      </c>
      <c r="B1826">
        <v>190</v>
      </c>
      <c r="C1826">
        <v>1.554</v>
      </c>
      <c r="E1826">
        <f t="shared" si="84"/>
        <v>1654742.4000000001</v>
      </c>
      <c r="F1826">
        <f t="shared" si="85"/>
        <v>360.92777777777775</v>
      </c>
      <c r="G1826">
        <f t="shared" si="86"/>
        <v>10.307884979506689</v>
      </c>
    </row>
    <row r="1827" spans="1:7" x14ac:dyDescent="0.35">
      <c r="A1827">
        <v>240</v>
      </c>
      <c r="B1827">
        <v>200</v>
      </c>
      <c r="C1827">
        <v>1.587</v>
      </c>
      <c r="E1827">
        <f t="shared" si="84"/>
        <v>1654742.4000000001</v>
      </c>
      <c r="F1827">
        <f t="shared" si="85"/>
        <v>366.48333333333329</v>
      </c>
      <c r="G1827">
        <f t="shared" si="86"/>
        <v>10.093543325868552</v>
      </c>
    </row>
    <row r="1828" spans="1:7" x14ac:dyDescent="0.35">
      <c r="A1828">
        <v>240</v>
      </c>
      <c r="B1828">
        <v>210</v>
      </c>
      <c r="C1828">
        <v>1.619</v>
      </c>
      <c r="E1828">
        <f t="shared" si="84"/>
        <v>1654742.4000000001</v>
      </c>
      <c r="F1828">
        <f t="shared" si="85"/>
        <v>372.03888888888889</v>
      </c>
      <c r="G1828">
        <f t="shared" si="86"/>
        <v>9.8940415430224782</v>
      </c>
    </row>
    <row r="1829" spans="1:7" x14ac:dyDescent="0.35">
      <c r="A1829">
        <v>240</v>
      </c>
      <c r="B1829">
        <v>220</v>
      </c>
      <c r="C1829">
        <v>1.651</v>
      </c>
      <c r="E1829">
        <f t="shared" si="84"/>
        <v>1654742.4000000001</v>
      </c>
      <c r="F1829">
        <f t="shared" si="85"/>
        <v>377.59444444444443</v>
      </c>
      <c r="G1829">
        <f t="shared" si="86"/>
        <v>9.7022733241389414</v>
      </c>
    </row>
    <row r="1830" spans="1:7" x14ac:dyDescent="0.35">
      <c r="A1830">
        <v>240</v>
      </c>
      <c r="B1830">
        <v>230</v>
      </c>
      <c r="C1830">
        <v>1.6830000000000001</v>
      </c>
      <c r="E1830">
        <f t="shared" si="84"/>
        <v>1654742.4000000001</v>
      </c>
      <c r="F1830">
        <f t="shared" si="85"/>
        <v>383.15</v>
      </c>
      <c r="G1830">
        <f t="shared" si="86"/>
        <v>9.5177975390097398</v>
      </c>
    </row>
    <row r="1831" spans="1:7" x14ac:dyDescent="0.35">
      <c r="A1831">
        <v>240</v>
      </c>
      <c r="B1831">
        <v>240</v>
      </c>
      <c r="C1831">
        <v>1.714</v>
      </c>
      <c r="E1831">
        <f t="shared" si="84"/>
        <v>1654742.4000000001</v>
      </c>
      <c r="F1831">
        <f t="shared" si="85"/>
        <v>388.70555555555552</v>
      </c>
      <c r="G1831">
        <f t="shared" si="86"/>
        <v>9.3456553431466709</v>
      </c>
    </row>
    <row r="1832" spans="1:7" x14ac:dyDescent="0.35">
      <c r="A1832">
        <v>240</v>
      </c>
      <c r="B1832">
        <v>250</v>
      </c>
      <c r="C1832">
        <v>1.7450000000000001</v>
      </c>
      <c r="E1832">
        <f t="shared" si="84"/>
        <v>1654742.4000000001</v>
      </c>
      <c r="F1832">
        <f t="shared" si="85"/>
        <v>394.26111111111106</v>
      </c>
      <c r="G1832">
        <f t="shared" si="86"/>
        <v>9.1796293742999389</v>
      </c>
    </row>
    <row r="1833" spans="1:7" x14ac:dyDescent="0.35">
      <c r="A1833">
        <v>240</v>
      </c>
      <c r="B1833">
        <v>260</v>
      </c>
      <c r="C1833">
        <v>1.7749999999999999</v>
      </c>
      <c r="E1833">
        <f t="shared" si="84"/>
        <v>1654742.4000000001</v>
      </c>
      <c r="F1833">
        <f t="shared" si="85"/>
        <v>399.81666666666666</v>
      </c>
      <c r="G1833">
        <f t="shared" si="86"/>
        <v>9.0244807088188139</v>
      </c>
    </row>
    <row r="1834" spans="1:7" x14ac:dyDescent="0.35">
      <c r="A1834">
        <v>240</v>
      </c>
      <c r="B1834">
        <v>270</v>
      </c>
      <c r="C1834">
        <v>1.8049999999999999</v>
      </c>
      <c r="E1834">
        <f t="shared" si="84"/>
        <v>1654742.4000000001</v>
      </c>
      <c r="F1834">
        <f t="shared" si="85"/>
        <v>405.37222222222221</v>
      </c>
      <c r="G1834">
        <f t="shared" si="86"/>
        <v>8.8744893396971705</v>
      </c>
    </row>
    <row r="1835" spans="1:7" x14ac:dyDescent="0.35">
      <c r="A1835">
        <v>240</v>
      </c>
      <c r="B1835">
        <v>280</v>
      </c>
      <c r="C1835">
        <v>1.835</v>
      </c>
      <c r="E1835">
        <f t="shared" si="84"/>
        <v>1654742.4000000001</v>
      </c>
      <c r="F1835">
        <f t="shared" si="85"/>
        <v>410.92777777777775</v>
      </c>
      <c r="G1835">
        <f t="shared" si="86"/>
        <v>8.7294023205195597</v>
      </c>
    </row>
    <row r="1836" spans="1:7" x14ac:dyDescent="0.35">
      <c r="A1836">
        <v>240</v>
      </c>
      <c r="B1836">
        <v>290</v>
      </c>
      <c r="C1836">
        <v>1.865</v>
      </c>
      <c r="E1836">
        <f t="shared" si="84"/>
        <v>1654742.4000000001</v>
      </c>
      <c r="F1836">
        <f t="shared" si="85"/>
        <v>416.48333333333335</v>
      </c>
      <c r="G1836">
        <f t="shared" si="86"/>
        <v>8.5889829802431059</v>
      </c>
    </row>
    <row r="1837" spans="1:7" x14ac:dyDescent="0.35">
      <c r="A1837">
        <v>240</v>
      </c>
      <c r="B1837">
        <v>300</v>
      </c>
      <c r="C1837">
        <v>1.895</v>
      </c>
      <c r="E1837">
        <f t="shared" si="84"/>
        <v>1654742.4000000001</v>
      </c>
      <c r="F1837">
        <f t="shared" si="85"/>
        <v>422.03888888888889</v>
      </c>
      <c r="G1837">
        <f t="shared" si="86"/>
        <v>8.4530096349094421</v>
      </c>
    </row>
    <row r="1838" spans="1:7" x14ac:dyDescent="0.35">
      <c r="A1838">
        <v>240</v>
      </c>
      <c r="B1838">
        <v>320</v>
      </c>
      <c r="C1838">
        <v>1.954</v>
      </c>
      <c r="E1838">
        <f t="shared" si="84"/>
        <v>1654742.4000000001</v>
      </c>
      <c r="F1838">
        <f t="shared" si="85"/>
        <v>433.15</v>
      </c>
      <c r="G1838">
        <f t="shared" si="86"/>
        <v>8.1977754647663215</v>
      </c>
    </row>
    <row r="1839" spans="1:7" x14ac:dyDescent="0.35">
      <c r="A1839">
        <v>240</v>
      </c>
      <c r="B1839">
        <v>340</v>
      </c>
      <c r="C1839">
        <v>2.012</v>
      </c>
      <c r="E1839">
        <f t="shared" si="84"/>
        <v>1654742.4000000001</v>
      </c>
      <c r="F1839">
        <f t="shared" si="85"/>
        <v>444.26111111111106</v>
      </c>
      <c r="G1839">
        <f t="shared" si="86"/>
        <v>7.9614578817859805</v>
      </c>
    </row>
    <row r="1840" spans="1:7" x14ac:dyDescent="0.35">
      <c r="A1840">
        <v>240</v>
      </c>
      <c r="B1840">
        <v>360</v>
      </c>
      <c r="C1840">
        <v>2.069</v>
      </c>
      <c r="E1840">
        <f t="shared" si="84"/>
        <v>1654742.4000000001</v>
      </c>
      <c r="F1840">
        <f t="shared" si="85"/>
        <v>455.37222222222221</v>
      </c>
      <c r="G1840">
        <f t="shared" si="86"/>
        <v>7.7421233727179279</v>
      </c>
    </row>
    <row r="1841" spans="1:7" x14ac:dyDescent="0.35">
      <c r="A1841">
        <v>240</v>
      </c>
      <c r="B1841">
        <v>380</v>
      </c>
      <c r="C1841">
        <v>2.1259999999999999</v>
      </c>
      <c r="E1841">
        <f t="shared" si="84"/>
        <v>1654742.4000000001</v>
      </c>
      <c r="F1841">
        <f t="shared" si="85"/>
        <v>466.48333333333335</v>
      </c>
      <c r="G1841">
        <f t="shared" si="86"/>
        <v>7.5345499803167426</v>
      </c>
    </row>
    <row r="1842" spans="1:7" x14ac:dyDescent="0.35">
      <c r="A1842">
        <v>250</v>
      </c>
      <c r="B1842">
        <v>120</v>
      </c>
      <c r="C1842">
        <v>1.24</v>
      </c>
      <c r="E1842">
        <f t="shared" si="84"/>
        <v>1723690</v>
      </c>
      <c r="F1842">
        <f t="shared" si="85"/>
        <v>322.03888888888889</v>
      </c>
      <c r="G1842">
        <f t="shared" si="86"/>
        <v>12.918107466252735</v>
      </c>
    </row>
    <row r="1843" spans="1:7" x14ac:dyDescent="0.35">
      <c r="A1843">
        <v>250</v>
      </c>
      <c r="B1843">
        <v>130</v>
      </c>
      <c r="C1843">
        <v>1.278</v>
      </c>
      <c r="E1843">
        <f t="shared" si="84"/>
        <v>1723690</v>
      </c>
      <c r="F1843">
        <f t="shared" si="85"/>
        <v>327.59444444444443</v>
      </c>
      <c r="G1843">
        <f t="shared" si="86"/>
        <v>12.534000984470573</v>
      </c>
    </row>
    <row r="1844" spans="1:7" x14ac:dyDescent="0.35">
      <c r="A1844">
        <v>250</v>
      </c>
      <c r="B1844">
        <v>140</v>
      </c>
      <c r="C1844">
        <v>1.3160000000000001</v>
      </c>
      <c r="E1844">
        <f t="shared" si="84"/>
        <v>1723690</v>
      </c>
      <c r="F1844">
        <f t="shared" si="85"/>
        <v>333.15</v>
      </c>
      <c r="G1844">
        <f t="shared" si="86"/>
        <v>12.172076943885557</v>
      </c>
    </row>
    <row r="1845" spans="1:7" x14ac:dyDescent="0.35">
      <c r="A1845">
        <v>250</v>
      </c>
      <c r="B1845">
        <v>150</v>
      </c>
      <c r="C1845">
        <v>1.3520000000000001</v>
      </c>
      <c r="E1845">
        <f t="shared" si="84"/>
        <v>1723690</v>
      </c>
      <c r="F1845">
        <f t="shared" si="85"/>
        <v>338.70555555555552</v>
      </c>
      <c r="G1845">
        <f t="shared" si="86"/>
        <v>11.84796838620813</v>
      </c>
    </row>
    <row r="1846" spans="1:7" x14ac:dyDescent="0.35">
      <c r="A1846">
        <v>250</v>
      </c>
      <c r="B1846">
        <v>160</v>
      </c>
      <c r="C1846">
        <v>1.3859999999999999</v>
      </c>
      <c r="E1846">
        <f t="shared" si="84"/>
        <v>1723690</v>
      </c>
      <c r="F1846">
        <f t="shared" si="85"/>
        <v>344.26111111111106</v>
      </c>
      <c r="G1846">
        <f t="shared" si="86"/>
        <v>11.557325583083257</v>
      </c>
    </row>
    <row r="1847" spans="1:7" x14ac:dyDescent="0.35">
      <c r="A1847">
        <v>250</v>
      </c>
      <c r="B1847">
        <v>170</v>
      </c>
      <c r="C1847">
        <v>1.42</v>
      </c>
      <c r="E1847">
        <f t="shared" si="84"/>
        <v>1723690</v>
      </c>
      <c r="F1847">
        <f t="shared" si="85"/>
        <v>349.81666666666666</v>
      </c>
      <c r="G1847">
        <f t="shared" si="86"/>
        <v>11.280600886023517</v>
      </c>
    </row>
    <row r="1848" spans="1:7" x14ac:dyDescent="0.35">
      <c r="A1848">
        <v>250</v>
      </c>
      <c r="B1848">
        <v>180</v>
      </c>
      <c r="C1848">
        <v>1.4530000000000001</v>
      </c>
      <c r="E1848">
        <f t="shared" si="84"/>
        <v>1723690</v>
      </c>
      <c r="F1848">
        <f t="shared" si="85"/>
        <v>355.37222222222221</v>
      </c>
      <c r="G1848">
        <f t="shared" si="86"/>
        <v>11.024400040022982</v>
      </c>
    </row>
    <row r="1849" spans="1:7" x14ac:dyDescent="0.35">
      <c r="A1849">
        <v>250</v>
      </c>
      <c r="B1849">
        <v>190</v>
      </c>
      <c r="C1849">
        <v>1.486</v>
      </c>
      <c r="E1849">
        <f t="shared" si="84"/>
        <v>1723690</v>
      </c>
      <c r="F1849">
        <f t="shared" si="85"/>
        <v>360.92777777777775</v>
      </c>
      <c r="G1849">
        <f t="shared" si="86"/>
        <v>10.779578235634855</v>
      </c>
    </row>
    <row r="1850" spans="1:7" x14ac:dyDescent="0.35">
      <c r="A1850">
        <v>250</v>
      </c>
      <c r="B1850">
        <v>200</v>
      </c>
      <c r="C1850">
        <v>1.518</v>
      </c>
      <c r="E1850">
        <f t="shared" si="84"/>
        <v>1723690</v>
      </c>
      <c r="F1850">
        <f t="shared" si="85"/>
        <v>366.48333333333329</v>
      </c>
      <c r="G1850">
        <f t="shared" si="86"/>
        <v>10.55234074977167</v>
      </c>
    </row>
    <row r="1851" spans="1:7" x14ac:dyDescent="0.35">
      <c r="A1851">
        <v>250</v>
      </c>
      <c r="B1851">
        <v>210</v>
      </c>
      <c r="C1851">
        <v>1.5489999999999999</v>
      </c>
      <c r="E1851">
        <f t="shared" si="84"/>
        <v>1723690</v>
      </c>
      <c r="F1851">
        <f t="shared" si="85"/>
        <v>372.03888888888889</v>
      </c>
      <c r="G1851">
        <f t="shared" si="86"/>
        <v>10.341157687639376</v>
      </c>
    </row>
    <row r="1852" spans="1:7" x14ac:dyDescent="0.35">
      <c r="A1852">
        <v>250</v>
      </c>
      <c r="B1852">
        <v>220</v>
      </c>
      <c r="C1852">
        <v>1.58</v>
      </c>
      <c r="E1852">
        <f t="shared" si="84"/>
        <v>1723690</v>
      </c>
      <c r="F1852">
        <f t="shared" si="85"/>
        <v>377.59444444444443</v>
      </c>
      <c r="G1852">
        <f t="shared" si="86"/>
        <v>10.138261555793287</v>
      </c>
    </row>
    <row r="1853" spans="1:7" x14ac:dyDescent="0.35">
      <c r="A1853">
        <v>250</v>
      </c>
      <c r="B1853">
        <v>230</v>
      </c>
      <c r="C1853">
        <v>1.61</v>
      </c>
      <c r="E1853">
        <f t="shared" si="84"/>
        <v>1723690</v>
      </c>
      <c r="F1853">
        <f t="shared" si="85"/>
        <v>383.15</v>
      </c>
      <c r="G1853">
        <f t="shared" si="86"/>
        <v>9.9493498497847153</v>
      </c>
    </row>
    <row r="1854" spans="1:7" x14ac:dyDescent="0.35">
      <c r="A1854">
        <v>250</v>
      </c>
      <c r="B1854">
        <v>240</v>
      </c>
      <c r="C1854">
        <v>1.64</v>
      </c>
      <c r="E1854">
        <f t="shared" si="84"/>
        <v>1723690</v>
      </c>
      <c r="F1854">
        <f t="shared" si="85"/>
        <v>388.70555555555552</v>
      </c>
      <c r="G1854">
        <f t="shared" si="86"/>
        <v>9.7673495476545096</v>
      </c>
    </row>
    <row r="1855" spans="1:7" x14ac:dyDescent="0.35">
      <c r="A1855">
        <v>250</v>
      </c>
      <c r="B1855">
        <v>250</v>
      </c>
      <c r="C1855">
        <v>1.67</v>
      </c>
      <c r="E1855">
        <f t="shared" si="84"/>
        <v>1723690</v>
      </c>
      <c r="F1855">
        <f t="shared" si="85"/>
        <v>394.26111111111106</v>
      </c>
      <c r="G1855">
        <f t="shared" si="86"/>
        <v>9.5918881785349672</v>
      </c>
    </row>
    <row r="1856" spans="1:7" x14ac:dyDescent="0.35">
      <c r="A1856">
        <v>250</v>
      </c>
      <c r="B1856">
        <v>260</v>
      </c>
      <c r="C1856">
        <v>1.6990000000000001</v>
      </c>
      <c r="E1856">
        <f t="shared" si="84"/>
        <v>1723690</v>
      </c>
      <c r="F1856">
        <f t="shared" si="85"/>
        <v>399.81666666666666</v>
      </c>
      <c r="G1856">
        <f t="shared" si="86"/>
        <v>9.4281655433510263</v>
      </c>
    </row>
    <row r="1857" spans="1:7" x14ac:dyDescent="0.35">
      <c r="A1857">
        <v>250</v>
      </c>
      <c r="B1857">
        <v>270</v>
      </c>
      <c r="C1857">
        <v>1.7290000000000001</v>
      </c>
      <c r="E1857">
        <f t="shared" si="84"/>
        <v>1723690</v>
      </c>
      <c r="F1857">
        <f t="shared" si="85"/>
        <v>405.37222222222221</v>
      </c>
      <c r="G1857">
        <f t="shared" si="86"/>
        <v>9.2645767832003436</v>
      </c>
    </row>
    <row r="1858" spans="1:7" x14ac:dyDescent="0.35">
      <c r="A1858">
        <v>250</v>
      </c>
      <c r="B1858">
        <v>280</v>
      </c>
      <c r="C1858">
        <v>1.758</v>
      </c>
      <c r="E1858">
        <f t="shared" ref="E1858:E1921" si="87">A1858*6894.76</f>
        <v>1723690</v>
      </c>
      <c r="F1858">
        <f t="shared" si="85"/>
        <v>410.92777777777775</v>
      </c>
      <c r="G1858">
        <f t="shared" si="86"/>
        <v>9.1117481559461844</v>
      </c>
    </row>
    <row r="1859" spans="1:7" x14ac:dyDescent="0.35">
      <c r="A1859">
        <v>250</v>
      </c>
      <c r="B1859">
        <v>290</v>
      </c>
      <c r="C1859">
        <v>1.786</v>
      </c>
      <c r="E1859">
        <f t="shared" si="87"/>
        <v>1723690</v>
      </c>
      <c r="F1859">
        <f t="shared" ref="F1859:F1922" si="88">(B1859-32)*5/9+273.15</f>
        <v>416.48333333333335</v>
      </c>
      <c r="G1859">
        <f t="shared" ref="G1859:G1922" si="89">1/(C1859*0.062428)</f>
        <v>8.9688988007577795</v>
      </c>
    </row>
    <row r="1860" spans="1:7" x14ac:dyDescent="0.35">
      <c r="A1860">
        <v>250</v>
      </c>
      <c r="B1860">
        <v>300</v>
      </c>
      <c r="C1860">
        <v>1.8149999999999999</v>
      </c>
      <c r="E1860">
        <f t="shared" si="87"/>
        <v>1723690</v>
      </c>
      <c r="F1860">
        <f t="shared" si="88"/>
        <v>422.03888888888889</v>
      </c>
      <c r="G1860">
        <f t="shared" si="89"/>
        <v>8.825594081627214</v>
      </c>
    </row>
    <row r="1861" spans="1:7" x14ac:dyDescent="0.35">
      <c r="A1861">
        <v>250</v>
      </c>
      <c r="B1861">
        <v>320</v>
      </c>
      <c r="C1861">
        <v>1.8720000000000001</v>
      </c>
      <c r="E1861">
        <f t="shared" si="87"/>
        <v>1723690</v>
      </c>
      <c r="F1861">
        <f t="shared" si="88"/>
        <v>433.15</v>
      </c>
      <c r="G1861">
        <f t="shared" si="89"/>
        <v>8.5568660567058714</v>
      </c>
    </row>
    <row r="1862" spans="1:7" x14ac:dyDescent="0.35">
      <c r="A1862">
        <v>250</v>
      </c>
      <c r="B1862">
        <v>340</v>
      </c>
      <c r="C1862">
        <v>1.9279999999999999</v>
      </c>
      <c r="E1862">
        <f t="shared" si="87"/>
        <v>1723690</v>
      </c>
      <c r="F1862">
        <f t="shared" si="88"/>
        <v>444.26111111111106</v>
      </c>
      <c r="G1862">
        <f t="shared" si="89"/>
        <v>8.3083263787102659</v>
      </c>
    </row>
    <row r="1863" spans="1:7" x14ac:dyDescent="0.35">
      <c r="A1863">
        <v>250</v>
      </c>
      <c r="B1863">
        <v>360</v>
      </c>
      <c r="C1863">
        <v>1.9830000000000001</v>
      </c>
      <c r="E1863">
        <f t="shared" si="87"/>
        <v>1723690</v>
      </c>
      <c r="F1863">
        <f t="shared" si="88"/>
        <v>455.37222222222221</v>
      </c>
      <c r="G1863">
        <f t="shared" si="89"/>
        <v>8.077888682881186</v>
      </c>
    </row>
    <row r="1864" spans="1:7" x14ac:dyDescent="0.35">
      <c r="A1864">
        <v>250</v>
      </c>
      <c r="B1864">
        <v>380</v>
      </c>
      <c r="C1864">
        <v>2.0379999999999998</v>
      </c>
      <c r="E1864">
        <f t="shared" si="87"/>
        <v>1723690</v>
      </c>
      <c r="F1864">
        <f t="shared" si="88"/>
        <v>466.48333333333335</v>
      </c>
      <c r="G1864">
        <f t="shared" si="89"/>
        <v>7.8598887429604494</v>
      </c>
    </row>
    <row r="1865" spans="1:7" x14ac:dyDescent="0.35">
      <c r="A1865">
        <v>250</v>
      </c>
      <c r="B1865">
        <v>400</v>
      </c>
      <c r="C1865">
        <v>2.093</v>
      </c>
      <c r="E1865">
        <f t="shared" si="87"/>
        <v>1723690</v>
      </c>
      <c r="F1865">
        <f t="shared" si="88"/>
        <v>477.59444444444443</v>
      </c>
      <c r="G1865">
        <f t="shared" si="89"/>
        <v>7.6533460382959362</v>
      </c>
    </row>
    <row r="1866" spans="1:7" x14ac:dyDescent="0.35">
      <c r="A1866">
        <v>260</v>
      </c>
      <c r="B1866">
        <v>120</v>
      </c>
      <c r="C1866">
        <v>1.1819999999999999</v>
      </c>
      <c r="E1866">
        <f t="shared" si="87"/>
        <v>1792637.6</v>
      </c>
      <c r="F1866">
        <f t="shared" si="88"/>
        <v>322.03888888888889</v>
      </c>
      <c r="G1866">
        <f t="shared" si="89"/>
        <v>13.551990912143312</v>
      </c>
    </row>
    <row r="1867" spans="1:7" x14ac:dyDescent="0.35">
      <c r="A1867">
        <v>260</v>
      </c>
      <c r="B1867">
        <v>130</v>
      </c>
      <c r="C1867">
        <v>1.22</v>
      </c>
      <c r="E1867">
        <f t="shared" si="87"/>
        <v>1792637.6</v>
      </c>
      <c r="F1867">
        <f t="shared" si="88"/>
        <v>327.59444444444443</v>
      </c>
      <c r="G1867">
        <f t="shared" si="89"/>
        <v>13.129879719797865</v>
      </c>
    </row>
    <row r="1868" spans="1:7" x14ac:dyDescent="0.35">
      <c r="A1868">
        <v>260</v>
      </c>
      <c r="B1868">
        <v>140</v>
      </c>
      <c r="C1868">
        <v>1.2569999999999999</v>
      </c>
      <c r="E1868">
        <f t="shared" si="87"/>
        <v>1792637.6</v>
      </c>
      <c r="F1868">
        <f t="shared" si="88"/>
        <v>333.15</v>
      </c>
      <c r="G1868">
        <f t="shared" si="89"/>
        <v>12.74339956893667</v>
      </c>
    </row>
    <row r="1869" spans="1:7" x14ac:dyDescent="0.35">
      <c r="A1869">
        <v>260</v>
      </c>
      <c r="B1869">
        <v>150</v>
      </c>
      <c r="C1869">
        <v>1.292</v>
      </c>
      <c r="E1869">
        <f t="shared" si="87"/>
        <v>1792637.6</v>
      </c>
      <c r="F1869">
        <f t="shared" si="88"/>
        <v>338.70555555555552</v>
      </c>
      <c r="G1869">
        <f t="shared" si="89"/>
        <v>12.398183636341635</v>
      </c>
    </row>
    <row r="1870" spans="1:7" x14ac:dyDescent="0.35">
      <c r="A1870">
        <v>260</v>
      </c>
      <c r="B1870">
        <v>160</v>
      </c>
      <c r="C1870">
        <v>1.3260000000000001</v>
      </c>
      <c r="E1870">
        <f t="shared" si="87"/>
        <v>1792637.6</v>
      </c>
      <c r="F1870">
        <f t="shared" si="88"/>
        <v>344.26111111111106</v>
      </c>
      <c r="G1870">
        <f t="shared" si="89"/>
        <v>12.080281491820054</v>
      </c>
    </row>
    <row r="1871" spans="1:7" x14ac:dyDescent="0.35">
      <c r="A1871">
        <v>260</v>
      </c>
      <c r="B1871">
        <v>170</v>
      </c>
      <c r="C1871">
        <v>1.359</v>
      </c>
      <c r="E1871">
        <f t="shared" si="87"/>
        <v>1792637.6</v>
      </c>
      <c r="F1871">
        <f t="shared" si="88"/>
        <v>349.81666666666666</v>
      </c>
      <c r="G1871">
        <f t="shared" si="89"/>
        <v>11.786941323144513</v>
      </c>
    </row>
    <row r="1872" spans="1:7" x14ac:dyDescent="0.35">
      <c r="A1872">
        <v>260</v>
      </c>
      <c r="B1872">
        <v>180</v>
      </c>
      <c r="C1872">
        <v>1.391</v>
      </c>
      <c r="E1872">
        <f t="shared" si="87"/>
        <v>1792637.6</v>
      </c>
      <c r="F1872">
        <f t="shared" si="88"/>
        <v>355.37222222222221</v>
      </c>
      <c r="G1872">
        <f t="shared" si="89"/>
        <v>11.515782356688277</v>
      </c>
    </row>
    <row r="1873" spans="1:7" x14ac:dyDescent="0.35">
      <c r="A1873">
        <v>260</v>
      </c>
      <c r="B1873">
        <v>190</v>
      </c>
      <c r="C1873">
        <v>1.4219999999999999</v>
      </c>
      <c r="E1873">
        <f t="shared" si="87"/>
        <v>1792637.6</v>
      </c>
      <c r="F1873">
        <f t="shared" si="88"/>
        <v>360.92777777777775</v>
      </c>
      <c r="G1873">
        <f t="shared" si="89"/>
        <v>11.264735061992541</v>
      </c>
    </row>
    <row r="1874" spans="1:7" x14ac:dyDescent="0.35">
      <c r="A1874">
        <v>260</v>
      </c>
      <c r="B1874">
        <v>200</v>
      </c>
      <c r="C1874">
        <v>1.4530000000000001</v>
      </c>
      <c r="E1874">
        <f t="shared" si="87"/>
        <v>1792637.6</v>
      </c>
      <c r="F1874">
        <f t="shared" si="88"/>
        <v>366.48333333333329</v>
      </c>
      <c r="G1874">
        <f t="shared" si="89"/>
        <v>11.024400040022982</v>
      </c>
    </row>
    <row r="1875" spans="1:7" x14ac:dyDescent="0.35">
      <c r="A1875">
        <v>260</v>
      </c>
      <c r="B1875">
        <v>210</v>
      </c>
      <c r="C1875">
        <v>1.484</v>
      </c>
      <c r="E1875">
        <f t="shared" si="87"/>
        <v>1792637.6</v>
      </c>
      <c r="F1875">
        <f t="shared" si="88"/>
        <v>372.03888888888889</v>
      </c>
      <c r="G1875">
        <f t="shared" si="89"/>
        <v>10.794105969106061</v>
      </c>
    </row>
    <row r="1876" spans="1:7" x14ac:dyDescent="0.35">
      <c r="A1876">
        <v>260</v>
      </c>
      <c r="B1876">
        <v>220</v>
      </c>
      <c r="C1876">
        <v>1.514</v>
      </c>
      <c r="E1876">
        <f t="shared" si="87"/>
        <v>1792637.6</v>
      </c>
      <c r="F1876">
        <f t="shared" si="88"/>
        <v>377.59444444444443</v>
      </c>
      <c r="G1876">
        <f t="shared" si="89"/>
        <v>10.58022011767067</v>
      </c>
    </row>
    <row r="1877" spans="1:7" x14ac:dyDescent="0.35">
      <c r="A1877">
        <v>260</v>
      </c>
      <c r="B1877">
        <v>230</v>
      </c>
      <c r="C1877">
        <v>1.5429999999999999</v>
      </c>
      <c r="E1877">
        <f t="shared" si="87"/>
        <v>1792637.6</v>
      </c>
      <c r="F1877">
        <f t="shared" si="88"/>
        <v>383.15</v>
      </c>
      <c r="G1877">
        <f t="shared" si="89"/>
        <v>10.381369577545946</v>
      </c>
    </row>
    <row r="1878" spans="1:7" x14ac:dyDescent="0.35">
      <c r="A1878">
        <v>260</v>
      </c>
      <c r="B1878">
        <v>240</v>
      </c>
      <c r="C1878">
        <v>1.5720000000000001</v>
      </c>
      <c r="E1878">
        <f t="shared" si="87"/>
        <v>1792637.6</v>
      </c>
      <c r="F1878">
        <f t="shared" si="88"/>
        <v>388.70555555555552</v>
      </c>
      <c r="G1878">
        <f t="shared" si="89"/>
        <v>10.189855762184092</v>
      </c>
    </row>
    <row r="1879" spans="1:7" x14ac:dyDescent="0.35">
      <c r="A1879">
        <v>260</v>
      </c>
      <c r="B1879">
        <v>250</v>
      </c>
      <c r="C1879">
        <v>1.601</v>
      </c>
      <c r="E1879">
        <f t="shared" si="87"/>
        <v>1792637.6</v>
      </c>
      <c r="F1879">
        <f t="shared" si="88"/>
        <v>394.26111111111106</v>
      </c>
      <c r="G1879">
        <f t="shared" si="89"/>
        <v>10.005279986354399</v>
      </c>
    </row>
    <row r="1880" spans="1:7" x14ac:dyDescent="0.35">
      <c r="A1880">
        <v>260</v>
      </c>
      <c r="B1880">
        <v>260</v>
      </c>
      <c r="C1880">
        <v>1.63</v>
      </c>
      <c r="E1880">
        <f t="shared" si="87"/>
        <v>1792637.6</v>
      </c>
      <c r="F1880">
        <f t="shared" si="88"/>
        <v>399.81666666666666</v>
      </c>
      <c r="G1880">
        <f t="shared" si="89"/>
        <v>9.8272719375174198</v>
      </c>
    </row>
    <row r="1881" spans="1:7" x14ac:dyDescent="0.35">
      <c r="A1881">
        <v>260</v>
      </c>
      <c r="B1881">
        <v>270</v>
      </c>
      <c r="C1881">
        <v>1.6579999999999999</v>
      </c>
      <c r="E1881">
        <f t="shared" si="87"/>
        <v>1792637.6</v>
      </c>
      <c r="F1881">
        <f t="shared" si="88"/>
        <v>405.37222222222221</v>
      </c>
      <c r="G1881">
        <f t="shared" si="89"/>
        <v>9.6613107709007195</v>
      </c>
    </row>
    <row r="1882" spans="1:7" x14ac:dyDescent="0.35">
      <c r="A1882">
        <v>260</v>
      </c>
      <c r="B1882">
        <v>280</v>
      </c>
      <c r="C1882">
        <v>1.6859999999999999</v>
      </c>
      <c r="E1882">
        <f t="shared" si="87"/>
        <v>1792637.6</v>
      </c>
      <c r="F1882">
        <f t="shared" si="88"/>
        <v>410.92777777777775</v>
      </c>
      <c r="G1882">
        <f t="shared" si="89"/>
        <v>9.5008619562001151</v>
      </c>
    </row>
    <row r="1883" spans="1:7" x14ac:dyDescent="0.35">
      <c r="A1883">
        <v>260</v>
      </c>
      <c r="B1883">
        <v>290</v>
      </c>
      <c r="C1883">
        <v>1.714</v>
      </c>
      <c r="E1883">
        <f t="shared" si="87"/>
        <v>1792637.6</v>
      </c>
      <c r="F1883">
        <f t="shared" si="88"/>
        <v>416.48333333333335</v>
      </c>
      <c r="G1883">
        <f t="shared" si="89"/>
        <v>9.3456553431466709</v>
      </c>
    </row>
    <row r="1884" spans="1:7" x14ac:dyDescent="0.35">
      <c r="A1884">
        <v>260</v>
      </c>
      <c r="B1884">
        <v>300</v>
      </c>
      <c r="C1884">
        <v>1.7410000000000001</v>
      </c>
      <c r="E1884">
        <f t="shared" si="87"/>
        <v>1792637.6</v>
      </c>
      <c r="F1884">
        <f t="shared" si="88"/>
        <v>422.03888888888889</v>
      </c>
      <c r="G1884">
        <f t="shared" si="89"/>
        <v>9.2007198495998814</v>
      </c>
    </row>
    <row r="1885" spans="1:7" x14ac:dyDescent="0.35">
      <c r="A1885">
        <v>260</v>
      </c>
      <c r="B1885">
        <v>320</v>
      </c>
      <c r="C1885">
        <v>1.796</v>
      </c>
      <c r="E1885">
        <f t="shared" si="87"/>
        <v>1792637.6</v>
      </c>
      <c r="F1885">
        <f t="shared" si="88"/>
        <v>433.15</v>
      </c>
      <c r="G1885">
        <f t="shared" si="89"/>
        <v>8.9189606114439837</v>
      </c>
    </row>
    <row r="1886" spans="1:7" x14ac:dyDescent="0.35">
      <c r="A1886">
        <v>260</v>
      </c>
      <c r="B1886">
        <v>340</v>
      </c>
      <c r="C1886">
        <v>1.85</v>
      </c>
      <c r="E1886">
        <f t="shared" si="87"/>
        <v>1792637.6</v>
      </c>
      <c r="F1886">
        <f t="shared" si="88"/>
        <v>444.26111111111106</v>
      </c>
      <c r="G1886">
        <f t="shared" si="89"/>
        <v>8.6586233827856169</v>
      </c>
    </row>
    <row r="1887" spans="1:7" x14ac:dyDescent="0.35">
      <c r="A1887">
        <v>260</v>
      </c>
      <c r="B1887">
        <v>360</v>
      </c>
      <c r="C1887">
        <v>1.9039999999999999</v>
      </c>
      <c r="E1887">
        <f t="shared" si="87"/>
        <v>1792637.6</v>
      </c>
      <c r="F1887">
        <f t="shared" si="88"/>
        <v>455.37222222222221</v>
      </c>
      <c r="G1887">
        <f t="shared" si="89"/>
        <v>8.413053181803253</v>
      </c>
    </row>
    <row r="1888" spans="1:7" x14ac:dyDescent="0.35">
      <c r="A1888">
        <v>260</v>
      </c>
      <c r="B1888">
        <v>380</v>
      </c>
      <c r="C1888">
        <v>1.9570000000000001</v>
      </c>
      <c r="E1888">
        <f t="shared" si="87"/>
        <v>1792637.6</v>
      </c>
      <c r="F1888">
        <f t="shared" si="88"/>
        <v>466.48333333333335</v>
      </c>
      <c r="G1888">
        <f t="shared" si="89"/>
        <v>8.1852086142837983</v>
      </c>
    </row>
    <row r="1889" spans="1:7" x14ac:dyDescent="0.35">
      <c r="A1889">
        <v>260</v>
      </c>
      <c r="B1889">
        <v>400</v>
      </c>
      <c r="C1889">
        <v>2.0089999999999999</v>
      </c>
      <c r="E1889">
        <f t="shared" si="87"/>
        <v>1792637.6</v>
      </c>
      <c r="F1889">
        <f t="shared" si="88"/>
        <v>477.59444444444443</v>
      </c>
      <c r="G1889">
        <f t="shared" si="89"/>
        <v>7.9733465695138843</v>
      </c>
    </row>
    <row r="1890" spans="1:7" x14ac:dyDescent="0.35">
      <c r="A1890">
        <v>270</v>
      </c>
      <c r="B1890">
        <v>120</v>
      </c>
      <c r="C1890">
        <v>1.1279999999999999</v>
      </c>
      <c r="E1890">
        <f t="shared" si="87"/>
        <v>1861585.2</v>
      </c>
      <c r="F1890">
        <f t="shared" si="88"/>
        <v>322.03888888888889</v>
      </c>
      <c r="G1890">
        <f t="shared" si="89"/>
        <v>14.200756434533153</v>
      </c>
    </row>
    <row r="1891" spans="1:7" x14ac:dyDescent="0.35">
      <c r="A1891">
        <v>270</v>
      </c>
      <c r="B1891">
        <v>130</v>
      </c>
      <c r="C1891">
        <v>1.1659999999999999</v>
      </c>
      <c r="E1891">
        <f t="shared" si="87"/>
        <v>1861585.2</v>
      </c>
      <c r="F1891">
        <f t="shared" si="88"/>
        <v>327.59444444444443</v>
      </c>
      <c r="G1891">
        <f t="shared" si="89"/>
        <v>13.737953051589532</v>
      </c>
    </row>
    <row r="1892" spans="1:7" x14ac:dyDescent="0.35">
      <c r="A1892">
        <v>270</v>
      </c>
      <c r="B1892">
        <v>140</v>
      </c>
      <c r="C1892">
        <v>1.202</v>
      </c>
      <c r="E1892">
        <f t="shared" si="87"/>
        <v>1861585.2</v>
      </c>
      <c r="F1892">
        <f t="shared" si="88"/>
        <v>333.15</v>
      </c>
      <c r="G1892">
        <f t="shared" si="89"/>
        <v>13.326500214769879</v>
      </c>
    </row>
    <row r="1893" spans="1:7" x14ac:dyDescent="0.35">
      <c r="A1893">
        <v>270</v>
      </c>
      <c r="B1893">
        <v>150</v>
      </c>
      <c r="C1893">
        <v>1.236</v>
      </c>
      <c r="E1893">
        <f t="shared" si="87"/>
        <v>1861585.2</v>
      </c>
      <c r="F1893">
        <f t="shared" si="88"/>
        <v>338.70555555555552</v>
      </c>
      <c r="G1893">
        <f t="shared" si="89"/>
        <v>12.959913639282682</v>
      </c>
    </row>
    <row r="1894" spans="1:7" x14ac:dyDescent="0.35">
      <c r="A1894">
        <v>270</v>
      </c>
      <c r="B1894">
        <v>160</v>
      </c>
      <c r="C1894">
        <v>1.2689999999999999</v>
      </c>
      <c r="E1894">
        <f t="shared" si="87"/>
        <v>1861585.2</v>
      </c>
      <c r="F1894">
        <f t="shared" si="88"/>
        <v>344.26111111111106</v>
      </c>
      <c r="G1894">
        <f t="shared" si="89"/>
        <v>12.622894608473914</v>
      </c>
    </row>
    <row r="1895" spans="1:7" x14ac:dyDescent="0.35">
      <c r="A1895">
        <v>270</v>
      </c>
      <c r="B1895">
        <v>170</v>
      </c>
      <c r="C1895">
        <v>1.302</v>
      </c>
      <c r="E1895">
        <f t="shared" si="87"/>
        <v>1861585.2</v>
      </c>
      <c r="F1895">
        <f t="shared" si="88"/>
        <v>349.81666666666666</v>
      </c>
      <c r="G1895">
        <f t="shared" si="89"/>
        <v>12.302959491669274</v>
      </c>
    </row>
    <row r="1896" spans="1:7" x14ac:dyDescent="0.35">
      <c r="A1896">
        <v>270</v>
      </c>
      <c r="B1896">
        <v>180</v>
      </c>
      <c r="C1896">
        <v>1.333</v>
      </c>
      <c r="E1896">
        <f t="shared" si="87"/>
        <v>1861585.2</v>
      </c>
      <c r="F1896">
        <f t="shared" si="88"/>
        <v>355.37222222222221</v>
      </c>
      <c r="G1896">
        <f t="shared" si="89"/>
        <v>12.016844154653707</v>
      </c>
    </row>
    <row r="1897" spans="1:7" x14ac:dyDescent="0.35">
      <c r="A1897">
        <v>270</v>
      </c>
      <c r="B1897">
        <v>190</v>
      </c>
      <c r="C1897">
        <v>1.3640000000000001</v>
      </c>
      <c r="E1897">
        <f t="shared" si="87"/>
        <v>1861585.2</v>
      </c>
      <c r="F1897">
        <f t="shared" si="88"/>
        <v>360.92777777777775</v>
      </c>
      <c r="G1897">
        <f t="shared" si="89"/>
        <v>11.743734060229759</v>
      </c>
    </row>
    <row r="1898" spans="1:7" x14ac:dyDescent="0.35">
      <c r="A1898">
        <v>270</v>
      </c>
      <c r="B1898">
        <v>200</v>
      </c>
      <c r="C1898">
        <v>1.3939999999999999</v>
      </c>
      <c r="E1898">
        <f t="shared" si="87"/>
        <v>1861585.2</v>
      </c>
      <c r="F1898">
        <f t="shared" si="88"/>
        <v>366.48333333333329</v>
      </c>
      <c r="G1898">
        <f t="shared" si="89"/>
        <v>11.490999467828834</v>
      </c>
    </row>
    <row r="1899" spans="1:7" x14ac:dyDescent="0.35">
      <c r="A1899">
        <v>270</v>
      </c>
      <c r="B1899">
        <v>210</v>
      </c>
      <c r="C1899">
        <v>1.423</v>
      </c>
      <c r="E1899">
        <f t="shared" si="87"/>
        <v>1861585.2</v>
      </c>
      <c r="F1899">
        <f t="shared" si="88"/>
        <v>372.03888888888889</v>
      </c>
      <c r="G1899">
        <f t="shared" si="89"/>
        <v>11.256818874317212</v>
      </c>
    </row>
    <row r="1900" spans="1:7" x14ac:dyDescent="0.35">
      <c r="A1900">
        <v>270</v>
      </c>
      <c r="B1900">
        <v>220</v>
      </c>
      <c r="C1900">
        <v>1.452</v>
      </c>
      <c r="E1900">
        <f t="shared" si="87"/>
        <v>1861585.2</v>
      </c>
      <c r="F1900">
        <f t="shared" si="88"/>
        <v>377.59444444444443</v>
      </c>
      <c r="G1900">
        <f t="shared" si="89"/>
        <v>11.031992602034018</v>
      </c>
    </row>
    <row r="1901" spans="1:7" x14ac:dyDescent="0.35">
      <c r="A1901">
        <v>270</v>
      </c>
      <c r="B1901">
        <v>230</v>
      </c>
      <c r="C1901">
        <v>1.4810000000000001</v>
      </c>
      <c r="E1901">
        <f t="shared" si="87"/>
        <v>1861585.2</v>
      </c>
      <c r="F1901">
        <f t="shared" si="88"/>
        <v>383.15</v>
      </c>
      <c r="G1901">
        <f t="shared" si="89"/>
        <v>10.815971139874</v>
      </c>
    </row>
    <row r="1902" spans="1:7" x14ac:dyDescent="0.35">
      <c r="A1902">
        <v>270</v>
      </c>
      <c r="B1902">
        <v>240</v>
      </c>
      <c r="C1902">
        <v>1.5089999999999999</v>
      </c>
      <c r="E1902">
        <f t="shared" si="87"/>
        <v>1861585.2</v>
      </c>
      <c r="F1902">
        <f t="shared" si="88"/>
        <v>388.70555555555552</v>
      </c>
      <c r="G1902">
        <f t="shared" si="89"/>
        <v>10.615277175714642</v>
      </c>
    </row>
    <row r="1903" spans="1:7" x14ac:dyDescent="0.35">
      <c r="A1903">
        <v>270</v>
      </c>
      <c r="B1903">
        <v>250</v>
      </c>
      <c r="C1903">
        <v>1.5369999999999999</v>
      </c>
      <c r="E1903">
        <f t="shared" si="87"/>
        <v>1861585.2</v>
      </c>
      <c r="F1903">
        <f t="shared" si="88"/>
        <v>394.26111111111106</v>
      </c>
      <c r="G1903">
        <f t="shared" si="89"/>
        <v>10.421895418447232</v>
      </c>
    </row>
    <row r="1904" spans="1:7" x14ac:dyDescent="0.35">
      <c r="A1904">
        <v>270</v>
      </c>
      <c r="B1904">
        <v>260</v>
      </c>
      <c r="C1904">
        <v>1.5649999999999999</v>
      </c>
      <c r="E1904">
        <f t="shared" si="87"/>
        <v>1861585.2</v>
      </c>
      <c r="F1904">
        <f t="shared" si="88"/>
        <v>399.81666666666666</v>
      </c>
      <c r="G1904">
        <f t="shared" si="89"/>
        <v>10.235433391791306</v>
      </c>
    </row>
    <row r="1905" spans="1:7" x14ac:dyDescent="0.35">
      <c r="A1905">
        <v>270</v>
      </c>
      <c r="B1905">
        <v>270</v>
      </c>
      <c r="C1905">
        <v>1.5920000000000001</v>
      </c>
      <c r="E1905">
        <f t="shared" si="87"/>
        <v>1861585.2</v>
      </c>
      <c r="F1905">
        <f t="shared" si="88"/>
        <v>405.37222222222221</v>
      </c>
      <c r="G1905">
        <f t="shared" si="89"/>
        <v>10.061842498840072</v>
      </c>
    </row>
    <row r="1906" spans="1:7" x14ac:dyDescent="0.35">
      <c r="A1906">
        <v>270</v>
      </c>
      <c r="B1906">
        <v>280</v>
      </c>
      <c r="C1906">
        <v>1.62</v>
      </c>
      <c r="E1906">
        <f t="shared" si="87"/>
        <v>1861585.2</v>
      </c>
      <c r="F1906">
        <f t="shared" si="88"/>
        <v>410.92777777777775</v>
      </c>
      <c r="G1906">
        <f t="shared" si="89"/>
        <v>9.8879341099712299</v>
      </c>
    </row>
    <row r="1907" spans="1:7" x14ac:dyDescent="0.35">
      <c r="A1907">
        <v>270</v>
      </c>
      <c r="B1907">
        <v>290</v>
      </c>
      <c r="C1907">
        <v>1.6459999999999999</v>
      </c>
      <c r="E1907">
        <f t="shared" si="87"/>
        <v>1861585.2</v>
      </c>
      <c r="F1907">
        <f t="shared" si="88"/>
        <v>416.48333333333335</v>
      </c>
      <c r="G1907">
        <f t="shared" si="89"/>
        <v>9.7317456003362057</v>
      </c>
    </row>
    <row r="1908" spans="1:7" x14ac:dyDescent="0.35">
      <c r="A1908">
        <v>270</v>
      </c>
      <c r="B1908">
        <v>300</v>
      </c>
      <c r="C1908">
        <v>1.673</v>
      </c>
      <c r="E1908">
        <f t="shared" si="87"/>
        <v>1861585.2</v>
      </c>
      <c r="F1908">
        <f t="shared" si="88"/>
        <v>422.03888888888889</v>
      </c>
      <c r="G1908">
        <f t="shared" si="89"/>
        <v>9.5746881399601875</v>
      </c>
    </row>
    <row r="1909" spans="1:7" x14ac:dyDescent="0.35">
      <c r="A1909">
        <v>270</v>
      </c>
      <c r="B1909">
        <v>320</v>
      </c>
      <c r="C1909">
        <v>1.726</v>
      </c>
      <c r="E1909">
        <f t="shared" si="87"/>
        <v>1861585.2</v>
      </c>
      <c r="F1909">
        <f t="shared" si="88"/>
        <v>433.15</v>
      </c>
      <c r="G1909">
        <f t="shared" si="89"/>
        <v>9.2806797555929279</v>
      </c>
    </row>
    <row r="1910" spans="1:7" x14ac:dyDescent="0.35">
      <c r="A1910">
        <v>270</v>
      </c>
      <c r="B1910">
        <v>340</v>
      </c>
      <c r="C1910">
        <v>1.778</v>
      </c>
      <c r="E1910">
        <f t="shared" si="87"/>
        <v>1861585.2</v>
      </c>
      <c r="F1910">
        <f t="shared" si="88"/>
        <v>444.26111111111106</v>
      </c>
      <c r="G1910">
        <f t="shared" si="89"/>
        <v>9.0092538009861602</v>
      </c>
    </row>
    <row r="1911" spans="1:7" x14ac:dyDescent="0.35">
      <c r="A1911">
        <v>270</v>
      </c>
      <c r="B1911">
        <v>360</v>
      </c>
      <c r="C1911">
        <v>1.83</v>
      </c>
      <c r="E1911">
        <f t="shared" si="87"/>
        <v>1861585.2</v>
      </c>
      <c r="F1911">
        <f t="shared" si="88"/>
        <v>455.37222222222221</v>
      </c>
      <c r="G1911">
        <f t="shared" si="89"/>
        <v>8.7532531465319092</v>
      </c>
    </row>
    <row r="1912" spans="1:7" x14ac:dyDescent="0.35">
      <c r="A1912">
        <v>270</v>
      </c>
      <c r="B1912">
        <v>380</v>
      </c>
      <c r="C1912">
        <v>1.881</v>
      </c>
      <c r="E1912">
        <f t="shared" si="87"/>
        <v>1861585.2</v>
      </c>
      <c r="F1912">
        <f t="shared" si="88"/>
        <v>466.48333333333335</v>
      </c>
      <c r="G1912">
        <f t="shared" si="89"/>
        <v>8.5159241138508204</v>
      </c>
    </row>
    <row r="1913" spans="1:7" x14ac:dyDescent="0.35">
      <c r="A1913">
        <v>270</v>
      </c>
      <c r="B1913">
        <v>400</v>
      </c>
      <c r="C1913">
        <v>1.9319999999999999</v>
      </c>
      <c r="E1913">
        <f t="shared" si="87"/>
        <v>1861585.2</v>
      </c>
      <c r="F1913">
        <f t="shared" si="88"/>
        <v>477.59444444444443</v>
      </c>
      <c r="G1913">
        <f t="shared" si="89"/>
        <v>8.2911248748205963</v>
      </c>
    </row>
    <row r="1914" spans="1:7" x14ac:dyDescent="0.35">
      <c r="A1914">
        <v>280</v>
      </c>
      <c r="B1914">
        <v>120</v>
      </c>
      <c r="C1914">
        <v>1.0780000000000001</v>
      </c>
      <c r="E1914">
        <f t="shared" si="87"/>
        <v>1930532.8</v>
      </c>
      <c r="F1914">
        <f t="shared" si="88"/>
        <v>322.03888888888889</v>
      </c>
      <c r="G1914">
        <f t="shared" si="89"/>
        <v>14.859418606821329</v>
      </c>
    </row>
    <row r="1915" spans="1:7" x14ac:dyDescent="0.35">
      <c r="A1915">
        <v>280</v>
      </c>
      <c r="B1915">
        <v>130</v>
      </c>
      <c r="C1915">
        <v>1.115</v>
      </c>
      <c r="E1915">
        <f t="shared" si="87"/>
        <v>1930532.8</v>
      </c>
      <c r="F1915">
        <f t="shared" si="88"/>
        <v>327.59444444444443</v>
      </c>
      <c r="G1915">
        <f t="shared" si="89"/>
        <v>14.366325792065824</v>
      </c>
    </row>
    <row r="1916" spans="1:7" x14ac:dyDescent="0.35">
      <c r="A1916">
        <v>280</v>
      </c>
      <c r="B1916">
        <v>140</v>
      </c>
      <c r="C1916">
        <v>1.151</v>
      </c>
      <c r="E1916">
        <f t="shared" si="87"/>
        <v>1930532.8</v>
      </c>
      <c r="F1916">
        <f t="shared" si="88"/>
        <v>333.15</v>
      </c>
      <c r="G1916">
        <f t="shared" si="89"/>
        <v>13.916988060949949</v>
      </c>
    </row>
    <row r="1917" spans="1:7" x14ac:dyDescent="0.35">
      <c r="A1917">
        <v>280</v>
      </c>
      <c r="B1917">
        <v>150</v>
      </c>
      <c r="C1917">
        <v>1.1839999999999999</v>
      </c>
      <c r="E1917">
        <f t="shared" si="87"/>
        <v>1930532.8</v>
      </c>
      <c r="F1917">
        <f t="shared" si="88"/>
        <v>338.70555555555552</v>
      </c>
      <c r="G1917">
        <f t="shared" si="89"/>
        <v>13.529099035602529</v>
      </c>
    </row>
    <row r="1918" spans="1:7" x14ac:dyDescent="0.35">
      <c r="A1918">
        <v>280</v>
      </c>
      <c r="B1918">
        <v>160</v>
      </c>
      <c r="C1918">
        <v>1.2170000000000001</v>
      </c>
      <c r="E1918">
        <f t="shared" si="87"/>
        <v>1930532.8</v>
      </c>
      <c r="F1918">
        <f t="shared" si="88"/>
        <v>344.26111111111106</v>
      </c>
      <c r="G1918">
        <f t="shared" si="89"/>
        <v>13.162245898236149</v>
      </c>
    </row>
    <row r="1919" spans="1:7" x14ac:dyDescent="0.35">
      <c r="A1919">
        <v>280</v>
      </c>
      <c r="B1919">
        <v>170</v>
      </c>
      <c r="C1919">
        <v>1.2490000000000001</v>
      </c>
      <c r="E1919">
        <f t="shared" si="87"/>
        <v>1930532.8</v>
      </c>
      <c r="F1919">
        <f t="shared" si="88"/>
        <v>349.81666666666666</v>
      </c>
      <c r="G1919">
        <f t="shared" si="89"/>
        <v>12.825022624622411</v>
      </c>
    </row>
    <row r="1920" spans="1:7" x14ac:dyDescent="0.35">
      <c r="A1920">
        <v>280</v>
      </c>
      <c r="B1920">
        <v>180</v>
      </c>
      <c r="C1920">
        <v>1.2789999999999999</v>
      </c>
      <c r="E1920">
        <f t="shared" si="87"/>
        <v>1930532.8</v>
      </c>
      <c r="F1920">
        <f t="shared" si="88"/>
        <v>355.37222222222221</v>
      </c>
      <c r="G1920">
        <f t="shared" si="89"/>
        <v>12.524201140073021</v>
      </c>
    </row>
    <row r="1921" spans="1:7" x14ac:dyDescent="0.35">
      <c r="A1921">
        <v>280</v>
      </c>
      <c r="B1921">
        <v>190</v>
      </c>
      <c r="C1921">
        <v>1.3089999999999999</v>
      </c>
      <c r="E1921">
        <f t="shared" si="87"/>
        <v>1930532.8</v>
      </c>
      <c r="F1921">
        <f t="shared" si="88"/>
        <v>360.92777777777775</v>
      </c>
      <c r="G1921">
        <f t="shared" si="89"/>
        <v>12.237168264441095</v>
      </c>
    </row>
    <row r="1922" spans="1:7" x14ac:dyDescent="0.35">
      <c r="A1922">
        <v>280</v>
      </c>
      <c r="B1922">
        <v>200</v>
      </c>
      <c r="C1922">
        <v>1.339</v>
      </c>
      <c r="E1922">
        <f t="shared" ref="E1922:E1983" si="90">A1922*6894.76</f>
        <v>1930532.8</v>
      </c>
      <c r="F1922">
        <f t="shared" si="88"/>
        <v>366.48333333333329</v>
      </c>
      <c r="G1922">
        <f t="shared" si="89"/>
        <v>11.962997205491705</v>
      </c>
    </row>
    <row r="1923" spans="1:7" x14ac:dyDescent="0.35">
      <c r="A1923">
        <v>280</v>
      </c>
      <c r="B1923">
        <v>210</v>
      </c>
      <c r="C1923">
        <v>1.367</v>
      </c>
      <c r="E1923">
        <f t="shared" si="90"/>
        <v>1930532.8</v>
      </c>
      <c r="F1923">
        <f t="shared" ref="F1923:F1983" si="91">(B1923-32)*5/9+273.15</f>
        <v>372.03888888888889</v>
      </c>
      <c r="G1923">
        <f t="shared" ref="G1923:G1983" si="92">1/(C1923*0.062428)</f>
        <v>11.717961417815211</v>
      </c>
    </row>
    <row r="1924" spans="1:7" x14ac:dyDescent="0.35">
      <c r="A1924">
        <v>280</v>
      </c>
      <c r="B1924">
        <v>220</v>
      </c>
      <c r="C1924">
        <v>1.3959999999999999</v>
      </c>
      <c r="E1924">
        <f t="shared" si="90"/>
        <v>1930532.8</v>
      </c>
      <c r="F1924">
        <f t="shared" si="91"/>
        <v>377.59444444444443</v>
      </c>
      <c r="G1924">
        <f t="shared" si="92"/>
        <v>11.474536717874923</v>
      </c>
    </row>
    <row r="1925" spans="1:7" x14ac:dyDescent="0.35">
      <c r="A1925">
        <v>280</v>
      </c>
      <c r="B1925">
        <v>230</v>
      </c>
      <c r="C1925">
        <v>1.4239999999999999</v>
      </c>
      <c r="E1925">
        <f t="shared" si="90"/>
        <v>1930532.8</v>
      </c>
      <c r="F1925">
        <f t="shared" si="91"/>
        <v>383.15</v>
      </c>
      <c r="G1925">
        <f t="shared" si="92"/>
        <v>11.248913804883001</v>
      </c>
    </row>
    <row r="1926" spans="1:7" x14ac:dyDescent="0.35">
      <c r="A1926">
        <v>280</v>
      </c>
      <c r="B1926">
        <v>240</v>
      </c>
      <c r="C1926">
        <v>1.4510000000000001</v>
      </c>
      <c r="E1926">
        <f t="shared" si="90"/>
        <v>1930532.8</v>
      </c>
      <c r="F1926">
        <f t="shared" si="91"/>
        <v>388.70555555555552</v>
      </c>
      <c r="G1926">
        <f t="shared" si="92"/>
        <v>11.039595629326943</v>
      </c>
    </row>
    <row r="1927" spans="1:7" x14ac:dyDescent="0.35">
      <c r="A1927">
        <v>280</v>
      </c>
      <c r="B1927">
        <v>250</v>
      </c>
      <c r="C1927">
        <v>1.478</v>
      </c>
      <c r="E1927">
        <f t="shared" si="90"/>
        <v>1930532.8</v>
      </c>
      <c r="F1927">
        <f t="shared" si="91"/>
        <v>394.26111111111106</v>
      </c>
      <c r="G1927">
        <f t="shared" si="92"/>
        <v>10.837925073175503</v>
      </c>
    </row>
    <row r="1928" spans="1:7" x14ac:dyDescent="0.35">
      <c r="A1928">
        <v>280</v>
      </c>
      <c r="B1928">
        <v>260</v>
      </c>
      <c r="C1928">
        <v>1.5049999999999999</v>
      </c>
      <c r="E1928">
        <f t="shared" si="90"/>
        <v>1930532.8</v>
      </c>
      <c r="F1928">
        <f t="shared" si="91"/>
        <v>399.81666666666666</v>
      </c>
      <c r="G1928">
        <f t="shared" si="92"/>
        <v>10.643490536979</v>
      </c>
    </row>
    <row r="1929" spans="1:7" x14ac:dyDescent="0.35">
      <c r="A1929">
        <v>280</v>
      </c>
      <c r="B1929">
        <v>270</v>
      </c>
      <c r="C1929">
        <v>1.532</v>
      </c>
      <c r="E1929">
        <f t="shared" si="90"/>
        <v>1930532.8</v>
      </c>
      <c r="F1929">
        <f t="shared" si="91"/>
        <v>405.37222222222221</v>
      </c>
      <c r="G1929">
        <f t="shared" si="92"/>
        <v>10.45590943743694</v>
      </c>
    </row>
    <row r="1930" spans="1:7" x14ac:dyDescent="0.35">
      <c r="A1930">
        <v>280</v>
      </c>
      <c r="B1930">
        <v>280</v>
      </c>
      <c r="C1930">
        <v>1.5580000000000001</v>
      </c>
      <c r="E1930">
        <f t="shared" si="90"/>
        <v>1930532.8</v>
      </c>
      <c r="F1930">
        <f t="shared" si="91"/>
        <v>410.92777777777775</v>
      </c>
      <c r="G1930">
        <f t="shared" si="92"/>
        <v>10.28142057647843</v>
      </c>
    </row>
    <row r="1931" spans="1:7" x14ac:dyDescent="0.35">
      <c r="A1931">
        <v>280</v>
      </c>
      <c r="B1931">
        <v>290</v>
      </c>
      <c r="C1931">
        <v>1.5840000000000001</v>
      </c>
      <c r="E1931">
        <f t="shared" si="90"/>
        <v>1930532.8</v>
      </c>
      <c r="F1931">
        <f t="shared" si="91"/>
        <v>416.48333333333335</v>
      </c>
      <c r="G1931">
        <f t="shared" si="92"/>
        <v>10.112659885197848</v>
      </c>
    </row>
    <row r="1932" spans="1:7" x14ac:dyDescent="0.35">
      <c r="A1932">
        <v>280</v>
      </c>
      <c r="B1932">
        <v>300</v>
      </c>
      <c r="C1932">
        <v>1.61</v>
      </c>
      <c r="E1932">
        <f t="shared" si="90"/>
        <v>1930532.8</v>
      </c>
      <c r="F1932">
        <f t="shared" si="91"/>
        <v>422.03888888888889</v>
      </c>
      <c r="G1932">
        <f t="shared" si="92"/>
        <v>9.9493498497847153</v>
      </c>
    </row>
    <row r="1933" spans="1:7" x14ac:dyDescent="0.35">
      <c r="A1933">
        <v>280</v>
      </c>
      <c r="B1933">
        <v>320</v>
      </c>
      <c r="C1933">
        <v>1.661</v>
      </c>
      <c r="E1933">
        <f t="shared" si="90"/>
        <v>1930532.8</v>
      </c>
      <c r="F1933">
        <f t="shared" si="91"/>
        <v>433.15</v>
      </c>
      <c r="G1933">
        <f t="shared" si="92"/>
        <v>9.6438610825727835</v>
      </c>
    </row>
    <row r="1934" spans="1:7" x14ac:dyDescent="0.35">
      <c r="A1934">
        <v>280</v>
      </c>
      <c r="B1934">
        <v>340</v>
      </c>
      <c r="C1934">
        <v>1.71</v>
      </c>
      <c r="E1934">
        <f t="shared" si="90"/>
        <v>1930532.8</v>
      </c>
      <c r="F1934">
        <f t="shared" si="91"/>
        <v>444.26111111111106</v>
      </c>
      <c r="G1934">
        <f t="shared" si="92"/>
        <v>9.3675165252359029</v>
      </c>
    </row>
    <row r="1935" spans="1:7" x14ac:dyDescent="0.35">
      <c r="A1935">
        <v>280</v>
      </c>
      <c r="B1935">
        <v>360</v>
      </c>
      <c r="C1935">
        <v>1.762</v>
      </c>
      <c r="E1935">
        <f t="shared" si="90"/>
        <v>1930532.8</v>
      </c>
      <c r="F1935">
        <f t="shared" si="91"/>
        <v>455.37222222222221</v>
      </c>
      <c r="G1935">
        <f t="shared" si="92"/>
        <v>9.0910631431063518</v>
      </c>
    </row>
    <row r="1936" spans="1:7" x14ac:dyDescent="0.35">
      <c r="A1936">
        <v>280</v>
      </c>
      <c r="B1936">
        <v>380</v>
      </c>
      <c r="C1936">
        <v>1.8109999999999999</v>
      </c>
      <c r="E1936">
        <f t="shared" si="90"/>
        <v>1930532.8</v>
      </c>
      <c r="F1936">
        <f t="shared" si="91"/>
        <v>466.48333333333335</v>
      </c>
      <c r="G1936">
        <f t="shared" si="92"/>
        <v>8.8450873871636642</v>
      </c>
    </row>
    <row r="1937" spans="1:7" x14ac:dyDescent="0.35">
      <c r="A1937">
        <v>280</v>
      </c>
      <c r="B1937">
        <v>400</v>
      </c>
      <c r="C1937">
        <v>1.861</v>
      </c>
      <c r="E1937">
        <f t="shared" si="90"/>
        <v>1930532.8</v>
      </c>
      <c r="F1937">
        <f t="shared" si="91"/>
        <v>477.59444444444443</v>
      </c>
      <c r="G1937">
        <f t="shared" si="92"/>
        <v>8.6074439861114413</v>
      </c>
    </row>
    <row r="1938" spans="1:7" x14ac:dyDescent="0.35">
      <c r="A1938">
        <v>290</v>
      </c>
      <c r="B1938">
        <v>130</v>
      </c>
      <c r="C1938">
        <v>1.0680000000000001</v>
      </c>
      <c r="E1938">
        <f t="shared" si="90"/>
        <v>1999480.4000000001</v>
      </c>
      <c r="F1938">
        <f t="shared" si="91"/>
        <v>327.59444444444443</v>
      </c>
      <c r="G1938">
        <f t="shared" si="92"/>
        <v>14.998551739844002</v>
      </c>
    </row>
    <row r="1939" spans="1:7" x14ac:dyDescent="0.35">
      <c r="A1939">
        <v>290</v>
      </c>
      <c r="B1939">
        <v>140</v>
      </c>
      <c r="C1939">
        <v>1.103</v>
      </c>
      <c r="E1939">
        <f t="shared" si="90"/>
        <v>1999480.4000000001</v>
      </c>
      <c r="F1939">
        <f t="shared" si="91"/>
        <v>333.15</v>
      </c>
      <c r="G1939">
        <f t="shared" si="92"/>
        <v>14.522623080828099</v>
      </c>
    </row>
    <row r="1940" spans="1:7" x14ac:dyDescent="0.35">
      <c r="A1940">
        <v>290</v>
      </c>
      <c r="B1940">
        <v>150</v>
      </c>
      <c r="C1940">
        <v>1.1359999999999999</v>
      </c>
      <c r="E1940">
        <f t="shared" si="90"/>
        <v>1999480.4000000001</v>
      </c>
      <c r="F1940">
        <f t="shared" si="91"/>
        <v>338.70555555555552</v>
      </c>
      <c r="G1940">
        <f t="shared" si="92"/>
        <v>14.100751107529396</v>
      </c>
    </row>
    <row r="1941" spans="1:7" x14ac:dyDescent="0.35">
      <c r="A1941">
        <v>290</v>
      </c>
      <c r="B1941">
        <v>160</v>
      </c>
      <c r="C1941">
        <v>1.1679999999999999</v>
      </c>
      <c r="E1941">
        <f t="shared" si="90"/>
        <v>1999480.4000000001</v>
      </c>
      <c r="F1941">
        <f t="shared" si="91"/>
        <v>344.26111111111106</v>
      </c>
      <c r="G1941">
        <f t="shared" si="92"/>
        <v>13.714429159377907</v>
      </c>
    </row>
    <row r="1942" spans="1:7" x14ac:dyDescent="0.35">
      <c r="A1942">
        <v>290</v>
      </c>
      <c r="B1942">
        <v>170</v>
      </c>
      <c r="C1942">
        <v>1.1990000000000001</v>
      </c>
      <c r="E1942">
        <f t="shared" si="90"/>
        <v>1999480.4000000001</v>
      </c>
      <c r="F1942">
        <f t="shared" si="91"/>
        <v>349.81666666666666</v>
      </c>
      <c r="G1942">
        <f t="shared" si="92"/>
        <v>13.359844252004496</v>
      </c>
    </row>
    <row r="1943" spans="1:7" x14ac:dyDescent="0.35">
      <c r="A1943">
        <v>290</v>
      </c>
      <c r="B1943">
        <v>180</v>
      </c>
      <c r="C1943">
        <v>1.2290000000000001</v>
      </c>
      <c r="E1943">
        <f t="shared" si="90"/>
        <v>1999480.4000000001</v>
      </c>
      <c r="F1943">
        <f t="shared" si="91"/>
        <v>355.37222222222221</v>
      </c>
      <c r="G1943">
        <f t="shared" si="92"/>
        <v>13.033729258058088</v>
      </c>
    </row>
    <row r="1944" spans="1:7" x14ac:dyDescent="0.35">
      <c r="A1944">
        <v>290</v>
      </c>
      <c r="B1944">
        <v>190</v>
      </c>
      <c r="C1944">
        <v>1.2589999999999999</v>
      </c>
      <c r="E1944">
        <f t="shared" si="90"/>
        <v>1999480.4000000001</v>
      </c>
      <c r="F1944">
        <f t="shared" si="91"/>
        <v>360.92777777777775</v>
      </c>
      <c r="G1944">
        <f t="shared" si="92"/>
        <v>12.723155884156785</v>
      </c>
    </row>
    <row r="1945" spans="1:7" x14ac:dyDescent="0.35">
      <c r="A1945">
        <v>290</v>
      </c>
      <c r="B1945">
        <v>200</v>
      </c>
      <c r="C1945">
        <v>1.2869999999999999</v>
      </c>
      <c r="E1945">
        <f t="shared" si="90"/>
        <v>1999480.4000000001</v>
      </c>
      <c r="F1945">
        <f t="shared" si="91"/>
        <v>366.48333333333329</v>
      </c>
      <c r="G1945">
        <f t="shared" si="92"/>
        <v>12.446350627935816</v>
      </c>
    </row>
    <row r="1946" spans="1:7" x14ac:dyDescent="0.35">
      <c r="A1946">
        <v>290</v>
      </c>
      <c r="B1946">
        <v>210</v>
      </c>
      <c r="C1946">
        <v>1.3149999999999999</v>
      </c>
      <c r="E1946">
        <f t="shared" si="90"/>
        <v>1999480.4000000001</v>
      </c>
      <c r="F1946">
        <f t="shared" si="91"/>
        <v>372.03888888888889</v>
      </c>
      <c r="G1946">
        <f t="shared" si="92"/>
        <v>12.181333276162276</v>
      </c>
    </row>
    <row r="1947" spans="1:7" x14ac:dyDescent="0.35">
      <c r="A1947">
        <v>290</v>
      </c>
      <c r="B1947">
        <v>220</v>
      </c>
      <c r="C1947">
        <v>1.343</v>
      </c>
      <c r="E1947">
        <f t="shared" si="90"/>
        <v>1999480.4000000001</v>
      </c>
      <c r="F1947">
        <f t="shared" si="91"/>
        <v>377.59444444444443</v>
      </c>
      <c r="G1947">
        <f t="shared" si="92"/>
        <v>11.927366536227398</v>
      </c>
    </row>
    <row r="1948" spans="1:7" x14ac:dyDescent="0.35">
      <c r="A1948">
        <v>290</v>
      </c>
      <c r="B1948">
        <v>230</v>
      </c>
      <c r="C1948">
        <v>1.37</v>
      </c>
      <c r="E1948">
        <f t="shared" si="90"/>
        <v>1999480.4000000001</v>
      </c>
      <c r="F1948">
        <f t="shared" si="91"/>
        <v>383.15</v>
      </c>
      <c r="G1948">
        <f t="shared" si="92"/>
        <v>11.692301648287147</v>
      </c>
    </row>
    <row r="1949" spans="1:7" x14ac:dyDescent="0.35">
      <c r="A1949">
        <v>290</v>
      </c>
      <c r="B1949">
        <v>240</v>
      </c>
      <c r="C1949">
        <v>1.397</v>
      </c>
      <c r="E1949">
        <f t="shared" si="90"/>
        <v>1999480.4000000001</v>
      </c>
      <c r="F1949">
        <f t="shared" si="91"/>
        <v>388.70555555555552</v>
      </c>
      <c r="G1949">
        <f t="shared" si="92"/>
        <v>11.466323019436931</v>
      </c>
    </row>
    <row r="1950" spans="1:7" x14ac:dyDescent="0.35">
      <c r="A1950">
        <v>290</v>
      </c>
      <c r="B1950">
        <v>250</v>
      </c>
      <c r="C1950">
        <v>1.423</v>
      </c>
      <c r="E1950">
        <f t="shared" si="90"/>
        <v>1999480.4000000001</v>
      </c>
      <c r="F1950">
        <f t="shared" si="91"/>
        <v>394.26111111111106</v>
      </c>
      <c r="G1950">
        <f t="shared" si="92"/>
        <v>11.256818874317212</v>
      </c>
    </row>
    <row r="1951" spans="1:7" x14ac:dyDescent="0.35">
      <c r="A1951">
        <v>290</v>
      </c>
      <c r="B1951">
        <v>260</v>
      </c>
      <c r="C1951">
        <v>1.4490000000000001</v>
      </c>
      <c r="E1951">
        <f t="shared" si="90"/>
        <v>1999480.4000000001</v>
      </c>
      <c r="F1951">
        <f t="shared" si="91"/>
        <v>399.81666666666666</v>
      </c>
      <c r="G1951">
        <f t="shared" si="92"/>
        <v>11.054833166427462</v>
      </c>
    </row>
    <row r="1952" spans="1:7" x14ac:dyDescent="0.35">
      <c r="A1952">
        <v>290</v>
      </c>
      <c r="B1952">
        <v>270</v>
      </c>
      <c r="C1952">
        <v>1.4750000000000001</v>
      </c>
      <c r="E1952">
        <f t="shared" si="90"/>
        <v>1999480.4000000001</v>
      </c>
      <c r="F1952">
        <f t="shared" si="91"/>
        <v>405.37222222222221</v>
      </c>
      <c r="G1952">
        <f t="shared" si="92"/>
        <v>10.859968310612469</v>
      </c>
    </row>
    <row r="1953" spans="1:7" x14ac:dyDescent="0.35">
      <c r="A1953">
        <v>290</v>
      </c>
      <c r="B1953">
        <v>280</v>
      </c>
      <c r="C1953">
        <v>1.5009999999999999</v>
      </c>
      <c r="E1953">
        <f t="shared" si="90"/>
        <v>1999480.4000000001</v>
      </c>
      <c r="F1953">
        <f t="shared" si="91"/>
        <v>410.92777777777775</v>
      </c>
      <c r="G1953">
        <f t="shared" si="92"/>
        <v>10.671854269256093</v>
      </c>
    </row>
    <row r="1954" spans="1:7" x14ac:dyDescent="0.35">
      <c r="A1954">
        <v>290</v>
      </c>
      <c r="B1954">
        <v>290</v>
      </c>
      <c r="C1954">
        <v>1.526</v>
      </c>
      <c r="E1954">
        <f t="shared" si="90"/>
        <v>1999480.4000000001</v>
      </c>
      <c r="F1954">
        <f t="shared" si="91"/>
        <v>416.48333333333335</v>
      </c>
      <c r="G1954">
        <f t="shared" si="92"/>
        <v>10.49702048371782</v>
      </c>
    </row>
    <row r="1955" spans="1:7" x14ac:dyDescent="0.35">
      <c r="A1955">
        <v>290</v>
      </c>
      <c r="B1955">
        <v>300</v>
      </c>
      <c r="C1955">
        <v>1.5509999999999999</v>
      </c>
      <c r="E1955">
        <f t="shared" si="90"/>
        <v>1999480.4000000001</v>
      </c>
      <c r="F1955">
        <f t="shared" si="91"/>
        <v>422.03888888888889</v>
      </c>
      <c r="G1955">
        <f t="shared" si="92"/>
        <v>10.327822861478655</v>
      </c>
    </row>
    <row r="1956" spans="1:7" x14ac:dyDescent="0.35">
      <c r="A1956">
        <v>290</v>
      </c>
      <c r="B1956">
        <v>320</v>
      </c>
      <c r="C1956">
        <v>1.601</v>
      </c>
      <c r="E1956">
        <f t="shared" si="90"/>
        <v>1999480.4000000001</v>
      </c>
      <c r="F1956">
        <f t="shared" si="91"/>
        <v>433.15</v>
      </c>
      <c r="G1956">
        <f t="shared" si="92"/>
        <v>10.005279986354399</v>
      </c>
    </row>
    <row r="1957" spans="1:7" x14ac:dyDescent="0.35">
      <c r="A1957">
        <v>290</v>
      </c>
      <c r="B1957">
        <v>340</v>
      </c>
      <c r="C1957">
        <v>1.65</v>
      </c>
      <c r="E1957">
        <f t="shared" si="90"/>
        <v>1999480.4000000001</v>
      </c>
      <c r="F1957">
        <f t="shared" si="91"/>
        <v>444.26111111111106</v>
      </c>
      <c r="G1957">
        <f t="shared" si="92"/>
        <v>9.708153489789936</v>
      </c>
    </row>
    <row r="1958" spans="1:7" x14ac:dyDescent="0.35">
      <c r="A1958">
        <v>290</v>
      </c>
      <c r="B1958">
        <v>360</v>
      </c>
      <c r="C1958">
        <v>1.698</v>
      </c>
      <c r="E1958">
        <f t="shared" si="90"/>
        <v>1999480.4000000001</v>
      </c>
      <c r="F1958">
        <f t="shared" si="91"/>
        <v>455.37222222222221</v>
      </c>
      <c r="G1958">
        <f t="shared" si="92"/>
        <v>9.4337180554495834</v>
      </c>
    </row>
    <row r="1959" spans="1:7" x14ac:dyDescent="0.35">
      <c r="A1959">
        <v>290</v>
      </c>
      <c r="B1959">
        <v>380</v>
      </c>
      <c r="C1959">
        <v>1.7470000000000001</v>
      </c>
      <c r="E1959">
        <f t="shared" si="90"/>
        <v>1999480.4000000001</v>
      </c>
      <c r="F1959">
        <f t="shared" si="91"/>
        <v>466.48333333333335</v>
      </c>
      <c r="G1959">
        <f t="shared" si="92"/>
        <v>9.1691203538370871</v>
      </c>
    </row>
    <row r="1960" spans="1:7" x14ac:dyDescent="0.35">
      <c r="A1960">
        <v>290</v>
      </c>
      <c r="B1960">
        <v>400</v>
      </c>
      <c r="C1960">
        <v>1.794</v>
      </c>
      <c r="E1960">
        <f t="shared" si="90"/>
        <v>1999480.4000000001</v>
      </c>
      <c r="F1960">
        <f t="shared" si="91"/>
        <v>477.59444444444443</v>
      </c>
      <c r="G1960">
        <f t="shared" si="92"/>
        <v>8.9289037113452583</v>
      </c>
    </row>
    <row r="1961" spans="1:7" x14ac:dyDescent="0.35">
      <c r="A1961">
        <v>300</v>
      </c>
      <c r="B1961">
        <v>130</v>
      </c>
      <c r="C1961">
        <v>1.0229999999999999</v>
      </c>
      <c r="E1961">
        <f t="shared" si="90"/>
        <v>2068428</v>
      </c>
      <c r="F1961">
        <f t="shared" si="91"/>
        <v>327.59444444444443</v>
      </c>
      <c r="G1961">
        <f t="shared" si="92"/>
        <v>15.658312080306349</v>
      </c>
    </row>
    <row r="1962" spans="1:7" x14ac:dyDescent="0.35">
      <c r="A1962">
        <v>300</v>
      </c>
      <c r="B1962">
        <v>140</v>
      </c>
      <c r="C1962">
        <v>1.0580000000000001</v>
      </c>
      <c r="E1962">
        <f t="shared" si="90"/>
        <v>2068428</v>
      </c>
      <c r="F1962">
        <f t="shared" si="91"/>
        <v>333.15</v>
      </c>
      <c r="G1962">
        <f t="shared" si="92"/>
        <v>15.140314988802828</v>
      </c>
    </row>
    <row r="1963" spans="1:7" x14ac:dyDescent="0.35">
      <c r="A1963">
        <v>300</v>
      </c>
      <c r="B1963">
        <v>150</v>
      </c>
      <c r="C1963">
        <v>1.091</v>
      </c>
      <c r="E1963">
        <f t="shared" si="90"/>
        <v>2068428</v>
      </c>
      <c r="F1963">
        <f t="shared" si="91"/>
        <v>338.70555555555552</v>
      </c>
      <c r="G1963">
        <f t="shared" si="92"/>
        <v>14.682358623421994</v>
      </c>
    </row>
    <row r="1964" spans="1:7" x14ac:dyDescent="0.35">
      <c r="A1964">
        <v>300</v>
      </c>
      <c r="B1964">
        <v>160</v>
      </c>
      <c r="C1964">
        <v>1.123</v>
      </c>
      <c r="E1964">
        <f t="shared" si="90"/>
        <v>2068428</v>
      </c>
      <c r="F1964">
        <f t="shared" si="91"/>
        <v>344.26111111111106</v>
      </c>
      <c r="G1964">
        <f t="shared" si="92"/>
        <v>14.263983310911303</v>
      </c>
    </row>
    <row r="1965" spans="1:7" x14ac:dyDescent="0.35">
      <c r="A1965">
        <v>300</v>
      </c>
      <c r="B1965">
        <v>170</v>
      </c>
      <c r="C1965">
        <v>1.153</v>
      </c>
      <c r="E1965">
        <f t="shared" si="90"/>
        <v>2068428</v>
      </c>
      <c r="F1965">
        <f t="shared" si="91"/>
        <v>349.81666666666666</v>
      </c>
      <c r="G1965">
        <f t="shared" si="92"/>
        <v>13.892847578623932</v>
      </c>
    </row>
    <row r="1966" spans="1:7" x14ac:dyDescent="0.35">
      <c r="A1966">
        <v>300</v>
      </c>
      <c r="B1966">
        <v>180</v>
      </c>
      <c r="C1966">
        <v>1.1830000000000001</v>
      </c>
      <c r="E1966">
        <f t="shared" si="90"/>
        <v>2068428</v>
      </c>
      <c r="F1966">
        <f t="shared" si="91"/>
        <v>355.37222222222221</v>
      </c>
      <c r="G1966">
        <f t="shared" si="92"/>
        <v>13.540535298523578</v>
      </c>
    </row>
    <row r="1967" spans="1:7" x14ac:dyDescent="0.35">
      <c r="A1967">
        <v>300</v>
      </c>
      <c r="B1967">
        <v>190</v>
      </c>
      <c r="C1967">
        <v>1.2110000000000001</v>
      </c>
      <c r="E1967">
        <f t="shared" si="90"/>
        <v>2068428</v>
      </c>
      <c r="F1967">
        <f t="shared" si="91"/>
        <v>360.92777777777775</v>
      </c>
      <c r="G1967">
        <f t="shared" si="92"/>
        <v>13.227459337864072</v>
      </c>
    </row>
    <row r="1968" spans="1:7" x14ac:dyDescent="0.35">
      <c r="A1968">
        <v>300</v>
      </c>
      <c r="B1968">
        <v>200</v>
      </c>
      <c r="C1968">
        <v>1.2390000000000001</v>
      </c>
      <c r="E1968">
        <f t="shared" si="90"/>
        <v>2068428</v>
      </c>
      <c r="F1968">
        <f t="shared" si="91"/>
        <v>366.48333333333329</v>
      </c>
      <c r="G1968">
        <f t="shared" si="92"/>
        <v>12.928533703110084</v>
      </c>
    </row>
    <row r="1969" spans="1:7" x14ac:dyDescent="0.35">
      <c r="A1969">
        <v>300</v>
      </c>
      <c r="B1969">
        <v>210</v>
      </c>
      <c r="C1969">
        <v>1.2669999999999999</v>
      </c>
      <c r="E1969">
        <f t="shared" si="90"/>
        <v>2068428</v>
      </c>
      <c r="F1969">
        <f t="shared" si="91"/>
        <v>372.03888888888889</v>
      </c>
      <c r="G1969">
        <f t="shared" si="92"/>
        <v>12.642820251107651</v>
      </c>
    </row>
    <row r="1970" spans="1:7" x14ac:dyDescent="0.35">
      <c r="A1970">
        <v>300</v>
      </c>
      <c r="B1970">
        <v>220</v>
      </c>
      <c r="C1970">
        <v>1.294</v>
      </c>
      <c r="E1970">
        <f t="shared" si="90"/>
        <v>2068428</v>
      </c>
      <c r="F1970">
        <f t="shared" si="91"/>
        <v>377.59444444444443</v>
      </c>
      <c r="G1970">
        <f t="shared" si="92"/>
        <v>12.379021065033534</v>
      </c>
    </row>
    <row r="1971" spans="1:7" x14ac:dyDescent="0.35">
      <c r="A1971">
        <v>300</v>
      </c>
      <c r="B1971">
        <v>230</v>
      </c>
      <c r="C1971">
        <v>1.32</v>
      </c>
      <c r="E1971">
        <f t="shared" si="90"/>
        <v>2068428</v>
      </c>
      <c r="F1971">
        <f t="shared" si="91"/>
        <v>383.15</v>
      </c>
      <c r="G1971">
        <f t="shared" si="92"/>
        <v>12.135191862237418</v>
      </c>
    </row>
    <row r="1972" spans="1:7" x14ac:dyDescent="0.35">
      <c r="A1972">
        <v>300</v>
      </c>
      <c r="B1972">
        <v>240</v>
      </c>
      <c r="C1972">
        <v>1.3460000000000001</v>
      </c>
      <c r="E1972">
        <f t="shared" si="90"/>
        <v>2068428</v>
      </c>
      <c r="F1972">
        <f t="shared" si="91"/>
        <v>388.70555555555552</v>
      </c>
      <c r="G1972">
        <f t="shared" si="92"/>
        <v>11.900782509772208</v>
      </c>
    </row>
    <row r="1973" spans="1:7" x14ac:dyDescent="0.35">
      <c r="A1973">
        <v>300</v>
      </c>
      <c r="B1973">
        <v>250</v>
      </c>
      <c r="C1973">
        <v>1.3720000000000001</v>
      </c>
      <c r="E1973">
        <f t="shared" si="90"/>
        <v>2068428</v>
      </c>
      <c r="F1973">
        <f t="shared" si="91"/>
        <v>394.26111111111106</v>
      </c>
      <c r="G1973">
        <f t="shared" si="92"/>
        <v>11.675257476788186</v>
      </c>
    </row>
    <row r="1974" spans="1:7" x14ac:dyDescent="0.35">
      <c r="A1974">
        <v>300</v>
      </c>
      <c r="B1974">
        <v>260</v>
      </c>
      <c r="C1974">
        <v>1.397</v>
      </c>
      <c r="E1974">
        <f t="shared" si="90"/>
        <v>2068428</v>
      </c>
      <c r="F1974">
        <f t="shared" si="91"/>
        <v>399.81666666666666</v>
      </c>
      <c r="G1974">
        <f t="shared" si="92"/>
        <v>11.466323019436931</v>
      </c>
    </row>
    <row r="1975" spans="1:7" x14ac:dyDescent="0.35">
      <c r="A1975">
        <v>300</v>
      </c>
      <c r="B1975">
        <v>270</v>
      </c>
      <c r="C1975">
        <v>1.4219999999999999</v>
      </c>
      <c r="E1975">
        <f t="shared" si="90"/>
        <v>2068428</v>
      </c>
      <c r="F1975">
        <f t="shared" si="91"/>
        <v>405.37222222222221</v>
      </c>
      <c r="G1975">
        <f t="shared" si="92"/>
        <v>11.264735061992541</v>
      </c>
    </row>
    <row r="1976" spans="1:7" x14ac:dyDescent="0.35">
      <c r="A1976">
        <v>300</v>
      </c>
      <c r="B1976">
        <v>280</v>
      </c>
      <c r="C1976">
        <v>1.4470000000000001</v>
      </c>
      <c r="E1976">
        <f t="shared" si="90"/>
        <v>2068428</v>
      </c>
      <c r="F1976">
        <f t="shared" si="91"/>
        <v>410.92777777777775</v>
      </c>
      <c r="G1976">
        <f t="shared" si="92"/>
        <v>11.070112825261502</v>
      </c>
    </row>
    <row r="1977" spans="1:7" x14ac:dyDescent="0.35">
      <c r="A1977">
        <v>300</v>
      </c>
      <c r="B1977">
        <v>290</v>
      </c>
      <c r="C1977">
        <v>1.472</v>
      </c>
      <c r="E1977">
        <f t="shared" si="90"/>
        <v>2068428</v>
      </c>
      <c r="F1977">
        <f t="shared" si="91"/>
        <v>416.48333333333335</v>
      </c>
      <c r="G1977">
        <f t="shared" si="92"/>
        <v>10.882101398202034</v>
      </c>
    </row>
    <row r="1978" spans="1:7" x14ac:dyDescent="0.35">
      <c r="A1978">
        <v>300</v>
      </c>
      <c r="B1978">
        <v>300</v>
      </c>
      <c r="C1978">
        <v>1.496</v>
      </c>
      <c r="E1978">
        <f t="shared" si="90"/>
        <v>2068428</v>
      </c>
      <c r="F1978">
        <f t="shared" si="91"/>
        <v>422.03888888888889</v>
      </c>
      <c r="G1978">
        <f t="shared" si="92"/>
        <v>10.707522231385958</v>
      </c>
    </row>
    <row r="1979" spans="1:7" x14ac:dyDescent="0.35">
      <c r="A1979">
        <v>300</v>
      </c>
      <c r="B1979">
        <v>320</v>
      </c>
      <c r="C1979">
        <v>1.544</v>
      </c>
      <c r="E1979">
        <f t="shared" si="90"/>
        <v>2068428</v>
      </c>
      <c r="F1979">
        <f t="shared" si="91"/>
        <v>433.15</v>
      </c>
      <c r="G1979">
        <f t="shared" si="92"/>
        <v>10.374645892586395</v>
      </c>
    </row>
    <row r="1980" spans="1:7" x14ac:dyDescent="0.35">
      <c r="A1980">
        <v>300</v>
      </c>
      <c r="B1980">
        <v>340</v>
      </c>
      <c r="C1980">
        <v>1.5920000000000001</v>
      </c>
      <c r="E1980">
        <f t="shared" si="90"/>
        <v>2068428</v>
      </c>
      <c r="F1980">
        <f t="shared" si="91"/>
        <v>444.26111111111106</v>
      </c>
      <c r="G1980">
        <f t="shared" si="92"/>
        <v>10.061842498840072</v>
      </c>
    </row>
    <row r="1981" spans="1:7" x14ac:dyDescent="0.35">
      <c r="A1981">
        <v>300</v>
      </c>
      <c r="B1981">
        <v>360</v>
      </c>
      <c r="C1981">
        <v>1.639</v>
      </c>
      <c r="E1981">
        <f t="shared" si="90"/>
        <v>2068428</v>
      </c>
      <c r="F1981">
        <f t="shared" si="91"/>
        <v>455.37222222222221</v>
      </c>
      <c r="G1981">
        <f t="shared" si="92"/>
        <v>9.7733088823388616</v>
      </c>
    </row>
    <row r="1982" spans="1:7" x14ac:dyDescent="0.35">
      <c r="A1982">
        <v>300</v>
      </c>
      <c r="B1982">
        <v>380</v>
      </c>
      <c r="C1982">
        <v>1.6859999999999999</v>
      </c>
      <c r="E1982">
        <f t="shared" si="90"/>
        <v>2068428</v>
      </c>
      <c r="F1982">
        <f t="shared" si="91"/>
        <v>466.48333333333335</v>
      </c>
      <c r="G1982">
        <f t="shared" si="92"/>
        <v>9.5008619562001151</v>
      </c>
    </row>
    <row r="1983" spans="1:7" x14ac:dyDescent="0.35">
      <c r="A1983">
        <v>300</v>
      </c>
      <c r="B1983">
        <v>400</v>
      </c>
      <c r="C1983">
        <v>1.732</v>
      </c>
      <c r="E1983">
        <f t="shared" si="90"/>
        <v>2068428</v>
      </c>
      <c r="F1983">
        <f t="shared" si="91"/>
        <v>477.59444444444443</v>
      </c>
      <c r="G1983">
        <f t="shared" si="92"/>
        <v>9.2485295947767856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0077-8802-4CB5-9DE6-A48071267AAF}">
  <dimension ref="A1:G99"/>
  <sheetViews>
    <sheetView workbookViewId="0">
      <selection activeCell="E2" sqref="E2:G99"/>
    </sheetView>
  </sheetViews>
  <sheetFormatPr defaultRowHeight="14.5" x14ac:dyDescent="0.35"/>
  <cols>
    <col min="1" max="1" width="7.81640625" bestFit="1" customWidth="1"/>
    <col min="2" max="2" width="9.54296875" customWidth="1"/>
    <col min="3" max="3" width="11.26953125" bestFit="1" customWidth="1"/>
    <col min="4" max="4" width="7.1796875" bestFit="1" customWidth="1"/>
    <col min="5" max="5" width="9.81640625" bestFit="1" customWidth="1"/>
    <col min="6" max="6" width="7.1796875" bestFit="1" customWidth="1"/>
    <col min="7" max="8" width="7" bestFit="1" customWidth="1"/>
    <col min="9" max="9" width="7.1796875" bestFit="1" customWidth="1"/>
    <col min="10" max="11" width="7" bestFit="1" customWidth="1"/>
  </cols>
  <sheetData>
    <row r="1" spans="1:7" x14ac:dyDescent="0.35">
      <c r="A1" t="s">
        <v>19</v>
      </c>
      <c r="B1" t="s">
        <v>8</v>
      </c>
      <c r="C1" t="s">
        <v>20</v>
      </c>
      <c r="E1" t="s">
        <v>0</v>
      </c>
      <c r="F1" t="s">
        <v>1</v>
      </c>
      <c r="G1" t="s">
        <v>2</v>
      </c>
    </row>
    <row r="2" spans="1:7" x14ac:dyDescent="0.35">
      <c r="A2">
        <v>50</v>
      </c>
      <c r="B2">
        <v>298</v>
      </c>
      <c r="C2">
        <v>0.64259999999999995</v>
      </c>
      <c r="E2">
        <f t="shared" ref="E2:E33" si="0">A2*1000000</f>
        <v>50000000</v>
      </c>
      <c r="F2">
        <f>B2</f>
        <v>298</v>
      </c>
      <c r="G2">
        <f>C2*0.001*1000000</f>
        <v>642.6</v>
      </c>
    </row>
    <row r="3" spans="1:7" x14ac:dyDescent="0.35">
      <c r="A3">
        <v>100</v>
      </c>
      <c r="B3">
        <v>298</v>
      </c>
      <c r="C3">
        <v>0.66900000000000004</v>
      </c>
      <c r="E3">
        <f t="shared" si="0"/>
        <v>100000000</v>
      </c>
      <c r="F3">
        <f t="shared" ref="F3:F66" si="1">B3</f>
        <v>298</v>
      </c>
      <c r="G3">
        <f t="shared" ref="G3:G66" si="2">C3*0.001*1000000</f>
        <v>669.00000000000011</v>
      </c>
    </row>
    <row r="4" spans="1:7" x14ac:dyDescent="0.35">
      <c r="A4">
        <v>150</v>
      </c>
      <c r="B4">
        <v>298</v>
      </c>
      <c r="C4">
        <v>0.68979999999999997</v>
      </c>
      <c r="E4">
        <f t="shared" si="0"/>
        <v>150000000</v>
      </c>
      <c r="F4">
        <f t="shared" si="1"/>
        <v>298</v>
      </c>
      <c r="G4">
        <f t="shared" si="2"/>
        <v>689.8</v>
      </c>
    </row>
    <row r="5" spans="1:7" x14ac:dyDescent="0.35">
      <c r="A5">
        <v>200</v>
      </c>
      <c r="B5">
        <v>298</v>
      </c>
      <c r="C5">
        <v>0.70720000000000005</v>
      </c>
      <c r="E5">
        <f t="shared" si="0"/>
        <v>200000000</v>
      </c>
      <c r="F5">
        <f t="shared" si="1"/>
        <v>298</v>
      </c>
      <c r="G5">
        <f t="shared" si="2"/>
        <v>707.2</v>
      </c>
    </row>
    <row r="6" spans="1:7" x14ac:dyDescent="0.35">
      <c r="A6">
        <v>300</v>
      </c>
      <c r="B6">
        <v>298</v>
      </c>
      <c r="C6">
        <v>0.73570000000000002</v>
      </c>
      <c r="E6">
        <f t="shared" si="0"/>
        <v>300000000</v>
      </c>
      <c r="F6">
        <f t="shared" si="1"/>
        <v>298</v>
      </c>
      <c r="G6">
        <f t="shared" si="2"/>
        <v>735.7</v>
      </c>
    </row>
    <row r="7" spans="1:7" x14ac:dyDescent="0.35">
      <c r="A7">
        <v>400</v>
      </c>
      <c r="B7">
        <v>298</v>
      </c>
      <c r="C7">
        <v>0.7581</v>
      </c>
      <c r="E7">
        <f t="shared" si="0"/>
        <v>400000000</v>
      </c>
      <c r="F7">
        <f t="shared" si="1"/>
        <v>298</v>
      </c>
      <c r="G7">
        <f t="shared" si="2"/>
        <v>758.1</v>
      </c>
    </row>
    <row r="8" spans="1:7" x14ac:dyDescent="0.35">
      <c r="A8">
        <v>500</v>
      </c>
      <c r="B8">
        <v>298</v>
      </c>
      <c r="C8">
        <v>0.77610000000000001</v>
      </c>
      <c r="E8">
        <f t="shared" si="0"/>
        <v>500000000</v>
      </c>
      <c r="F8">
        <f t="shared" si="1"/>
        <v>298</v>
      </c>
      <c r="G8">
        <f t="shared" si="2"/>
        <v>776.1</v>
      </c>
    </row>
    <row r="9" spans="1:7" x14ac:dyDescent="0.35">
      <c r="A9">
        <v>600</v>
      </c>
      <c r="B9">
        <v>298</v>
      </c>
      <c r="C9">
        <v>0.79139999999999999</v>
      </c>
      <c r="E9">
        <f t="shared" si="0"/>
        <v>600000000</v>
      </c>
      <c r="F9">
        <f t="shared" si="1"/>
        <v>298</v>
      </c>
      <c r="G9">
        <f t="shared" si="2"/>
        <v>791.40000000000009</v>
      </c>
    </row>
    <row r="10" spans="1:7" x14ac:dyDescent="0.35">
      <c r="A10">
        <v>700</v>
      </c>
      <c r="B10">
        <v>298</v>
      </c>
      <c r="C10">
        <v>0.80400000000000005</v>
      </c>
      <c r="E10">
        <f t="shared" si="0"/>
        <v>700000000</v>
      </c>
      <c r="F10">
        <f t="shared" si="1"/>
        <v>298</v>
      </c>
      <c r="G10">
        <f t="shared" si="2"/>
        <v>804</v>
      </c>
    </row>
    <row r="11" spans="1:7" x14ac:dyDescent="0.35">
      <c r="A11">
        <v>800</v>
      </c>
      <c r="B11">
        <v>298</v>
      </c>
      <c r="C11">
        <v>0.81479999999999997</v>
      </c>
      <c r="E11">
        <f t="shared" si="0"/>
        <v>800000000</v>
      </c>
      <c r="F11">
        <f t="shared" si="1"/>
        <v>298</v>
      </c>
      <c r="G11">
        <f t="shared" si="2"/>
        <v>814.8</v>
      </c>
    </row>
    <row r="12" spans="1:7" x14ac:dyDescent="0.35">
      <c r="A12">
        <v>900</v>
      </c>
      <c r="B12">
        <v>298</v>
      </c>
      <c r="C12">
        <v>0.82589999999999997</v>
      </c>
      <c r="E12">
        <f t="shared" si="0"/>
        <v>900000000</v>
      </c>
      <c r="F12">
        <f t="shared" si="1"/>
        <v>298</v>
      </c>
      <c r="G12">
        <f t="shared" si="2"/>
        <v>825.9</v>
      </c>
    </row>
    <row r="13" spans="1:7" x14ac:dyDescent="0.35">
      <c r="A13">
        <v>950</v>
      </c>
      <c r="B13">
        <v>298</v>
      </c>
      <c r="C13">
        <v>0.82869999999999999</v>
      </c>
      <c r="E13">
        <f t="shared" si="0"/>
        <v>950000000</v>
      </c>
      <c r="F13">
        <f t="shared" si="1"/>
        <v>298</v>
      </c>
      <c r="G13">
        <f t="shared" si="2"/>
        <v>828.7</v>
      </c>
    </row>
    <row r="14" spans="1:7" x14ac:dyDescent="0.35">
      <c r="A14">
        <v>50</v>
      </c>
      <c r="B14">
        <v>323</v>
      </c>
      <c r="C14">
        <v>0.61209999999999998</v>
      </c>
      <c r="E14">
        <f t="shared" si="0"/>
        <v>50000000</v>
      </c>
      <c r="F14">
        <f t="shared" si="1"/>
        <v>323</v>
      </c>
      <c r="G14">
        <f t="shared" si="2"/>
        <v>612.1</v>
      </c>
    </row>
    <row r="15" spans="1:7" x14ac:dyDescent="0.35">
      <c r="A15">
        <v>100</v>
      </c>
      <c r="B15">
        <v>323</v>
      </c>
      <c r="C15">
        <v>0.64439999999999997</v>
      </c>
      <c r="E15">
        <f t="shared" si="0"/>
        <v>100000000</v>
      </c>
      <c r="F15">
        <f t="shared" si="1"/>
        <v>323</v>
      </c>
      <c r="G15">
        <f t="shared" si="2"/>
        <v>644.4</v>
      </c>
    </row>
    <row r="16" spans="1:7" x14ac:dyDescent="0.35">
      <c r="A16">
        <v>150</v>
      </c>
      <c r="B16">
        <v>323</v>
      </c>
      <c r="C16">
        <v>0.66769999999999996</v>
      </c>
      <c r="E16">
        <f t="shared" si="0"/>
        <v>150000000</v>
      </c>
      <c r="F16">
        <f t="shared" si="1"/>
        <v>323</v>
      </c>
      <c r="G16">
        <f t="shared" si="2"/>
        <v>667.7</v>
      </c>
    </row>
    <row r="17" spans="1:7" x14ac:dyDescent="0.35">
      <c r="A17">
        <v>200</v>
      </c>
      <c r="B17">
        <v>323</v>
      </c>
      <c r="C17">
        <v>0.68640000000000001</v>
      </c>
      <c r="E17">
        <f t="shared" si="0"/>
        <v>200000000</v>
      </c>
      <c r="F17">
        <f t="shared" si="1"/>
        <v>323</v>
      </c>
      <c r="G17">
        <f t="shared" si="2"/>
        <v>686.4</v>
      </c>
    </row>
    <row r="18" spans="1:7" x14ac:dyDescent="0.35">
      <c r="A18">
        <v>300</v>
      </c>
      <c r="B18">
        <v>323</v>
      </c>
      <c r="C18">
        <v>0.71709999999999996</v>
      </c>
      <c r="E18">
        <f t="shared" si="0"/>
        <v>300000000</v>
      </c>
      <c r="F18">
        <f t="shared" si="1"/>
        <v>323</v>
      </c>
      <c r="G18">
        <f t="shared" si="2"/>
        <v>717.09999999999991</v>
      </c>
    </row>
    <row r="19" spans="1:7" x14ac:dyDescent="0.35">
      <c r="A19">
        <v>400</v>
      </c>
      <c r="B19">
        <v>323</v>
      </c>
      <c r="C19">
        <v>0.74180000000000001</v>
      </c>
      <c r="E19">
        <f t="shared" si="0"/>
        <v>400000000</v>
      </c>
      <c r="F19">
        <f t="shared" si="1"/>
        <v>323</v>
      </c>
      <c r="G19">
        <f t="shared" si="2"/>
        <v>741.80000000000007</v>
      </c>
    </row>
    <row r="20" spans="1:7" x14ac:dyDescent="0.35">
      <c r="A20">
        <v>500</v>
      </c>
      <c r="B20">
        <v>323</v>
      </c>
      <c r="C20">
        <v>0.76139999999999997</v>
      </c>
      <c r="E20">
        <f t="shared" si="0"/>
        <v>500000000</v>
      </c>
      <c r="F20">
        <f t="shared" si="1"/>
        <v>323</v>
      </c>
      <c r="G20">
        <f t="shared" si="2"/>
        <v>761.4</v>
      </c>
    </row>
    <row r="21" spans="1:7" x14ac:dyDescent="0.35">
      <c r="A21">
        <v>600</v>
      </c>
      <c r="B21">
        <v>323</v>
      </c>
      <c r="C21">
        <v>0.7772</v>
      </c>
      <c r="E21">
        <f t="shared" si="0"/>
        <v>600000000</v>
      </c>
      <c r="F21">
        <f t="shared" si="1"/>
        <v>323</v>
      </c>
      <c r="G21">
        <f t="shared" si="2"/>
        <v>777.2</v>
      </c>
    </row>
    <row r="22" spans="1:7" x14ac:dyDescent="0.35">
      <c r="A22">
        <v>700</v>
      </c>
      <c r="B22">
        <v>323</v>
      </c>
      <c r="C22">
        <v>0.79010000000000002</v>
      </c>
      <c r="E22">
        <f t="shared" si="0"/>
        <v>700000000</v>
      </c>
      <c r="F22">
        <f t="shared" si="1"/>
        <v>323</v>
      </c>
      <c r="G22">
        <f t="shared" si="2"/>
        <v>790.1</v>
      </c>
    </row>
    <row r="23" spans="1:7" x14ac:dyDescent="0.35">
      <c r="A23">
        <v>800</v>
      </c>
      <c r="B23">
        <v>323</v>
      </c>
      <c r="C23">
        <v>0.80149999999999999</v>
      </c>
      <c r="E23">
        <f t="shared" si="0"/>
        <v>800000000</v>
      </c>
      <c r="F23">
        <f t="shared" si="1"/>
        <v>323</v>
      </c>
      <c r="G23">
        <f t="shared" si="2"/>
        <v>801.5</v>
      </c>
    </row>
    <row r="24" spans="1:7" x14ac:dyDescent="0.35">
      <c r="A24">
        <v>900</v>
      </c>
      <c r="B24">
        <v>323</v>
      </c>
      <c r="C24">
        <v>0.81210000000000004</v>
      </c>
      <c r="E24">
        <f t="shared" si="0"/>
        <v>900000000</v>
      </c>
      <c r="F24">
        <f t="shared" si="1"/>
        <v>323</v>
      </c>
      <c r="G24">
        <f t="shared" si="2"/>
        <v>812.1</v>
      </c>
    </row>
    <row r="25" spans="1:7" x14ac:dyDescent="0.35">
      <c r="A25">
        <v>950</v>
      </c>
      <c r="B25">
        <v>323</v>
      </c>
      <c r="C25">
        <v>0.81169999999999998</v>
      </c>
      <c r="E25">
        <f t="shared" si="0"/>
        <v>950000000</v>
      </c>
      <c r="F25">
        <f t="shared" si="1"/>
        <v>323</v>
      </c>
      <c r="G25">
        <f t="shared" si="2"/>
        <v>811.69999999999993</v>
      </c>
    </row>
    <row r="26" spans="1:7" x14ac:dyDescent="0.35">
      <c r="A26">
        <v>50</v>
      </c>
      <c r="B26">
        <v>373</v>
      </c>
      <c r="C26">
        <v>0.54879999999999995</v>
      </c>
      <c r="E26">
        <f t="shared" si="0"/>
        <v>50000000</v>
      </c>
      <c r="F26">
        <f t="shared" si="1"/>
        <v>373</v>
      </c>
      <c r="G26">
        <f t="shared" si="2"/>
        <v>548.79999999999995</v>
      </c>
    </row>
    <row r="27" spans="1:7" x14ac:dyDescent="0.35">
      <c r="A27">
        <v>100</v>
      </c>
      <c r="B27">
        <v>373</v>
      </c>
      <c r="C27">
        <v>0.59450000000000003</v>
      </c>
      <c r="E27">
        <f t="shared" si="0"/>
        <v>100000000</v>
      </c>
      <c r="F27">
        <f t="shared" si="1"/>
        <v>373</v>
      </c>
      <c r="G27">
        <f t="shared" si="2"/>
        <v>594.50000000000011</v>
      </c>
    </row>
    <row r="28" spans="1:7" x14ac:dyDescent="0.35">
      <c r="A28">
        <v>150</v>
      </c>
      <c r="B28">
        <v>373</v>
      </c>
      <c r="C28">
        <v>0.62509999999999999</v>
      </c>
      <c r="E28">
        <f t="shared" si="0"/>
        <v>150000000</v>
      </c>
      <c r="F28">
        <f t="shared" si="1"/>
        <v>373</v>
      </c>
      <c r="G28">
        <f t="shared" si="2"/>
        <v>625.09999999999991</v>
      </c>
    </row>
    <row r="29" spans="1:7" x14ac:dyDescent="0.35">
      <c r="A29">
        <v>200</v>
      </c>
      <c r="B29">
        <v>373</v>
      </c>
      <c r="C29">
        <v>0.64870000000000005</v>
      </c>
      <c r="E29">
        <f t="shared" si="0"/>
        <v>200000000</v>
      </c>
      <c r="F29">
        <f t="shared" si="1"/>
        <v>373</v>
      </c>
      <c r="G29">
        <f t="shared" si="2"/>
        <v>648.70000000000005</v>
      </c>
    </row>
    <row r="30" spans="1:7" x14ac:dyDescent="0.35">
      <c r="A30">
        <v>300</v>
      </c>
      <c r="B30">
        <v>373</v>
      </c>
      <c r="C30">
        <v>0.68640000000000001</v>
      </c>
      <c r="E30">
        <f t="shared" si="0"/>
        <v>300000000</v>
      </c>
      <c r="F30">
        <f t="shared" si="1"/>
        <v>373</v>
      </c>
      <c r="G30">
        <f t="shared" si="2"/>
        <v>686.4</v>
      </c>
    </row>
    <row r="31" spans="1:7" x14ac:dyDescent="0.35">
      <c r="A31">
        <v>400</v>
      </c>
      <c r="B31">
        <v>373</v>
      </c>
      <c r="C31">
        <v>0.71579999999999999</v>
      </c>
      <c r="E31">
        <f t="shared" si="0"/>
        <v>400000000</v>
      </c>
      <c r="F31">
        <f t="shared" si="1"/>
        <v>373</v>
      </c>
      <c r="G31">
        <f t="shared" si="2"/>
        <v>715.80000000000007</v>
      </c>
    </row>
    <row r="32" spans="1:7" x14ac:dyDescent="0.35">
      <c r="A32">
        <v>500</v>
      </c>
      <c r="B32">
        <v>373</v>
      </c>
      <c r="C32">
        <v>0.73970000000000002</v>
      </c>
      <c r="E32">
        <f t="shared" si="0"/>
        <v>500000000</v>
      </c>
      <c r="F32">
        <f t="shared" si="1"/>
        <v>373</v>
      </c>
      <c r="G32">
        <f t="shared" si="2"/>
        <v>739.7</v>
      </c>
    </row>
    <row r="33" spans="1:7" x14ac:dyDescent="0.35">
      <c r="A33">
        <v>600</v>
      </c>
      <c r="B33">
        <v>373</v>
      </c>
      <c r="C33">
        <v>0.76190000000000002</v>
      </c>
      <c r="E33">
        <f t="shared" si="0"/>
        <v>600000000</v>
      </c>
      <c r="F33">
        <f t="shared" si="1"/>
        <v>373</v>
      </c>
      <c r="G33">
        <f t="shared" si="2"/>
        <v>761.9</v>
      </c>
    </row>
    <row r="34" spans="1:7" x14ac:dyDescent="0.35">
      <c r="A34">
        <v>700</v>
      </c>
      <c r="B34">
        <v>373</v>
      </c>
      <c r="C34">
        <v>0.78220000000000001</v>
      </c>
      <c r="E34">
        <f t="shared" ref="E34:E65" si="3">A34*1000000</f>
        <v>700000000</v>
      </c>
      <c r="F34">
        <f t="shared" si="1"/>
        <v>373</v>
      </c>
      <c r="G34">
        <f t="shared" si="2"/>
        <v>782.2</v>
      </c>
    </row>
    <row r="35" spans="1:7" x14ac:dyDescent="0.35">
      <c r="A35">
        <v>800</v>
      </c>
      <c r="B35">
        <v>373</v>
      </c>
      <c r="C35">
        <v>0.79949999999999999</v>
      </c>
      <c r="E35">
        <f t="shared" si="3"/>
        <v>800000000</v>
      </c>
      <c r="F35">
        <f t="shared" si="1"/>
        <v>373</v>
      </c>
      <c r="G35">
        <f t="shared" si="2"/>
        <v>799.5</v>
      </c>
    </row>
    <row r="36" spans="1:7" x14ac:dyDescent="0.35">
      <c r="A36">
        <v>900</v>
      </c>
      <c r="B36">
        <v>373</v>
      </c>
      <c r="C36">
        <v>0.81779999999999997</v>
      </c>
      <c r="E36">
        <f t="shared" si="3"/>
        <v>900000000</v>
      </c>
      <c r="F36">
        <f t="shared" si="1"/>
        <v>373</v>
      </c>
      <c r="G36">
        <f t="shared" si="2"/>
        <v>817.80000000000007</v>
      </c>
    </row>
    <row r="37" spans="1:7" x14ac:dyDescent="0.35">
      <c r="A37">
        <v>950</v>
      </c>
      <c r="B37">
        <v>373</v>
      </c>
      <c r="C37">
        <v>0.82379999999999998</v>
      </c>
      <c r="E37">
        <f t="shared" si="3"/>
        <v>950000000</v>
      </c>
      <c r="F37">
        <f t="shared" si="1"/>
        <v>373</v>
      </c>
      <c r="G37">
        <f t="shared" si="2"/>
        <v>823.8</v>
      </c>
    </row>
    <row r="38" spans="1:7" x14ac:dyDescent="0.35">
      <c r="A38">
        <v>50</v>
      </c>
      <c r="B38">
        <v>423</v>
      </c>
      <c r="C38">
        <v>0.47970000000000002</v>
      </c>
      <c r="E38">
        <f t="shared" si="3"/>
        <v>50000000</v>
      </c>
      <c r="F38">
        <f t="shared" si="1"/>
        <v>423</v>
      </c>
      <c r="G38">
        <f t="shared" si="2"/>
        <v>479.7</v>
      </c>
    </row>
    <row r="39" spans="1:7" x14ac:dyDescent="0.35">
      <c r="A39">
        <v>100</v>
      </c>
      <c r="B39">
        <v>423</v>
      </c>
      <c r="C39">
        <v>0.54390000000000005</v>
      </c>
      <c r="E39">
        <f t="shared" si="3"/>
        <v>100000000</v>
      </c>
      <c r="F39">
        <f t="shared" si="1"/>
        <v>423</v>
      </c>
      <c r="G39">
        <f t="shared" si="2"/>
        <v>543.90000000000009</v>
      </c>
    </row>
    <row r="40" spans="1:7" x14ac:dyDescent="0.35">
      <c r="A40">
        <v>150</v>
      </c>
      <c r="B40">
        <v>423</v>
      </c>
      <c r="C40">
        <v>0.58130000000000004</v>
      </c>
      <c r="E40">
        <f t="shared" si="3"/>
        <v>150000000</v>
      </c>
      <c r="F40">
        <f t="shared" si="1"/>
        <v>423</v>
      </c>
      <c r="G40">
        <f t="shared" si="2"/>
        <v>581.30000000000007</v>
      </c>
    </row>
    <row r="41" spans="1:7" x14ac:dyDescent="0.35">
      <c r="A41">
        <v>200</v>
      </c>
      <c r="B41">
        <v>423</v>
      </c>
      <c r="C41">
        <v>0.61029999999999995</v>
      </c>
      <c r="E41">
        <f t="shared" si="3"/>
        <v>200000000</v>
      </c>
      <c r="F41">
        <f t="shared" si="1"/>
        <v>423</v>
      </c>
      <c r="G41">
        <f t="shared" si="2"/>
        <v>610.29999999999995</v>
      </c>
    </row>
    <row r="42" spans="1:7" x14ac:dyDescent="0.35">
      <c r="A42">
        <v>300</v>
      </c>
      <c r="B42">
        <v>423</v>
      </c>
      <c r="C42">
        <v>0.65349999999999997</v>
      </c>
      <c r="E42">
        <f t="shared" si="3"/>
        <v>300000000</v>
      </c>
      <c r="F42">
        <f t="shared" si="1"/>
        <v>423</v>
      </c>
      <c r="G42">
        <f t="shared" si="2"/>
        <v>653.5</v>
      </c>
    </row>
    <row r="43" spans="1:7" x14ac:dyDescent="0.35">
      <c r="A43">
        <v>400</v>
      </c>
      <c r="B43">
        <v>423</v>
      </c>
      <c r="C43">
        <v>0.68569999999999998</v>
      </c>
      <c r="E43">
        <f t="shared" si="3"/>
        <v>400000000</v>
      </c>
      <c r="F43">
        <f t="shared" si="1"/>
        <v>423</v>
      </c>
      <c r="G43">
        <f t="shared" si="2"/>
        <v>685.7</v>
      </c>
    </row>
    <row r="44" spans="1:7" x14ac:dyDescent="0.35">
      <c r="A44">
        <v>500</v>
      </c>
      <c r="B44">
        <v>423</v>
      </c>
      <c r="C44">
        <v>0.71230000000000004</v>
      </c>
      <c r="E44">
        <f t="shared" si="3"/>
        <v>500000000</v>
      </c>
      <c r="F44">
        <f t="shared" si="1"/>
        <v>423</v>
      </c>
      <c r="G44">
        <f t="shared" si="2"/>
        <v>712.30000000000007</v>
      </c>
    </row>
    <row r="45" spans="1:7" x14ac:dyDescent="0.35">
      <c r="A45">
        <v>600</v>
      </c>
      <c r="B45">
        <v>423</v>
      </c>
      <c r="C45">
        <v>0.73450000000000004</v>
      </c>
      <c r="E45">
        <f t="shared" si="3"/>
        <v>600000000</v>
      </c>
      <c r="F45">
        <f t="shared" si="1"/>
        <v>423</v>
      </c>
      <c r="G45">
        <f t="shared" si="2"/>
        <v>734.5</v>
      </c>
    </row>
    <row r="46" spans="1:7" x14ac:dyDescent="0.35">
      <c r="A46">
        <v>700</v>
      </c>
      <c r="B46">
        <v>423</v>
      </c>
      <c r="C46">
        <v>0.75480000000000003</v>
      </c>
      <c r="E46">
        <f t="shared" si="3"/>
        <v>700000000</v>
      </c>
      <c r="F46">
        <f t="shared" si="1"/>
        <v>423</v>
      </c>
      <c r="G46">
        <f t="shared" si="2"/>
        <v>754.80000000000007</v>
      </c>
    </row>
    <row r="47" spans="1:7" x14ac:dyDescent="0.35">
      <c r="A47">
        <v>800</v>
      </c>
      <c r="B47">
        <v>423</v>
      </c>
      <c r="C47">
        <v>0.77290000000000003</v>
      </c>
      <c r="E47">
        <f t="shared" si="3"/>
        <v>800000000</v>
      </c>
      <c r="F47">
        <f t="shared" si="1"/>
        <v>423</v>
      </c>
      <c r="G47">
        <f t="shared" si="2"/>
        <v>772.90000000000009</v>
      </c>
    </row>
    <row r="48" spans="1:7" x14ac:dyDescent="0.35">
      <c r="A48">
        <v>900</v>
      </c>
      <c r="B48">
        <v>423</v>
      </c>
      <c r="C48">
        <v>0.78290000000000004</v>
      </c>
      <c r="E48">
        <f t="shared" si="3"/>
        <v>900000000</v>
      </c>
      <c r="F48">
        <f t="shared" si="1"/>
        <v>423</v>
      </c>
      <c r="G48">
        <f t="shared" si="2"/>
        <v>782.90000000000009</v>
      </c>
    </row>
    <row r="49" spans="1:7" x14ac:dyDescent="0.35">
      <c r="A49">
        <v>950</v>
      </c>
      <c r="B49">
        <v>423</v>
      </c>
      <c r="C49">
        <v>0.79420000000000002</v>
      </c>
      <c r="E49">
        <f t="shared" si="3"/>
        <v>950000000</v>
      </c>
      <c r="F49">
        <f t="shared" si="1"/>
        <v>423</v>
      </c>
      <c r="G49">
        <f t="shared" si="2"/>
        <v>794.2</v>
      </c>
    </row>
    <row r="50" spans="1:7" x14ac:dyDescent="0.35">
      <c r="A50">
        <v>100</v>
      </c>
      <c r="B50">
        <v>473</v>
      </c>
      <c r="C50">
        <v>0.49280000000000002</v>
      </c>
      <c r="E50">
        <f t="shared" si="3"/>
        <v>100000000</v>
      </c>
      <c r="F50">
        <f t="shared" si="1"/>
        <v>473</v>
      </c>
      <c r="G50">
        <f t="shared" si="2"/>
        <v>492.80000000000007</v>
      </c>
    </row>
    <row r="51" spans="1:7" x14ac:dyDescent="0.35">
      <c r="A51">
        <v>150</v>
      </c>
      <c r="B51">
        <v>473</v>
      </c>
      <c r="C51">
        <v>0.53900000000000003</v>
      </c>
      <c r="E51">
        <f t="shared" si="3"/>
        <v>150000000</v>
      </c>
      <c r="F51">
        <f t="shared" si="1"/>
        <v>473</v>
      </c>
      <c r="G51">
        <f t="shared" si="2"/>
        <v>539.00000000000011</v>
      </c>
    </row>
    <row r="52" spans="1:7" x14ac:dyDescent="0.35">
      <c r="A52">
        <v>200</v>
      </c>
      <c r="B52">
        <v>473</v>
      </c>
      <c r="C52">
        <v>0.57310000000000005</v>
      </c>
      <c r="E52">
        <f t="shared" si="3"/>
        <v>200000000</v>
      </c>
      <c r="F52">
        <f t="shared" si="1"/>
        <v>473</v>
      </c>
      <c r="G52">
        <f t="shared" si="2"/>
        <v>573.10000000000014</v>
      </c>
    </row>
    <row r="53" spans="1:7" x14ac:dyDescent="0.35">
      <c r="A53">
        <v>300</v>
      </c>
      <c r="B53">
        <v>473</v>
      </c>
      <c r="C53">
        <v>0.62180000000000002</v>
      </c>
      <c r="E53">
        <f t="shared" si="3"/>
        <v>300000000</v>
      </c>
      <c r="F53">
        <f t="shared" si="1"/>
        <v>473</v>
      </c>
      <c r="G53">
        <f t="shared" si="2"/>
        <v>621.80000000000007</v>
      </c>
    </row>
    <row r="54" spans="1:7" x14ac:dyDescent="0.35">
      <c r="A54">
        <v>400</v>
      </c>
      <c r="B54">
        <v>473</v>
      </c>
      <c r="C54">
        <v>0.65600000000000003</v>
      </c>
      <c r="E54">
        <f t="shared" si="3"/>
        <v>400000000</v>
      </c>
      <c r="F54">
        <f t="shared" si="1"/>
        <v>473</v>
      </c>
      <c r="G54">
        <f t="shared" si="2"/>
        <v>656</v>
      </c>
    </row>
    <row r="55" spans="1:7" x14ac:dyDescent="0.35">
      <c r="A55">
        <v>500</v>
      </c>
      <c r="B55">
        <v>473</v>
      </c>
      <c r="C55">
        <v>0.68459999999999999</v>
      </c>
      <c r="E55">
        <f t="shared" si="3"/>
        <v>500000000</v>
      </c>
      <c r="F55">
        <f t="shared" si="1"/>
        <v>473</v>
      </c>
      <c r="G55">
        <f t="shared" si="2"/>
        <v>684.6</v>
      </c>
    </row>
    <row r="56" spans="1:7" x14ac:dyDescent="0.35">
      <c r="A56">
        <v>600</v>
      </c>
      <c r="B56">
        <v>473</v>
      </c>
      <c r="C56">
        <v>0.70740000000000003</v>
      </c>
      <c r="E56">
        <f t="shared" si="3"/>
        <v>600000000</v>
      </c>
      <c r="F56">
        <f t="shared" si="1"/>
        <v>473</v>
      </c>
      <c r="G56">
        <f t="shared" si="2"/>
        <v>707.40000000000009</v>
      </c>
    </row>
    <row r="57" spans="1:7" x14ac:dyDescent="0.35">
      <c r="A57">
        <v>700</v>
      </c>
      <c r="B57">
        <v>473</v>
      </c>
      <c r="C57">
        <v>0.72589999999999999</v>
      </c>
      <c r="E57">
        <f t="shared" si="3"/>
        <v>700000000</v>
      </c>
      <c r="F57">
        <f t="shared" si="1"/>
        <v>473</v>
      </c>
      <c r="G57">
        <f t="shared" si="2"/>
        <v>725.9</v>
      </c>
    </row>
    <row r="58" spans="1:7" x14ac:dyDescent="0.35">
      <c r="A58">
        <v>800</v>
      </c>
      <c r="B58">
        <v>473</v>
      </c>
      <c r="C58">
        <v>0.74350000000000005</v>
      </c>
      <c r="E58">
        <f t="shared" si="3"/>
        <v>800000000</v>
      </c>
      <c r="F58">
        <f t="shared" si="1"/>
        <v>473</v>
      </c>
      <c r="G58">
        <f t="shared" si="2"/>
        <v>743.5</v>
      </c>
    </row>
    <row r="59" spans="1:7" x14ac:dyDescent="0.35">
      <c r="A59">
        <v>900</v>
      </c>
      <c r="B59">
        <v>473</v>
      </c>
      <c r="C59">
        <v>0.75600000000000001</v>
      </c>
      <c r="E59">
        <f t="shared" si="3"/>
        <v>900000000</v>
      </c>
      <c r="F59">
        <f t="shared" si="1"/>
        <v>473</v>
      </c>
      <c r="G59">
        <f t="shared" si="2"/>
        <v>756</v>
      </c>
    </row>
    <row r="60" spans="1:7" x14ac:dyDescent="0.35">
      <c r="A60">
        <v>100</v>
      </c>
      <c r="B60">
        <v>523</v>
      </c>
      <c r="C60">
        <v>0.44030000000000002</v>
      </c>
      <c r="E60">
        <f t="shared" si="3"/>
        <v>100000000</v>
      </c>
      <c r="F60">
        <f t="shared" si="1"/>
        <v>523</v>
      </c>
      <c r="G60">
        <f t="shared" si="2"/>
        <v>440.3</v>
      </c>
    </row>
    <row r="61" spans="1:7" x14ac:dyDescent="0.35">
      <c r="A61">
        <v>150</v>
      </c>
      <c r="B61">
        <v>523</v>
      </c>
      <c r="C61">
        <v>0.49930000000000002</v>
      </c>
      <c r="E61">
        <f t="shared" si="3"/>
        <v>150000000</v>
      </c>
      <c r="F61">
        <f t="shared" si="1"/>
        <v>523</v>
      </c>
      <c r="G61">
        <f t="shared" si="2"/>
        <v>499.30000000000007</v>
      </c>
    </row>
    <row r="62" spans="1:7" x14ac:dyDescent="0.35">
      <c r="A62">
        <v>200</v>
      </c>
      <c r="B62">
        <v>523</v>
      </c>
      <c r="C62">
        <v>0.53839999999999999</v>
      </c>
      <c r="E62">
        <f t="shared" si="3"/>
        <v>200000000</v>
      </c>
      <c r="F62">
        <f t="shared" si="1"/>
        <v>523</v>
      </c>
      <c r="G62">
        <f t="shared" si="2"/>
        <v>538.4</v>
      </c>
    </row>
    <row r="63" spans="1:7" x14ac:dyDescent="0.35">
      <c r="A63">
        <v>300</v>
      </c>
      <c r="B63">
        <v>523</v>
      </c>
      <c r="C63">
        <v>0.59370000000000001</v>
      </c>
      <c r="E63">
        <f t="shared" si="3"/>
        <v>300000000</v>
      </c>
      <c r="F63">
        <f t="shared" si="1"/>
        <v>523</v>
      </c>
      <c r="G63">
        <f t="shared" si="2"/>
        <v>593.70000000000005</v>
      </c>
    </row>
    <row r="64" spans="1:7" x14ac:dyDescent="0.35">
      <c r="A64">
        <v>400</v>
      </c>
      <c r="B64">
        <v>523</v>
      </c>
      <c r="C64">
        <v>0.63439999999999996</v>
      </c>
      <c r="E64">
        <f t="shared" si="3"/>
        <v>400000000</v>
      </c>
      <c r="F64">
        <f t="shared" si="1"/>
        <v>523</v>
      </c>
      <c r="G64">
        <f t="shared" si="2"/>
        <v>634.4</v>
      </c>
    </row>
    <row r="65" spans="1:7" x14ac:dyDescent="0.35">
      <c r="A65">
        <v>500</v>
      </c>
      <c r="B65">
        <v>523</v>
      </c>
      <c r="C65">
        <v>0.66949999999999998</v>
      </c>
      <c r="E65">
        <f t="shared" si="3"/>
        <v>500000000</v>
      </c>
      <c r="F65">
        <f t="shared" si="1"/>
        <v>523</v>
      </c>
      <c r="G65">
        <f t="shared" si="2"/>
        <v>669.5</v>
      </c>
    </row>
    <row r="66" spans="1:7" x14ac:dyDescent="0.35">
      <c r="A66">
        <v>600</v>
      </c>
      <c r="B66">
        <v>523</v>
      </c>
      <c r="C66">
        <v>0.69950000000000001</v>
      </c>
      <c r="E66">
        <f t="shared" ref="E66:E99" si="4">A66*1000000</f>
        <v>600000000</v>
      </c>
      <c r="F66">
        <f t="shared" si="1"/>
        <v>523</v>
      </c>
      <c r="G66">
        <f t="shared" si="2"/>
        <v>699.5</v>
      </c>
    </row>
    <row r="67" spans="1:7" x14ac:dyDescent="0.35">
      <c r="A67">
        <v>700</v>
      </c>
      <c r="B67">
        <v>523</v>
      </c>
      <c r="C67">
        <v>0.72660000000000002</v>
      </c>
      <c r="E67">
        <f t="shared" si="4"/>
        <v>700000000</v>
      </c>
      <c r="F67">
        <f t="shared" ref="F67:F99" si="5">B67</f>
        <v>523</v>
      </c>
      <c r="G67">
        <f t="shared" ref="G67:G99" si="6">C67*0.001*1000000</f>
        <v>726.6</v>
      </c>
    </row>
    <row r="68" spans="1:7" x14ac:dyDescent="0.35">
      <c r="A68">
        <v>800</v>
      </c>
      <c r="B68">
        <v>523</v>
      </c>
      <c r="C68">
        <v>0.75139999999999996</v>
      </c>
      <c r="E68">
        <f t="shared" si="4"/>
        <v>800000000</v>
      </c>
      <c r="F68">
        <f t="shared" si="5"/>
        <v>523</v>
      </c>
      <c r="G68">
        <f t="shared" si="6"/>
        <v>751.4</v>
      </c>
    </row>
    <row r="69" spans="1:7" x14ac:dyDescent="0.35">
      <c r="A69">
        <v>150</v>
      </c>
      <c r="B69">
        <v>573</v>
      </c>
      <c r="C69">
        <v>0.46129999999999999</v>
      </c>
      <c r="E69">
        <f t="shared" si="4"/>
        <v>150000000</v>
      </c>
      <c r="F69">
        <f t="shared" si="5"/>
        <v>573</v>
      </c>
      <c r="G69">
        <f t="shared" si="6"/>
        <v>461.3</v>
      </c>
    </row>
    <row r="70" spans="1:7" x14ac:dyDescent="0.35">
      <c r="A70">
        <v>200</v>
      </c>
      <c r="B70">
        <v>573</v>
      </c>
      <c r="C70">
        <v>0.504</v>
      </c>
      <c r="E70">
        <f t="shared" si="4"/>
        <v>200000000</v>
      </c>
      <c r="F70">
        <f t="shared" si="5"/>
        <v>573</v>
      </c>
      <c r="G70">
        <f t="shared" si="6"/>
        <v>504</v>
      </c>
    </row>
    <row r="71" spans="1:7" x14ac:dyDescent="0.35">
      <c r="A71">
        <v>300</v>
      </c>
      <c r="B71">
        <v>573</v>
      </c>
      <c r="C71">
        <v>0.56430000000000002</v>
      </c>
      <c r="E71">
        <f t="shared" si="4"/>
        <v>300000000</v>
      </c>
      <c r="F71">
        <f t="shared" si="5"/>
        <v>573</v>
      </c>
      <c r="G71">
        <f t="shared" si="6"/>
        <v>564.29999999999995</v>
      </c>
    </row>
    <row r="72" spans="1:7" x14ac:dyDescent="0.35">
      <c r="A72">
        <v>400</v>
      </c>
      <c r="B72">
        <v>573</v>
      </c>
      <c r="C72">
        <v>0.60770000000000002</v>
      </c>
      <c r="E72">
        <f t="shared" si="4"/>
        <v>400000000</v>
      </c>
      <c r="F72">
        <f t="shared" si="5"/>
        <v>573</v>
      </c>
      <c r="G72">
        <f t="shared" si="6"/>
        <v>607.70000000000005</v>
      </c>
    </row>
    <row r="73" spans="1:7" x14ac:dyDescent="0.35">
      <c r="A73">
        <v>500</v>
      </c>
      <c r="B73">
        <v>573</v>
      </c>
      <c r="C73">
        <v>0.64249999999999996</v>
      </c>
      <c r="E73">
        <f t="shared" si="4"/>
        <v>500000000</v>
      </c>
      <c r="F73">
        <f t="shared" si="5"/>
        <v>573</v>
      </c>
      <c r="G73">
        <f t="shared" si="6"/>
        <v>642.5</v>
      </c>
    </row>
    <row r="74" spans="1:7" x14ac:dyDescent="0.35">
      <c r="A74">
        <v>600</v>
      </c>
      <c r="B74">
        <v>573</v>
      </c>
      <c r="C74">
        <v>0.67210000000000003</v>
      </c>
      <c r="E74">
        <f t="shared" si="4"/>
        <v>600000000</v>
      </c>
      <c r="F74">
        <f t="shared" si="5"/>
        <v>573</v>
      </c>
      <c r="G74">
        <f t="shared" si="6"/>
        <v>672.1</v>
      </c>
    </row>
    <row r="75" spans="1:7" x14ac:dyDescent="0.35">
      <c r="A75">
        <v>700</v>
      </c>
      <c r="B75">
        <v>573</v>
      </c>
      <c r="C75">
        <v>0.69720000000000004</v>
      </c>
      <c r="E75">
        <f t="shared" si="4"/>
        <v>700000000</v>
      </c>
      <c r="F75">
        <f t="shared" si="5"/>
        <v>573</v>
      </c>
      <c r="G75">
        <f t="shared" si="6"/>
        <v>697.2</v>
      </c>
    </row>
    <row r="76" spans="1:7" x14ac:dyDescent="0.35">
      <c r="A76">
        <v>800</v>
      </c>
      <c r="B76">
        <v>573</v>
      </c>
      <c r="C76">
        <v>0.72</v>
      </c>
      <c r="E76">
        <f t="shared" si="4"/>
        <v>800000000</v>
      </c>
      <c r="F76">
        <f t="shared" si="5"/>
        <v>573</v>
      </c>
      <c r="G76">
        <f t="shared" si="6"/>
        <v>719.99999999999989</v>
      </c>
    </row>
    <row r="77" spans="1:7" x14ac:dyDescent="0.35">
      <c r="A77">
        <v>150</v>
      </c>
      <c r="B77">
        <v>623</v>
      </c>
      <c r="C77">
        <v>0.42559999999999998</v>
      </c>
      <c r="E77">
        <f t="shared" si="4"/>
        <v>150000000</v>
      </c>
      <c r="F77">
        <f t="shared" si="5"/>
        <v>623</v>
      </c>
      <c r="G77">
        <f t="shared" si="6"/>
        <v>425.59999999999997</v>
      </c>
    </row>
    <row r="78" spans="1:7" x14ac:dyDescent="0.35">
      <c r="A78">
        <v>200</v>
      </c>
      <c r="B78">
        <v>623</v>
      </c>
      <c r="C78">
        <v>0.47289999999999999</v>
      </c>
      <c r="E78">
        <f t="shared" si="4"/>
        <v>200000000</v>
      </c>
      <c r="F78">
        <f t="shared" si="5"/>
        <v>623</v>
      </c>
      <c r="G78">
        <f t="shared" si="6"/>
        <v>472.9</v>
      </c>
    </row>
    <row r="79" spans="1:7" x14ac:dyDescent="0.35">
      <c r="A79">
        <v>300</v>
      </c>
      <c r="B79">
        <v>623</v>
      </c>
      <c r="C79">
        <v>0.5383</v>
      </c>
      <c r="E79">
        <f t="shared" si="4"/>
        <v>300000000</v>
      </c>
      <c r="F79">
        <f t="shared" si="5"/>
        <v>623</v>
      </c>
      <c r="G79">
        <f t="shared" si="6"/>
        <v>538.30000000000007</v>
      </c>
    </row>
    <row r="80" spans="1:7" x14ac:dyDescent="0.35">
      <c r="A80">
        <v>400</v>
      </c>
      <c r="B80">
        <v>623</v>
      </c>
      <c r="C80">
        <v>0.58340000000000003</v>
      </c>
      <c r="E80">
        <f t="shared" si="4"/>
        <v>400000000</v>
      </c>
      <c r="F80">
        <f t="shared" si="5"/>
        <v>623</v>
      </c>
      <c r="G80">
        <f t="shared" si="6"/>
        <v>583.40000000000009</v>
      </c>
    </row>
    <row r="81" spans="1:7" x14ac:dyDescent="0.35">
      <c r="A81">
        <v>500</v>
      </c>
      <c r="B81">
        <v>623</v>
      </c>
      <c r="C81">
        <v>0.61860000000000004</v>
      </c>
      <c r="E81">
        <f t="shared" si="4"/>
        <v>500000000</v>
      </c>
      <c r="F81">
        <f t="shared" si="5"/>
        <v>623</v>
      </c>
      <c r="G81">
        <f t="shared" si="6"/>
        <v>618.6</v>
      </c>
    </row>
    <row r="82" spans="1:7" x14ac:dyDescent="0.35">
      <c r="A82">
        <v>600</v>
      </c>
      <c r="B82">
        <v>623</v>
      </c>
      <c r="C82">
        <v>0.64800000000000002</v>
      </c>
      <c r="E82">
        <f t="shared" si="4"/>
        <v>600000000</v>
      </c>
      <c r="F82">
        <f t="shared" si="5"/>
        <v>623</v>
      </c>
      <c r="G82">
        <f t="shared" si="6"/>
        <v>648</v>
      </c>
    </row>
    <row r="83" spans="1:7" x14ac:dyDescent="0.35">
      <c r="A83">
        <v>700</v>
      </c>
      <c r="B83">
        <v>623</v>
      </c>
      <c r="C83">
        <v>0.67230000000000001</v>
      </c>
      <c r="E83">
        <f t="shared" si="4"/>
        <v>700000000</v>
      </c>
      <c r="F83">
        <f t="shared" si="5"/>
        <v>623</v>
      </c>
      <c r="G83">
        <f t="shared" si="6"/>
        <v>672.30000000000007</v>
      </c>
    </row>
    <row r="84" spans="1:7" x14ac:dyDescent="0.35">
      <c r="A84">
        <v>800</v>
      </c>
      <c r="B84">
        <v>623</v>
      </c>
      <c r="C84">
        <v>0.69430000000000003</v>
      </c>
      <c r="E84">
        <f t="shared" si="4"/>
        <v>800000000</v>
      </c>
      <c r="F84">
        <f t="shared" si="5"/>
        <v>623</v>
      </c>
      <c r="G84">
        <f t="shared" si="6"/>
        <v>694.30000000000007</v>
      </c>
    </row>
    <row r="85" spans="1:7" x14ac:dyDescent="0.35">
      <c r="A85">
        <v>150</v>
      </c>
      <c r="B85">
        <v>673</v>
      </c>
      <c r="C85">
        <v>0.39029999999999998</v>
      </c>
      <c r="E85">
        <f t="shared" si="4"/>
        <v>150000000</v>
      </c>
      <c r="F85">
        <f t="shared" si="5"/>
        <v>673</v>
      </c>
      <c r="G85">
        <f t="shared" si="6"/>
        <v>390.3</v>
      </c>
    </row>
    <row r="86" spans="1:7" x14ac:dyDescent="0.35">
      <c r="A86">
        <v>200</v>
      </c>
      <c r="B86">
        <v>673</v>
      </c>
      <c r="C86">
        <v>0.44440000000000002</v>
      </c>
      <c r="E86">
        <f t="shared" si="4"/>
        <v>200000000</v>
      </c>
      <c r="F86">
        <f t="shared" si="5"/>
        <v>673</v>
      </c>
      <c r="G86">
        <f t="shared" si="6"/>
        <v>444.40000000000003</v>
      </c>
    </row>
    <row r="87" spans="1:7" x14ac:dyDescent="0.35">
      <c r="A87">
        <v>300</v>
      </c>
      <c r="B87">
        <v>673</v>
      </c>
      <c r="C87">
        <v>0.51160000000000005</v>
      </c>
      <c r="E87">
        <f t="shared" si="4"/>
        <v>300000000</v>
      </c>
      <c r="F87">
        <f t="shared" si="5"/>
        <v>673</v>
      </c>
      <c r="G87">
        <f t="shared" si="6"/>
        <v>511.60000000000008</v>
      </c>
    </row>
    <row r="88" spans="1:7" x14ac:dyDescent="0.35">
      <c r="A88">
        <v>400</v>
      </c>
      <c r="B88">
        <v>673</v>
      </c>
      <c r="C88">
        <v>0.56020000000000003</v>
      </c>
      <c r="E88">
        <f t="shared" si="4"/>
        <v>400000000</v>
      </c>
      <c r="F88">
        <f t="shared" si="5"/>
        <v>673</v>
      </c>
      <c r="G88">
        <f t="shared" si="6"/>
        <v>560.20000000000005</v>
      </c>
    </row>
    <row r="89" spans="1:7" x14ac:dyDescent="0.35">
      <c r="A89">
        <v>500</v>
      </c>
      <c r="B89">
        <v>673</v>
      </c>
      <c r="C89">
        <v>0.59760000000000002</v>
      </c>
      <c r="E89">
        <f t="shared" si="4"/>
        <v>500000000</v>
      </c>
      <c r="F89">
        <f t="shared" si="5"/>
        <v>673</v>
      </c>
      <c r="G89">
        <f t="shared" si="6"/>
        <v>597.6</v>
      </c>
    </row>
    <row r="90" spans="1:7" x14ac:dyDescent="0.35">
      <c r="A90">
        <v>600</v>
      </c>
      <c r="B90">
        <v>673</v>
      </c>
      <c r="C90">
        <v>0.628</v>
      </c>
      <c r="E90">
        <f t="shared" si="4"/>
        <v>600000000</v>
      </c>
      <c r="F90">
        <f t="shared" si="5"/>
        <v>673</v>
      </c>
      <c r="G90">
        <f t="shared" si="6"/>
        <v>628</v>
      </c>
    </row>
    <row r="91" spans="1:7" x14ac:dyDescent="0.35">
      <c r="A91">
        <v>700</v>
      </c>
      <c r="B91">
        <v>673</v>
      </c>
      <c r="C91">
        <v>0.65439999999999998</v>
      </c>
      <c r="E91">
        <f t="shared" si="4"/>
        <v>700000000</v>
      </c>
      <c r="F91">
        <f t="shared" si="5"/>
        <v>673</v>
      </c>
      <c r="G91">
        <f t="shared" si="6"/>
        <v>654.4</v>
      </c>
    </row>
    <row r="92" spans="1:7" x14ac:dyDescent="0.35">
      <c r="A92">
        <v>800</v>
      </c>
      <c r="B92">
        <v>673</v>
      </c>
      <c r="C92">
        <v>0.67649999999999999</v>
      </c>
      <c r="E92">
        <f t="shared" si="4"/>
        <v>800000000</v>
      </c>
      <c r="F92">
        <f t="shared" si="5"/>
        <v>673</v>
      </c>
      <c r="G92">
        <f t="shared" si="6"/>
        <v>676.5</v>
      </c>
    </row>
    <row r="93" spans="1:7" x14ac:dyDescent="0.35">
      <c r="A93">
        <v>200</v>
      </c>
      <c r="B93">
        <v>723</v>
      </c>
      <c r="C93">
        <v>0.41760000000000003</v>
      </c>
      <c r="E93">
        <f t="shared" si="4"/>
        <v>200000000</v>
      </c>
      <c r="F93">
        <f t="shared" si="5"/>
        <v>723</v>
      </c>
      <c r="G93">
        <f t="shared" si="6"/>
        <v>417.6</v>
      </c>
    </row>
    <row r="94" spans="1:7" x14ac:dyDescent="0.35">
      <c r="A94">
        <v>300</v>
      </c>
      <c r="B94">
        <v>723</v>
      </c>
      <c r="C94">
        <v>0.4889</v>
      </c>
      <c r="E94">
        <f t="shared" si="4"/>
        <v>300000000</v>
      </c>
      <c r="F94">
        <f t="shared" si="5"/>
        <v>723</v>
      </c>
      <c r="G94">
        <f t="shared" si="6"/>
        <v>488.90000000000003</v>
      </c>
    </row>
    <row r="95" spans="1:7" x14ac:dyDescent="0.35">
      <c r="A95">
        <v>400</v>
      </c>
      <c r="B95">
        <v>723</v>
      </c>
      <c r="C95">
        <v>0.53869999999999996</v>
      </c>
      <c r="E95">
        <f t="shared" si="4"/>
        <v>400000000</v>
      </c>
      <c r="F95">
        <f t="shared" si="5"/>
        <v>723</v>
      </c>
      <c r="G95">
        <f t="shared" si="6"/>
        <v>538.69999999999993</v>
      </c>
    </row>
    <row r="96" spans="1:7" x14ac:dyDescent="0.35">
      <c r="A96">
        <v>500</v>
      </c>
      <c r="B96">
        <v>723</v>
      </c>
      <c r="C96">
        <v>0.57699999999999996</v>
      </c>
      <c r="E96">
        <f t="shared" si="4"/>
        <v>500000000</v>
      </c>
      <c r="F96">
        <f t="shared" si="5"/>
        <v>723</v>
      </c>
      <c r="G96">
        <f t="shared" si="6"/>
        <v>576.99999999999989</v>
      </c>
    </row>
    <row r="97" spans="1:7" x14ac:dyDescent="0.35">
      <c r="A97">
        <v>600</v>
      </c>
      <c r="B97">
        <v>723</v>
      </c>
      <c r="C97">
        <v>0.60860000000000003</v>
      </c>
      <c r="E97">
        <f t="shared" si="4"/>
        <v>600000000</v>
      </c>
      <c r="F97">
        <f t="shared" si="5"/>
        <v>723</v>
      </c>
      <c r="G97">
        <f t="shared" si="6"/>
        <v>608.6</v>
      </c>
    </row>
    <row r="98" spans="1:7" x14ac:dyDescent="0.35">
      <c r="A98">
        <v>700</v>
      </c>
      <c r="B98">
        <v>723</v>
      </c>
      <c r="C98">
        <v>0.63439999999999996</v>
      </c>
      <c r="E98">
        <f t="shared" si="4"/>
        <v>700000000</v>
      </c>
      <c r="F98">
        <f t="shared" si="5"/>
        <v>723</v>
      </c>
      <c r="G98">
        <f t="shared" si="6"/>
        <v>634.4</v>
      </c>
    </row>
    <row r="99" spans="1:7" x14ac:dyDescent="0.35">
      <c r="A99">
        <v>800</v>
      </c>
      <c r="B99">
        <v>723</v>
      </c>
      <c r="C99">
        <v>0.65790000000000004</v>
      </c>
      <c r="E99">
        <f t="shared" si="4"/>
        <v>800000000</v>
      </c>
      <c r="F99">
        <f t="shared" si="5"/>
        <v>723</v>
      </c>
      <c r="G99">
        <f t="shared" si="6"/>
        <v>657.90000000000009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FF60-D8D8-4B8E-8113-82C5C1C14316}">
  <dimension ref="A1:G23"/>
  <sheetViews>
    <sheetView workbookViewId="0">
      <selection activeCell="E35" sqref="E35"/>
    </sheetView>
  </sheetViews>
  <sheetFormatPr defaultRowHeight="14.5" x14ac:dyDescent="0.35"/>
  <cols>
    <col min="1" max="1" width="7" bestFit="1" customWidth="1"/>
    <col min="2" max="2" width="6.7265625" bestFit="1" customWidth="1"/>
    <col min="3" max="3" width="8" bestFit="1" customWidth="1"/>
  </cols>
  <sheetData>
    <row r="1" spans="1:7" x14ac:dyDescent="0.35">
      <c r="A1" t="s">
        <v>20</v>
      </c>
      <c r="B1" t="s">
        <v>4</v>
      </c>
      <c r="C1" t="s">
        <v>28</v>
      </c>
      <c r="E1" t="s">
        <v>7</v>
      </c>
      <c r="F1" t="s">
        <v>8</v>
      </c>
      <c r="G1" t="s">
        <v>9</v>
      </c>
    </row>
    <row r="2" spans="1:7" x14ac:dyDescent="0.35">
      <c r="A2">
        <v>0.5796</v>
      </c>
      <c r="B2">
        <v>44.75</v>
      </c>
      <c r="C2">
        <v>84.293999999999997</v>
      </c>
      <c r="E2">
        <f>C2*100000</f>
        <v>8429400</v>
      </c>
      <c r="F2">
        <f>B2+273.15</f>
        <v>317.89999999999998</v>
      </c>
      <c r="G2">
        <f>A2*0.001*1000000</f>
        <v>579.6</v>
      </c>
    </row>
    <row r="3" spans="1:7" x14ac:dyDescent="0.35">
      <c r="A3">
        <v>0.57940000000000003</v>
      </c>
      <c r="B3">
        <v>50.58</v>
      </c>
      <c r="C3">
        <v>163.233</v>
      </c>
      <c r="E3">
        <f t="shared" ref="E3:E23" si="0">C3*100000</f>
        <v>16323300</v>
      </c>
      <c r="F3">
        <f t="shared" ref="F3:F23" si="1">B3+273.15</f>
        <v>323.72999999999996</v>
      </c>
      <c r="G3">
        <f t="shared" ref="G3:G23" si="2">A3*0.001*1000000</f>
        <v>579.4</v>
      </c>
    </row>
    <row r="4" spans="1:7" x14ac:dyDescent="0.35">
      <c r="A4">
        <v>0.57940000000000003</v>
      </c>
      <c r="B4">
        <v>50.61</v>
      </c>
      <c r="C4">
        <v>163.512</v>
      </c>
      <c r="E4">
        <f t="shared" si="0"/>
        <v>16351200</v>
      </c>
      <c r="F4">
        <f t="shared" si="1"/>
        <v>323.76</v>
      </c>
      <c r="G4">
        <f t="shared" si="2"/>
        <v>579.4</v>
      </c>
    </row>
    <row r="5" spans="1:7" x14ac:dyDescent="0.35">
      <c r="A5">
        <v>0.57920000000000005</v>
      </c>
      <c r="B5">
        <v>55.3</v>
      </c>
      <c r="C5">
        <v>226.709</v>
      </c>
      <c r="E5">
        <f t="shared" si="0"/>
        <v>22670900</v>
      </c>
      <c r="F5">
        <f t="shared" si="1"/>
        <v>328.45</v>
      </c>
      <c r="G5">
        <f t="shared" si="2"/>
        <v>579.20000000000005</v>
      </c>
    </row>
    <row r="6" spans="1:7" x14ac:dyDescent="0.35">
      <c r="A6">
        <v>0.57899999999999996</v>
      </c>
      <c r="B6">
        <v>60.02</v>
      </c>
      <c r="C6">
        <v>289.56900000000002</v>
      </c>
      <c r="E6">
        <f t="shared" si="0"/>
        <v>28956900</v>
      </c>
      <c r="F6">
        <f t="shared" si="1"/>
        <v>333.16999999999996</v>
      </c>
      <c r="G6">
        <f t="shared" si="2"/>
        <v>579</v>
      </c>
    </row>
    <row r="7" spans="1:7" x14ac:dyDescent="0.35">
      <c r="A7">
        <v>0.57879999999999998</v>
      </c>
      <c r="B7">
        <v>64.63</v>
      </c>
      <c r="C7">
        <v>352.27800000000002</v>
      </c>
      <c r="E7">
        <f t="shared" si="0"/>
        <v>35227800</v>
      </c>
      <c r="F7">
        <f t="shared" si="1"/>
        <v>337.78</v>
      </c>
      <c r="G7">
        <f t="shared" si="2"/>
        <v>578.79999999999995</v>
      </c>
    </row>
    <row r="8" spans="1:7" x14ac:dyDescent="0.35">
      <c r="A8">
        <v>0.61970000000000003</v>
      </c>
      <c r="B8">
        <v>15.29</v>
      </c>
      <c r="C8">
        <v>45.25</v>
      </c>
      <c r="E8">
        <f t="shared" si="0"/>
        <v>4525000</v>
      </c>
      <c r="F8">
        <f t="shared" si="1"/>
        <v>288.44</v>
      </c>
      <c r="G8">
        <f t="shared" si="2"/>
        <v>619.70000000000005</v>
      </c>
    </row>
    <row r="9" spans="1:7" x14ac:dyDescent="0.35">
      <c r="A9">
        <v>0.61950000000000005</v>
      </c>
      <c r="B9">
        <v>20.48</v>
      </c>
      <c r="C9">
        <v>131.44800000000001</v>
      </c>
      <c r="E9">
        <f t="shared" si="0"/>
        <v>13144800</v>
      </c>
      <c r="F9">
        <f t="shared" si="1"/>
        <v>293.63</v>
      </c>
      <c r="G9">
        <f t="shared" si="2"/>
        <v>619.5</v>
      </c>
    </row>
    <row r="10" spans="1:7" x14ac:dyDescent="0.35">
      <c r="A10">
        <v>0.61919999999999997</v>
      </c>
      <c r="B10">
        <v>25.39</v>
      </c>
      <c r="C10">
        <v>212.84</v>
      </c>
      <c r="E10">
        <f t="shared" si="0"/>
        <v>21284000</v>
      </c>
      <c r="F10">
        <f t="shared" si="1"/>
        <v>298.53999999999996</v>
      </c>
      <c r="G10">
        <f t="shared" si="2"/>
        <v>619.19999999999993</v>
      </c>
    </row>
    <row r="11" spans="1:7" x14ac:dyDescent="0.35">
      <c r="A11">
        <v>0.61899999999999999</v>
      </c>
      <c r="B11">
        <v>30.14</v>
      </c>
      <c r="C11">
        <v>291.26799999999997</v>
      </c>
      <c r="E11">
        <f t="shared" si="0"/>
        <v>29126799.999999996</v>
      </c>
      <c r="F11">
        <f t="shared" si="1"/>
        <v>303.28999999999996</v>
      </c>
      <c r="G11">
        <f t="shared" si="2"/>
        <v>619</v>
      </c>
    </row>
    <row r="12" spans="1:7" x14ac:dyDescent="0.35">
      <c r="A12">
        <v>0.61899999999999999</v>
      </c>
      <c r="B12">
        <v>30.47</v>
      </c>
      <c r="C12">
        <v>296.947</v>
      </c>
      <c r="E12">
        <f t="shared" si="0"/>
        <v>29694700</v>
      </c>
      <c r="F12">
        <f t="shared" si="1"/>
        <v>303.62</v>
      </c>
      <c r="G12">
        <f t="shared" si="2"/>
        <v>619</v>
      </c>
    </row>
    <row r="13" spans="1:7" x14ac:dyDescent="0.35">
      <c r="A13">
        <v>0.61899999999999999</v>
      </c>
      <c r="B13">
        <v>30.48</v>
      </c>
      <c r="C13">
        <v>296.71899999999999</v>
      </c>
      <c r="E13">
        <f t="shared" si="0"/>
        <v>29671900</v>
      </c>
      <c r="F13">
        <f t="shared" si="1"/>
        <v>303.63</v>
      </c>
      <c r="G13">
        <f t="shared" si="2"/>
        <v>619</v>
      </c>
    </row>
    <row r="14" spans="1:7" x14ac:dyDescent="0.35">
      <c r="A14">
        <v>0.61880000000000002</v>
      </c>
      <c r="B14">
        <v>35.119999999999997</v>
      </c>
      <c r="C14">
        <v>372.90800000000002</v>
      </c>
      <c r="E14">
        <f t="shared" si="0"/>
        <v>37290800</v>
      </c>
      <c r="F14">
        <f t="shared" si="1"/>
        <v>308.27</v>
      </c>
      <c r="G14">
        <f t="shared" si="2"/>
        <v>618.80000000000007</v>
      </c>
    </row>
    <row r="15" spans="1:7" x14ac:dyDescent="0.35">
      <c r="A15">
        <v>0.66110000000000002</v>
      </c>
      <c r="B15">
        <v>-12.57</v>
      </c>
      <c r="C15">
        <v>105.063</v>
      </c>
      <c r="E15">
        <f t="shared" si="0"/>
        <v>10506300</v>
      </c>
      <c r="F15">
        <f t="shared" si="1"/>
        <v>260.58</v>
      </c>
      <c r="G15">
        <f t="shared" si="2"/>
        <v>661.1</v>
      </c>
    </row>
    <row r="16" spans="1:7" x14ac:dyDescent="0.35">
      <c r="A16">
        <v>0.66090000000000004</v>
      </c>
      <c r="B16">
        <v>-9.23</v>
      </c>
      <c r="C16">
        <v>173.8</v>
      </c>
      <c r="E16">
        <f t="shared" si="0"/>
        <v>17380000</v>
      </c>
      <c r="F16">
        <f t="shared" si="1"/>
        <v>263.91999999999996</v>
      </c>
      <c r="G16">
        <f t="shared" si="2"/>
        <v>660.90000000000009</v>
      </c>
    </row>
    <row r="17" spans="1:7" x14ac:dyDescent="0.35">
      <c r="A17">
        <v>0.66059999999999997</v>
      </c>
      <c r="B17">
        <v>-4.18</v>
      </c>
      <c r="C17">
        <v>275.92399999999998</v>
      </c>
      <c r="E17">
        <f t="shared" si="0"/>
        <v>27592399.999999996</v>
      </c>
      <c r="F17">
        <f t="shared" si="1"/>
        <v>268.96999999999997</v>
      </c>
      <c r="G17">
        <f t="shared" si="2"/>
        <v>660.6</v>
      </c>
    </row>
    <row r="18" spans="1:7" x14ac:dyDescent="0.35">
      <c r="A18">
        <v>0.66039999999999999</v>
      </c>
      <c r="B18">
        <v>-0.28999999999999998</v>
      </c>
      <c r="C18">
        <v>353.48</v>
      </c>
      <c r="E18">
        <f t="shared" si="0"/>
        <v>35348000</v>
      </c>
      <c r="F18">
        <f t="shared" si="1"/>
        <v>272.85999999999996</v>
      </c>
      <c r="G18">
        <f t="shared" si="2"/>
        <v>660.4</v>
      </c>
    </row>
    <row r="19" spans="1:7" x14ac:dyDescent="0.35">
      <c r="A19">
        <v>0.70320000000000005</v>
      </c>
      <c r="B19">
        <v>-49.4</v>
      </c>
      <c r="C19">
        <v>49.671999999999997</v>
      </c>
      <c r="E19">
        <f t="shared" si="0"/>
        <v>4967200</v>
      </c>
      <c r="F19">
        <f t="shared" si="1"/>
        <v>223.74999999999997</v>
      </c>
      <c r="G19">
        <f t="shared" si="2"/>
        <v>703.2</v>
      </c>
    </row>
    <row r="20" spans="1:7" x14ac:dyDescent="0.35">
      <c r="A20">
        <v>0.70299999999999996</v>
      </c>
      <c r="B20">
        <v>-47.79</v>
      </c>
      <c r="C20">
        <v>89.710999999999999</v>
      </c>
      <c r="E20">
        <f t="shared" si="0"/>
        <v>8971100</v>
      </c>
      <c r="F20">
        <f t="shared" si="1"/>
        <v>225.35999999999999</v>
      </c>
      <c r="G20">
        <f t="shared" si="2"/>
        <v>703</v>
      </c>
    </row>
    <row r="21" spans="1:7" x14ac:dyDescent="0.35">
      <c r="A21">
        <v>0.70279999999999998</v>
      </c>
      <c r="B21">
        <v>-44.25</v>
      </c>
      <c r="C21">
        <v>179.494</v>
      </c>
      <c r="E21">
        <f t="shared" si="0"/>
        <v>17949400</v>
      </c>
      <c r="F21">
        <f t="shared" si="1"/>
        <v>228.89999999999998</v>
      </c>
      <c r="G21">
        <f t="shared" si="2"/>
        <v>702.8</v>
      </c>
    </row>
    <row r="22" spans="1:7" x14ac:dyDescent="0.35">
      <c r="A22">
        <v>0.7026</v>
      </c>
      <c r="B22">
        <v>-40.74</v>
      </c>
      <c r="C22">
        <v>266.41699999999997</v>
      </c>
      <c r="E22">
        <f t="shared" si="0"/>
        <v>26641699.999999996</v>
      </c>
      <c r="F22">
        <f t="shared" si="1"/>
        <v>232.40999999999997</v>
      </c>
      <c r="G22">
        <f t="shared" si="2"/>
        <v>702.6</v>
      </c>
    </row>
    <row r="23" spans="1:7" x14ac:dyDescent="0.35">
      <c r="A23">
        <v>0.70240000000000002</v>
      </c>
      <c r="B23">
        <v>-37.799999999999997</v>
      </c>
      <c r="C23">
        <v>339.02800000000002</v>
      </c>
      <c r="E23">
        <f t="shared" si="0"/>
        <v>33902800</v>
      </c>
      <c r="F23">
        <f t="shared" si="1"/>
        <v>235.34999999999997</v>
      </c>
      <c r="G23">
        <f t="shared" si="2"/>
        <v>702.40000000000009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839C-3FE3-47D7-BB58-2CB35F757D09}">
  <dimension ref="A1:I15"/>
  <sheetViews>
    <sheetView workbookViewId="0">
      <selection activeCell="G2" sqref="G2"/>
    </sheetView>
  </sheetViews>
  <sheetFormatPr defaultRowHeight="14.5" x14ac:dyDescent="0.35"/>
  <cols>
    <col min="1" max="1" width="8.1796875" bestFit="1" customWidth="1"/>
    <col min="2" max="2" width="8" bestFit="1" customWidth="1"/>
    <col min="3" max="3" width="13.81640625" bestFit="1" customWidth="1"/>
  </cols>
  <sheetData>
    <row r="1" spans="1:9" x14ac:dyDescent="0.35">
      <c r="A1" t="s">
        <v>8</v>
      </c>
      <c r="B1" t="s">
        <v>29</v>
      </c>
      <c r="C1" t="s">
        <v>30</v>
      </c>
      <c r="E1" t="s">
        <v>0</v>
      </c>
      <c r="F1" t="s">
        <v>1</v>
      </c>
      <c r="G1" t="s">
        <v>2</v>
      </c>
      <c r="I1" t="s">
        <v>17</v>
      </c>
    </row>
    <row r="2" spans="1:9" x14ac:dyDescent="0.35">
      <c r="A2">
        <v>195.48</v>
      </c>
      <c r="B2">
        <v>6.0789999999999997</v>
      </c>
      <c r="C2">
        <v>23.204999999999998</v>
      </c>
      <c r="E2">
        <f>B2*1000</f>
        <v>6079</v>
      </c>
      <c r="F2">
        <f>A2</f>
        <v>195.48</v>
      </c>
      <c r="G2">
        <f>1/C2*$I$2*1000000</f>
        <v>733.91596638655483</v>
      </c>
      <c r="I2">
        <v>1.703052E-2</v>
      </c>
    </row>
    <row r="3" spans="1:9" x14ac:dyDescent="0.35">
      <c r="A3">
        <v>198.84</v>
      </c>
      <c r="B3">
        <v>7.915</v>
      </c>
      <c r="C3">
        <v>23.331</v>
      </c>
      <c r="E3">
        <f t="shared" ref="E3:E15" si="0">B3*1000</f>
        <v>7915</v>
      </c>
      <c r="F3">
        <f t="shared" ref="F3:F15" si="1">A3</f>
        <v>198.84</v>
      </c>
      <c r="G3">
        <f t="shared" ref="G3:G15" si="2">1/C3*$I$2*1000000</f>
        <v>729.95242381381001</v>
      </c>
    </row>
    <row r="4" spans="1:9" x14ac:dyDescent="0.35">
      <c r="A4">
        <v>200</v>
      </c>
      <c r="B4">
        <v>8.6489999999999991</v>
      </c>
      <c r="C4">
        <v>23.373999999999999</v>
      </c>
      <c r="E4">
        <f t="shared" si="0"/>
        <v>8649</v>
      </c>
      <c r="F4">
        <f t="shared" si="1"/>
        <v>200</v>
      </c>
      <c r="G4">
        <f t="shared" si="2"/>
        <v>728.60956618464968</v>
      </c>
    </row>
    <row r="5" spans="1:9" x14ac:dyDescent="0.35">
      <c r="A5">
        <v>210</v>
      </c>
      <c r="B5">
        <v>17.748999999999999</v>
      </c>
      <c r="C5">
        <v>23.753</v>
      </c>
      <c r="E5">
        <f t="shared" si="0"/>
        <v>17749</v>
      </c>
      <c r="F5">
        <f t="shared" si="1"/>
        <v>210</v>
      </c>
      <c r="G5">
        <f t="shared" si="2"/>
        <v>716.98395992085204</v>
      </c>
    </row>
    <row r="6" spans="1:9" x14ac:dyDescent="0.35">
      <c r="A6">
        <v>220</v>
      </c>
      <c r="B6">
        <v>33.814</v>
      </c>
      <c r="C6">
        <v>24.140999999999998</v>
      </c>
      <c r="E6">
        <f t="shared" si="0"/>
        <v>33814</v>
      </c>
      <c r="F6">
        <f t="shared" si="1"/>
        <v>220</v>
      </c>
      <c r="G6">
        <f t="shared" si="2"/>
        <v>705.46042003231025</v>
      </c>
    </row>
    <row r="7" spans="1:9" x14ac:dyDescent="0.35">
      <c r="A7">
        <v>230</v>
      </c>
      <c r="B7">
        <v>60.442</v>
      </c>
      <c r="C7">
        <v>24.547000000000001</v>
      </c>
      <c r="E7">
        <f t="shared" si="0"/>
        <v>60442</v>
      </c>
      <c r="F7">
        <f t="shared" si="1"/>
        <v>230</v>
      </c>
      <c r="G7">
        <f t="shared" si="2"/>
        <v>693.79231678005465</v>
      </c>
    </row>
    <row r="8" spans="1:9" x14ac:dyDescent="0.35">
      <c r="A8">
        <v>239.82</v>
      </c>
      <c r="B8">
        <v>101.324</v>
      </c>
      <c r="C8">
        <v>24.969000000000001</v>
      </c>
      <c r="E8">
        <f t="shared" si="0"/>
        <v>101324</v>
      </c>
      <c r="F8">
        <f t="shared" si="1"/>
        <v>239.82</v>
      </c>
      <c r="G8">
        <f t="shared" si="2"/>
        <v>682.06656253754659</v>
      </c>
    </row>
    <row r="9" spans="1:9" x14ac:dyDescent="0.35">
      <c r="A9">
        <v>240</v>
      </c>
      <c r="B9">
        <v>102.26300000000001</v>
      </c>
      <c r="C9">
        <v>24.977</v>
      </c>
      <c r="E9">
        <f t="shared" si="0"/>
        <v>102263</v>
      </c>
      <c r="F9">
        <f t="shared" si="1"/>
        <v>240</v>
      </c>
      <c r="G9">
        <f t="shared" si="2"/>
        <v>681.84810025223203</v>
      </c>
    </row>
    <row r="10" spans="1:9" x14ac:dyDescent="0.35">
      <c r="A10">
        <v>241.96</v>
      </c>
      <c r="B10">
        <v>112.71</v>
      </c>
      <c r="C10">
        <v>25.065000000000001</v>
      </c>
      <c r="E10">
        <f t="shared" si="0"/>
        <v>112710</v>
      </c>
      <c r="F10">
        <f t="shared" si="1"/>
        <v>241.96</v>
      </c>
      <c r="G10">
        <f t="shared" si="2"/>
        <v>679.45421903052068</v>
      </c>
    </row>
    <row r="11" spans="1:9" x14ac:dyDescent="0.35">
      <c r="A11">
        <v>250</v>
      </c>
      <c r="B11">
        <v>164.97</v>
      </c>
      <c r="C11">
        <v>25.437999999999999</v>
      </c>
      <c r="E11">
        <f t="shared" si="0"/>
        <v>164970</v>
      </c>
      <c r="F11">
        <f t="shared" si="1"/>
        <v>250</v>
      </c>
      <c r="G11">
        <f t="shared" si="2"/>
        <v>669.4913122100794</v>
      </c>
    </row>
    <row r="12" spans="1:9" x14ac:dyDescent="0.35">
      <c r="A12">
        <v>260</v>
      </c>
      <c r="B12">
        <v>255.31100000000001</v>
      </c>
      <c r="C12">
        <v>25.937000000000001</v>
      </c>
      <c r="E12">
        <f t="shared" si="0"/>
        <v>255311</v>
      </c>
      <c r="F12">
        <f t="shared" si="1"/>
        <v>260</v>
      </c>
      <c r="G12">
        <f t="shared" si="2"/>
        <v>656.61101900759525</v>
      </c>
    </row>
    <row r="13" spans="1:9" x14ac:dyDescent="0.35">
      <c r="A13">
        <v>270</v>
      </c>
      <c r="B13">
        <v>381.03800000000001</v>
      </c>
      <c r="C13">
        <v>26.481000000000002</v>
      </c>
      <c r="E13">
        <f t="shared" si="0"/>
        <v>381038</v>
      </c>
      <c r="F13">
        <f t="shared" si="1"/>
        <v>270</v>
      </c>
      <c r="G13">
        <f t="shared" si="2"/>
        <v>643.12223858615619</v>
      </c>
    </row>
    <row r="14" spans="1:9" x14ac:dyDescent="0.35">
      <c r="A14">
        <v>280</v>
      </c>
      <c r="B14">
        <v>550.82899999999995</v>
      </c>
      <c r="C14">
        <v>27.077000000000002</v>
      </c>
      <c r="E14">
        <f t="shared" si="0"/>
        <v>550829</v>
      </c>
      <c r="F14">
        <f t="shared" si="1"/>
        <v>280</v>
      </c>
      <c r="G14">
        <f t="shared" si="2"/>
        <v>628.96628134579157</v>
      </c>
    </row>
    <row r="15" spans="1:9" x14ac:dyDescent="0.35">
      <c r="A15">
        <v>290</v>
      </c>
      <c r="B15">
        <v>774.20899999999995</v>
      </c>
      <c r="C15">
        <v>27.731000000000002</v>
      </c>
      <c r="E15">
        <f t="shared" si="0"/>
        <v>774209</v>
      </c>
      <c r="F15">
        <f t="shared" si="1"/>
        <v>290</v>
      </c>
      <c r="G15">
        <f t="shared" si="2"/>
        <v>614.13291983700549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DB26-6BC7-4867-BA9F-3BE859DF13C1}">
  <dimension ref="A1:G27"/>
  <sheetViews>
    <sheetView workbookViewId="0">
      <selection activeCell="E2" sqref="E2:G27"/>
    </sheetView>
  </sheetViews>
  <sheetFormatPr defaultRowHeight="14.5" x14ac:dyDescent="0.35"/>
  <cols>
    <col min="2" max="2" width="8" bestFit="1" customWidth="1"/>
    <col min="3" max="3" width="7.453125" bestFit="1" customWidth="1"/>
    <col min="4" max="4" width="8" bestFit="1" customWidth="1"/>
  </cols>
  <sheetData>
    <row r="1" spans="1:7" x14ac:dyDescent="0.35">
      <c r="A1" t="s">
        <v>19</v>
      </c>
      <c r="B1" t="s">
        <v>8</v>
      </c>
      <c r="C1" t="s">
        <v>9</v>
      </c>
      <c r="E1" t="s">
        <v>0</v>
      </c>
      <c r="F1" t="s">
        <v>1</v>
      </c>
      <c r="G1" t="s">
        <v>2</v>
      </c>
    </row>
    <row r="2" spans="1:7" x14ac:dyDescent="0.35">
      <c r="A2">
        <v>11.3513</v>
      </c>
      <c r="B2">
        <v>405.55</v>
      </c>
      <c r="C2">
        <v>235.01</v>
      </c>
      <c r="E2">
        <f>A2*1000000</f>
        <v>11351300</v>
      </c>
      <c r="F2">
        <f>B2</f>
        <v>405.55</v>
      </c>
      <c r="G2">
        <f>C2</f>
        <v>235.01</v>
      </c>
    </row>
    <row r="3" spans="1:7" x14ac:dyDescent="0.35">
      <c r="A3">
        <v>11.354900000000001</v>
      </c>
      <c r="B3">
        <v>405.55</v>
      </c>
      <c r="C3">
        <v>249.99</v>
      </c>
      <c r="E3">
        <f t="shared" ref="E3:E27" si="0">A3*1000000</f>
        <v>11354900</v>
      </c>
      <c r="F3">
        <f t="shared" ref="F3:F27" si="1">B3</f>
        <v>405.55</v>
      </c>
      <c r="G3">
        <f t="shared" ref="G3:G27" si="2">C3</f>
        <v>249.99</v>
      </c>
    </row>
    <row r="4" spans="1:7" x14ac:dyDescent="0.35">
      <c r="A4">
        <v>11.3589</v>
      </c>
      <c r="B4">
        <v>405.55</v>
      </c>
      <c r="C4">
        <v>255.19</v>
      </c>
      <c r="E4">
        <f t="shared" si="0"/>
        <v>11358900</v>
      </c>
      <c r="F4">
        <f t="shared" si="1"/>
        <v>405.55</v>
      </c>
      <c r="G4">
        <f t="shared" si="2"/>
        <v>255.19</v>
      </c>
    </row>
    <row r="5" spans="1:7" x14ac:dyDescent="0.35">
      <c r="A5">
        <v>11.3558</v>
      </c>
      <c r="B5">
        <v>405.56</v>
      </c>
      <c r="C5">
        <v>241.93</v>
      </c>
      <c r="E5">
        <f t="shared" si="0"/>
        <v>11355800</v>
      </c>
      <c r="F5">
        <f t="shared" si="1"/>
        <v>405.56</v>
      </c>
      <c r="G5">
        <f t="shared" si="2"/>
        <v>241.93</v>
      </c>
    </row>
    <row r="6" spans="1:7" x14ac:dyDescent="0.35">
      <c r="A6">
        <v>11.3553</v>
      </c>
      <c r="B6">
        <v>405.56</v>
      </c>
      <c r="C6">
        <v>242.91</v>
      </c>
      <c r="E6">
        <f t="shared" si="0"/>
        <v>11355300</v>
      </c>
      <c r="F6">
        <f t="shared" si="1"/>
        <v>405.56</v>
      </c>
      <c r="G6">
        <f t="shared" si="2"/>
        <v>242.91</v>
      </c>
    </row>
    <row r="7" spans="1:7" x14ac:dyDescent="0.35">
      <c r="A7">
        <v>11.3592</v>
      </c>
      <c r="B7">
        <v>405.56</v>
      </c>
      <c r="C7">
        <v>244</v>
      </c>
      <c r="E7">
        <f t="shared" si="0"/>
        <v>11359200</v>
      </c>
      <c r="F7">
        <f t="shared" si="1"/>
        <v>405.56</v>
      </c>
      <c r="G7">
        <f t="shared" si="2"/>
        <v>244</v>
      </c>
    </row>
    <row r="8" spans="1:7" x14ac:dyDescent="0.35">
      <c r="A8">
        <v>11.355</v>
      </c>
      <c r="B8">
        <v>405.56</v>
      </c>
      <c r="C8">
        <v>244.06</v>
      </c>
      <c r="E8">
        <f t="shared" si="0"/>
        <v>11355000</v>
      </c>
      <c r="F8">
        <f t="shared" si="1"/>
        <v>405.56</v>
      </c>
      <c r="G8">
        <f t="shared" si="2"/>
        <v>244.06</v>
      </c>
    </row>
    <row r="9" spans="1:7" x14ac:dyDescent="0.35">
      <c r="A9">
        <v>11.3575</v>
      </c>
      <c r="B9">
        <v>405.56</v>
      </c>
      <c r="C9">
        <v>244.95</v>
      </c>
      <c r="E9">
        <f t="shared" si="0"/>
        <v>11357500</v>
      </c>
      <c r="F9">
        <f t="shared" si="1"/>
        <v>405.56</v>
      </c>
      <c r="G9">
        <f t="shared" si="2"/>
        <v>244.95</v>
      </c>
    </row>
    <row r="10" spans="1:7" x14ac:dyDescent="0.35">
      <c r="A10">
        <v>11.356199999999999</v>
      </c>
      <c r="B10">
        <v>405.565</v>
      </c>
      <c r="C10">
        <v>242.97</v>
      </c>
      <c r="E10">
        <f t="shared" si="0"/>
        <v>11356200</v>
      </c>
      <c r="F10">
        <f t="shared" si="1"/>
        <v>405.565</v>
      </c>
      <c r="G10">
        <f t="shared" si="2"/>
        <v>242.97</v>
      </c>
    </row>
    <row r="11" spans="1:7" x14ac:dyDescent="0.35">
      <c r="A11">
        <v>11.358000000000001</v>
      </c>
      <c r="B11">
        <v>405.565</v>
      </c>
      <c r="C11">
        <v>243.49</v>
      </c>
      <c r="E11">
        <f t="shared" si="0"/>
        <v>11358000</v>
      </c>
      <c r="F11">
        <f t="shared" si="1"/>
        <v>405.565</v>
      </c>
      <c r="G11">
        <f t="shared" si="2"/>
        <v>243.49</v>
      </c>
    </row>
    <row r="12" spans="1:7" x14ac:dyDescent="0.35">
      <c r="A12">
        <v>11.3574</v>
      </c>
      <c r="B12">
        <v>405.565</v>
      </c>
      <c r="C12">
        <v>244.01</v>
      </c>
      <c r="E12">
        <f t="shared" si="0"/>
        <v>11357400</v>
      </c>
      <c r="F12">
        <f t="shared" si="1"/>
        <v>405.565</v>
      </c>
      <c r="G12">
        <f t="shared" si="2"/>
        <v>244.01</v>
      </c>
    </row>
    <row r="13" spans="1:7" x14ac:dyDescent="0.35">
      <c r="A13">
        <v>11.360099999999999</v>
      </c>
      <c r="B13">
        <v>405.57</v>
      </c>
      <c r="C13">
        <v>241.94</v>
      </c>
      <c r="E13">
        <f t="shared" si="0"/>
        <v>11360100</v>
      </c>
      <c r="F13">
        <f t="shared" si="1"/>
        <v>405.57</v>
      </c>
      <c r="G13">
        <f t="shared" si="2"/>
        <v>241.94</v>
      </c>
    </row>
    <row r="14" spans="1:7" x14ac:dyDescent="0.35">
      <c r="A14">
        <v>11.370200000000001</v>
      </c>
      <c r="B14">
        <v>405.57</v>
      </c>
      <c r="C14">
        <v>242.83</v>
      </c>
      <c r="E14">
        <f t="shared" si="0"/>
        <v>11370200</v>
      </c>
      <c r="F14">
        <f t="shared" si="1"/>
        <v>405.57</v>
      </c>
      <c r="G14">
        <f t="shared" si="2"/>
        <v>242.83</v>
      </c>
    </row>
    <row r="15" spans="1:7" x14ac:dyDescent="0.35">
      <c r="A15">
        <v>11.357799999999999</v>
      </c>
      <c r="B15">
        <v>405.57</v>
      </c>
      <c r="C15">
        <v>242.95</v>
      </c>
      <c r="E15">
        <f t="shared" si="0"/>
        <v>11357800</v>
      </c>
      <c r="F15">
        <f t="shared" si="1"/>
        <v>405.57</v>
      </c>
      <c r="G15">
        <f t="shared" si="2"/>
        <v>242.95</v>
      </c>
    </row>
    <row r="16" spans="1:7" x14ac:dyDescent="0.35">
      <c r="A16">
        <v>11.3607</v>
      </c>
      <c r="B16">
        <v>405.57</v>
      </c>
      <c r="C16">
        <v>243.96</v>
      </c>
      <c r="E16">
        <f t="shared" si="0"/>
        <v>11360700</v>
      </c>
      <c r="F16">
        <f t="shared" si="1"/>
        <v>405.57</v>
      </c>
      <c r="G16">
        <f t="shared" si="2"/>
        <v>243.96</v>
      </c>
    </row>
    <row r="17" spans="1:7" x14ac:dyDescent="0.35">
      <c r="A17">
        <v>11.359500000000001</v>
      </c>
      <c r="B17">
        <v>405.57</v>
      </c>
      <c r="C17">
        <v>244.1</v>
      </c>
      <c r="E17">
        <f t="shared" si="0"/>
        <v>11359500</v>
      </c>
      <c r="F17">
        <f t="shared" si="1"/>
        <v>405.57</v>
      </c>
      <c r="G17">
        <f t="shared" si="2"/>
        <v>244.1</v>
      </c>
    </row>
    <row r="18" spans="1:7" x14ac:dyDescent="0.35">
      <c r="A18">
        <v>11.360300000000001</v>
      </c>
      <c r="B18">
        <v>405.57</v>
      </c>
      <c r="C18">
        <v>245.04</v>
      </c>
      <c r="E18">
        <f t="shared" si="0"/>
        <v>11360300</v>
      </c>
      <c r="F18">
        <f t="shared" si="1"/>
        <v>405.57</v>
      </c>
      <c r="G18">
        <f t="shared" si="2"/>
        <v>245.04</v>
      </c>
    </row>
    <row r="19" spans="1:7" x14ac:dyDescent="0.35">
      <c r="A19">
        <v>11.361599999999999</v>
      </c>
      <c r="B19">
        <v>405.58</v>
      </c>
      <c r="C19">
        <v>242.02</v>
      </c>
      <c r="E19">
        <f t="shared" si="0"/>
        <v>11361600</v>
      </c>
      <c r="F19">
        <f t="shared" si="1"/>
        <v>405.58</v>
      </c>
      <c r="G19">
        <f t="shared" si="2"/>
        <v>242.02</v>
      </c>
    </row>
    <row r="20" spans="1:7" x14ac:dyDescent="0.35">
      <c r="A20">
        <v>11.3599</v>
      </c>
      <c r="B20">
        <v>405.58</v>
      </c>
      <c r="C20">
        <v>243.01</v>
      </c>
      <c r="E20">
        <f t="shared" si="0"/>
        <v>11359900</v>
      </c>
      <c r="F20">
        <f t="shared" si="1"/>
        <v>405.58</v>
      </c>
      <c r="G20">
        <f t="shared" si="2"/>
        <v>243.01</v>
      </c>
    </row>
    <row r="21" spans="1:7" x14ac:dyDescent="0.35">
      <c r="A21">
        <v>11.362500000000001</v>
      </c>
      <c r="B21">
        <v>405.58</v>
      </c>
      <c r="C21">
        <v>244.08</v>
      </c>
      <c r="E21">
        <f t="shared" si="0"/>
        <v>11362500</v>
      </c>
      <c r="F21">
        <f t="shared" si="1"/>
        <v>405.58</v>
      </c>
      <c r="G21">
        <f t="shared" si="2"/>
        <v>244.08</v>
      </c>
    </row>
    <row r="22" spans="1:7" x14ac:dyDescent="0.35">
      <c r="A22">
        <v>11.362500000000001</v>
      </c>
      <c r="B22">
        <v>405.58</v>
      </c>
      <c r="C22">
        <v>244.99</v>
      </c>
      <c r="E22">
        <f t="shared" si="0"/>
        <v>11362500</v>
      </c>
      <c r="F22">
        <f t="shared" si="1"/>
        <v>405.58</v>
      </c>
      <c r="G22">
        <f t="shared" si="2"/>
        <v>244.99</v>
      </c>
    </row>
    <row r="23" spans="1:7" x14ac:dyDescent="0.35">
      <c r="A23">
        <v>11.355399999999999</v>
      </c>
      <c r="B23">
        <v>405.6</v>
      </c>
      <c r="C23">
        <v>224.92</v>
      </c>
      <c r="E23">
        <f t="shared" si="0"/>
        <v>11355400</v>
      </c>
      <c r="F23">
        <f t="shared" si="1"/>
        <v>405.6</v>
      </c>
      <c r="G23">
        <f t="shared" si="2"/>
        <v>224.92</v>
      </c>
    </row>
    <row r="24" spans="1:7" x14ac:dyDescent="0.35">
      <c r="A24">
        <v>11.3561</v>
      </c>
      <c r="B24">
        <v>405.6</v>
      </c>
      <c r="C24">
        <v>229.9</v>
      </c>
      <c r="E24">
        <f t="shared" si="0"/>
        <v>11356100</v>
      </c>
      <c r="F24">
        <f t="shared" si="1"/>
        <v>405.6</v>
      </c>
      <c r="G24">
        <f t="shared" si="2"/>
        <v>229.9</v>
      </c>
    </row>
    <row r="25" spans="1:7" x14ac:dyDescent="0.35">
      <c r="A25">
        <v>11.361700000000001</v>
      </c>
      <c r="B25">
        <v>405.6</v>
      </c>
      <c r="C25">
        <v>235.14</v>
      </c>
      <c r="E25">
        <f t="shared" si="0"/>
        <v>11361700</v>
      </c>
      <c r="F25">
        <f t="shared" si="1"/>
        <v>405.6</v>
      </c>
      <c r="G25">
        <f t="shared" si="2"/>
        <v>235.14</v>
      </c>
    </row>
    <row r="26" spans="1:7" x14ac:dyDescent="0.35">
      <c r="A26">
        <v>11.363</v>
      </c>
      <c r="B26">
        <v>405.6</v>
      </c>
      <c r="C26">
        <v>239.9</v>
      </c>
      <c r="E26">
        <f t="shared" si="0"/>
        <v>11363000</v>
      </c>
      <c r="F26">
        <f t="shared" si="1"/>
        <v>405.6</v>
      </c>
      <c r="G26">
        <f t="shared" si="2"/>
        <v>239.9</v>
      </c>
    </row>
    <row r="27" spans="1:7" x14ac:dyDescent="0.35">
      <c r="A27">
        <v>11.3672</v>
      </c>
      <c r="B27">
        <v>405.6</v>
      </c>
      <c r="C27">
        <v>245.12</v>
      </c>
      <c r="E27">
        <f t="shared" si="0"/>
        <v>11367200</v>
      </c>
      <c r="F27">
        <f t="shared" si="1"/>
        <v>405.6</v>
      </c>
      <c r="G27">
        <f t="shared" si="2"/>
        <v>245.12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6E7A8-2556-4815-B4C7-3A3DCF6DCF0B}">
  <dimension ref="A1:G6"/>
  <sheetViews>
    <sheetView workbookViewId="0">
      <selection activeCell="F2" sqref="F2"/>
    </sheetView>
  </sheetViews>
  <sheetFormatPr defaultRowHeight="14.5" x14ac:dyDescent="0.35"/>
  <sheetData>
    <row r="1" spans="1:7" x14ac:dyDescent="0.35">
      <c r="A1" t="s">
        <v>3</v>
      </c>
      <c r="B1" t="s">
        <v>4</v>
      </c>
      <c r="C1" t="s">
        <v>26</v>
      </c>
      <c r="E1" t="s">
        <v>0</v>
      </c>
      <c r="F1" t="s">
        <v>1</v>
      </c>
      <c r="G1" t="s">
        <v>2</v>
      </c>
    </row>
    <row r="2" spans="1:7" x14ac:dyDescent="0.35">
      <c r="A2">
        <v>1</v>
      </c>
      <c r="B2">
        <v>0</v>
      </c>
      <c r="C2">
        <v>0.77085000000000004</v>
      </c>
      <c r="E2">
        <f>A2*101325</f>
        <v>101325</v>
      </c>
      <c r="F2">
        <f>B2+273.15</f>
        <v>273.14999999999998</v>
      </c>
      <c r="G2">
        <f>C2*0.001*1000</f>
        <v>0.77085000000000004</v>
      </c>
    </row>
    <row r="3" spans="1:7" x14ac:dyDescent="0.35">
      <c r="A3">
        <v>1</v>
      </c>
      <c r="B3">
        <v>50</v>
      </c>
      <c r="C3">
        <v>0.64627000000000001</v>
      </c>
      <c r="E3">
        <f t="shared" ref="E3:E6" si="0">A3*101325</f>
        <v>101325</v>
      </c>
      <c r="F3">
        <f t="shared" ref="F3:F6" si="1">B3+273.15</f>
        <v>323.14999999999998</v>
      </c>
      <c r="G3">
        <f t="shared" ref="G3:G6" si="2">C3*0.001*1000</f>
        <v>0.64627000000000001</v>
      </c>
    </row>
    <row r="4" spans="1:7" x14ac:dyDescent="0.35">
      <c r="A4">
        <v>1</v>
      </c>
      <c r="B4">
        <v>100</v>
      </c>
      <c r="C4">
        <v>0.55667999999999995</v>
      </c>
      <c r="E4">
        <f t="shared" si="0"/>
        <v>101325</v>
      </c>
      <c r="F4">
        <f t="shared" si="1"/>
        <v>373.15</v>
      </c>
      <c r="G4">
        <f t="shared" si="2"/>
        <v>0.55667999999999995</v>
      </c>
    </row>
    <row r="5" spans="1:7" x14ac:dyDescent="0.35">
      <c r="A5">
        <v>1</v>
      </c>
      <c r="B5">
        <v>-20</v>
      </c>
      <c r="C5">
        <v>0.83630000000000004</v>
      </c>
      <c r="E5">
        <f t="shared" si="0"/>
        <v>101325</v>
      </c>
      <c r="F5">
        <f t="shared" si="1"/>
        <v>253.14999999999998</v>
      </c>
      <c r="G5">
        <f t="shared" si="2"/>
        <v>0.83630000000000015</v>
      </c>
    </row>
    <row r="6" spans="1:7" x14ac:dyDescent="0.35">
      <c r="A6">
        <v>0.5</v>
      </c>
      <c r="B6">
        <v>0</v>
      </c>
      <c r="C6">
        <v>0.38319999999999999</v>
      </c>
      <c r="E6">
        <f t="shared" si="0"/>
        <v>50662.5</v>
      </c>
      <c r="F6">
        <f t="shared" si="1"/>
        <v>273.14999999999998</v>
      </c>
      <c r="G6">
        <f t="shared" si="2"/>
        <v>0.38319999999999999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FD461-B977-444C-B456-9EC8D011B7ED}">
  <dimension ref="A1:G25"/>
  <sheetViews>
    <sheetView workbookViewId="0">
      <selection activeCell="A21" sqref="A21"/>
    </sheetView>
  </sheetViews>
  <sheetFormatPr defaultRowHeight="14.5" x14ac:dyDescent="0.35"/>
  <cols>
    <col min="3" max="3" width="6.453125" bestFit="1" customWidth="1"/>
    <col min="5" max="5" width="10" bestFit="1" customWidth="1"/>
  </cols>
  <sheetData>
    <row r="1" spans="1:7" x14ac:dyDescent="0.35">
      <c r="A1" t="s">
        <v>19</v>
      </c>
      <c r="B1" t="s">
        <v>8</v>
      </c>
      <c r="C1" t="s">
        <v>9</v>
      </c>
      <c r="E1" t="s">
        <v>25</v>
      </c>
      <c r="F1" t="s">
        <v>1</v>
      </c>
      <c r="G1" t="s">
        <v>2</v>
      </c>
    </row>
    <row r="2" spans="1:7" x14ac:dyDescent="0.35">
      <c r="A2">
        <v>200</v>
      </c>
      <c r="B2">
        <v>450</v>
      </c>
      <c r="C2">
        <v>588.20000000000005</v>
      </c>
      <c r="E2">
        <f>A2*1000000</f>
        <v>200000000</v>
      </c>
      <c r="F2">
        <f>B2</f>
        <v>450</v>
      </c>
      <c r="G2">
        <f>C2</f>
        <v>588.20000000000005</v>
      </c>
    </row>
    <row r="3" spans="1:7" x14ac:dyDescent="0.35">
      <c r="A3">
        <v>180</v>
      </c>
      <c r="B3">
        <v>450</v>
      </c>
      <c r="C3">
        <v>576.29999999999995</v>
      </c>
      <c r="E3">
        <f t="shared" ref="E3:E25" si="0">A3*1000000</f>
        <v>180000000</v>
      </c>
      <c r="F3">
        <f t="shared" ref="F3:F25" si="1">B3</f>
        <v>450</v>
      </c>
      <c r="G3">
        <f t="shared" ref="G3:G25" si="2">C3</f>
        <v>576.29999999999995</v>
      </c>
    </row>
    <row r="4" spans="1:7" x14ac:dyDescent="0.35">
      <c r="A4">
        <v>160</v>
      </c>
      <c r="B4">
        <v>450</v>
      </c>
      <c r="C4">
        <v>563.1</v>
      </c>
      <c r="E4">
        <f t="shared" si="0"/>
        <v>160000000</v>
      </c>
      <c r="F4">
        <f t="shared" si="1"/>
        <v>450</v>
      </c>
      <c r="G4">
        <f t="shared" si="2"/>
        <v>563.1</v>
      </c>
    </row>
    <row r="5" spans="1:7" x14ac:dyDescent="0.35">
      <c r="A5">
        <v>140</v>
      </c>
      <c r="B5">
        <v>450</v>
      </c>
      <c r="C5">
        <v>548.20000000000005</v>
      </c>
      <c r="E5">
        <f t="shared" si="0"/>
        <v>140000000</v>
      </c>
      <c r="F5">
        <f t="shared" si="1"/>
        <v>450</v>
      </c>
      <c r="G5">
        <f t="shared" si="2"/>
        <v>548.20000000000005</v>
      </c>
    </row>
    <row r="6" spans="1:7" x14ac:dyDescent="0.35">
      <c r="A6">
        <v>120</v>
      </c>
      <c r="B6">
        <v>450</v>
      </c>
      <c r="C6">
        <v>531.4</v>
      </c>
      <c r="E6">
        <f t="shared" si="0"/>
        <v>120000000</v>
      </c>
      <c r="F6">
        <f t="shared" si="1"/>
        <v>450</v>
      </c>
      <c r="G6">
        <f t="shared" si="2"/>
        <v>531.4</v>
      </c>
    </row>
    <row r="7" spans="1:7" x14ac:dyDescent="0.35">
      <c r="A7">
        <v>100</v>
      </c>
      <c r="B7">
        <v>450</v>
      </c>
      <c r="C7">
        <v>511.7</v>
      </c>
      <c r="E7">
        <f t="shared" si="0"/>
        <v>100000000</v>
      </c>
      <c r="F7">
        <f t="shared" si="1"/>
        <v>450</v>
      </c>
      <c r="G7">
        <f t="shared" si="2"/>
        <v>511.7</v>
      </c>
    </row>
    <row r="8" spans="1:7" x14ac:dyDescent="0.35">
      <c r="A8">
        <v>90</v>
      </c>
      <c r="B8">
        <v>450</v>
      </c>
      <c r="C8">
        <v>500.2</v>
      </c>
      <c r="E8">
        <f t="shared" si="0"/>
        <v>90000000</v>
      </c>
      <c r="F8">
        <f t="shared" si="1"/>
        <v>450</v>
      </c>
      <c r="G8">
        <f t="shared" si="2"/>
        <v>500.2</v>
      </c>
    </row>
    <row r="9" spans="1:7" x14ac:dyDescent="0.35">
      <c r="A9">
        <v>80</v>
      </c>
      <c r="B9">
        <v>450</v>
      </c>
      <c r="C9">
        <v>487.4</v>
      </c>
      <c r="E9">
        <f t="shared" si="0"/>
        <v>80000000</v>
      </c>
      <c r="F9">
        <f t="shared" si="1"/>
        <v>450</v>
      </c>
      <c r="G9">
        <f t="shared" si="2"/>
        <v>487.4</v>
      </c>
    </row>
    <row r="10" spans="1:7" x14ac:dyDescent="0.35">
      <c r="A10">
        <v>70</v>
      </c>
      <c r="B10">
        <v>450</v>
      </c>
      <c r="C10">
        <v>472.6</v>
      </c>
      <c r="E10">
        <f t="shared" si="0"/>
        <v>70000000</v>
      </c>
      <c r="F10">
        <f t="shared" si="1"/>
        <v>450</v>
      </c>
      <c r="G10">
        <f t="shared" si="2"/>
        <v>472.6</v>
      </c>
    </row>
    <row r="11" spans="1:7" x14ac:dyDescent="0.35">
      <c r="A11">
        <v>60</v>
      </c>
      <c r="B11">
        <v>450</v>
      </c>
      <c r="C11">
        <v>455.2</v>
      </c>
      <c r="E11">
        <f t="shared" si="0"/>
        <v>60000000</v>
      </c>
      <c r="F11">
        <f t="shared" si="1"/>
        <v>450</v>
      </c>
      <c r="G11">
        <f t="shared" si="2"/>
        <v>455.2</v>
      </c>
    </row>
    <row r="12" spans="1:7" x14ac:dyDescent="0.35">
      <c r="A12">
        <v>50</v>
      </c>
      <c r="B12">
        <v>450</v>
      </c>
      <c r="C12">
        <v>433.4</v>
      </c>
      <c r="E12">
        <f t="shared" si="0"/>
        <v>50000000</v>
      </c>
      <c r="F12">
        <f t="shared" si="1"/>
        <v>450</v>
      </c>
      <c r="G12">
        <f t="shared" si="2"/>
        <v>433.4</v>
      </c>
    </row>
    <row r="13" spans="1:7" x14ac:dyDescent="0.35">
      <c r="A13">
        <v>40</v>
      </c>
      <c r="B13">
        <v>450</v>
      </c>
      <c r="C13">
        <v>403.7</v>
      </c>
      <c r="E13">
        <f t="shared" si="0"/>
        <v>40000000</v>
      </c>
      <c r="F13">
        <f t="shared" si="1"/>
        <v>450</v>
      </c>
      <c r="G13">
        <f t="shared" si="2"/>
        <v>403.7</v>
      </c>
    </row>
    <row r="14" spans="1:7" x14ac:dyDescent="0.35">
      <c r="A14">
        <v>30</v>
      </c>
      <c r="B14">
        <v>450</v>
      </c>
      <c r="C14">
        <v>355.3</v>
      </c>
      <c r="E14">
        <f t="shared" si="0"/>
        <v>30000000</v>
      </c>
      <c r="F14">
        <f t="shared" si="1"/>
        <v>450</v>
      </c>
      <c r="G14">
        <f t="shared" si="2"/>
        <v>355.3</v>
      </c>
    </row>
    <row r="15" spans="1:7" x14ac:dyDescent="0.35">
      <c r="A15">
        <v>200</v>
      </c>
      <c r="B15">
        <v>500</v>
      </c>
      <c r="C15">
        <v>551.9</v>
      </c>
      <c r="E15">
        <f t="shared" si="0"/>
        <v>200000000</v>
      </c>
      <c r="F15">
        <f t="shared" si="1"/>
        <v>500</v>
      </c>
      <c r="G15">
        <f t="shared" si="2"/>
        <v>551.9</v>
      </c>
    </row>
    <row r="16" spans="1:7" x14ac:dyDescent="0.35">
      <c r="A16">
        <v>180</v>
      </c>
      <c r="B16">
        <v>500</v>
      </c>
      <c r="C16">
        <v>538.29999999999995</v>
      </c>
      <c r="E16">
        <f t="shared" si="0"/>
        <v>180000000</v>
      </c>
      <c r="F16">
        <f t="shared" si="1"/>
        <v>500</v>
      </c>
      <c r="G16">
        <f t="shared" si="2"/>
        <v>538.29999999999995</v>
      </c>
    </row>
    <row r="17" spans="1:7" x14ac:dyDescent="0.35">
      <c r="A17">
        <v>160</v>
      </c>
      <c r="B17">
        <v>500</v>
      </c>
      <c r="C17">
        <v>523.1</v>
      </c>
      <c r="E17">
        <f t="shared" si="0"/>
        <v>160000000</v>
      </c>
      <c r="F17">
        <f t="shared" si="1"/>
        <v>500</v>
      </c>
      <c r="G17">
        <f t="shared" si="2"/>
        <v>523.1</v>
      </c>
    </row>
    <row r="18" spans="1:7" x14ac:dyDescent="0.35">
      <c r="A18">
        <v>140</v>
      </c>
      <c r="B18">
        <v>500</v>
      </c>
      <c r="C18">
        <v>505.9</v>
      </c>
      <c r="E18">
        <f t="shared" si="0"/>
        <v>140000000</v>
      </c>
      <c r="F18">
        <f t="shared" si="1"/>
        <v>500</v>
      </c>
      <c r="G18">
        <f t="shared" si="2"/>
        <v>505.9</v>
      </c>
    </row>
    <row r="19" spans="1:7" x14ac:dyDescent="0.35">
      <c r="A19">
        <v>120</v>
      </c>
      <c r="B19">
        <v>500</v>
      </c>
      <c r="C19">
        <v>485.8</v>
      </c>
      <c r="E19">
        <f t="shared" si="0"/>
        <v>120000000</v>
      </c>
      <c r="F19">
        <f t="shared" si="1"/>
        <v>500</v>
      </c>
      <c r="G19">
        <f t="shared" si="2"/>
        <v>485.8</v>
      </c>
    </row>
    <row r="20" spans="1:7" x14ac:dyDescent="0.35">
      <c r="A20">
        <v>100</v>
      </c>
      <c r="B20">
        <v>500</v>
      </c>
      <c r="C20">
        <v>461.5</v>
      </c>
      <c r="E20">
        <f t="shared" si="0"/>
        <v>100000000</v>
      </c>
      <c r="F20">
        <f t="shared" si="1"/>
        <v>500</v>
      </c>
      <c r="G20">
        <f t="shared" si="2"/>
        <v>461.5</v>
      </c>
    </row>
    <row r="21" spans="1:7" x14ac:dyDescent="0.35">
      <c r="A21">
        <v>90</v>
      </c>
      <c r="B21">
        <v>500</v>
      </c>
      <c r="C21">
        <v>446.9</v>
      </c>
      <c r="E21">
        <f t="shared" si="0"/>
        <v>90000000</v>
      </c>
      <c r="F21">
        <f t="shared" si="1"/>
        <v>500</v>
      </c>
      <c r="G21">
        <f t="shared" si="2"/>
        <v>446.9</v>
      </c>
    </row>
    <row r="22" spans="1:7" x14ac:dyDescent="0.35">
      <c r="A22">
        <v>80</v>
      </c>
      <c r="B22">
        <v>500</v>
      </c>
      <c r="C22">
        <v>430.2</v>
      </c>
      <c r="E22">
        <f t="shared" si="0"/>
        <v>80000000</v>
      </c>
      <c r="F22">
        <f t="shared" si="1"/>
        <v>500</v>
      </c>
      <c r="G22">
        <f t="shared" si="2"/>
        <v>430.2</v>
      </c>
    </row>
    <row r="23" spans="1:7" x14ac:dyDescent="0.35">
      <c r="A23">
        <v>70</v>
      </c>
      <c r="B23">
        <v>500</v>
      </c>
      <c r="C23">
        <v>410.1</v>
      </c>
      <c r="E23">
        <f t="shared" si="0"/>
        <v>70000000</v>
      </c>
      <c r="F23">
        <f t="shared" si="1"/>
        <v>500</v>
      </c>
      <c r="G23">
        <f t="shared" si="2"/>
        <v>410.1</v>
      </c>
    </row>
    <row r="24" spans="1:7" x14ac:dyDescent="0.35">
      <c r="A24">
        <v>60</v>
      </c>
      <c r="B24">
        <v>500</v>
      </c>
      <c r="C24">
        <v>384.9</v>
      </c>
      <c r="E24">
        <f t="shared" si="0"/>
        <v>60000000</v>
      </c>
      <c r="F24">
        <f t="shared" si="1"/>
        <v>500</v>
      </c>
      <c r="G24">
        <f t="shared" si="2"/>
        <v>384.9</v>
      </c>
    </row>
    <row r="25" spans="1:7" x14ac:dyDescent="0.35">
      <c r="A25">
        <v>50</v>
      </c>
      <c r="B25">
        <v>500</v>
      </c>
      <c r="C25">
        <v>350.9</v>
      </c>
      <c r="E25">
        <f t="shared" si="0"/>
        <v>50000000</v>
      </c>
      <c r="F25">
        <f t="shared" si="1"/>
        <v>500</v>
      </c>
      <c r="G25">
        <f t="shared" si="2"/>
        <v>350.9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67379-F6E8-488B-B8E2-410C895B9E66}">
  <dimension ref="A1:I28"/>
  <sheetViews>
    <sheetView workbookViewId="0">
      <selection activeCell="E2" sqref="E2:G28"/>
    </sheetView>
  </sheetViews>
  <sheetFormatPr defaultRowHeight="14.5" x14ac:dyDescent="0.35"/>
  <cols>
    <col min="9" max="9" width="12" bestFit="1" customWidth="1"/>
  </cols>
  <sheetData>
    <row r="1" spans="1:9" x14ac:dyDescent="0.35">
      <c r="A1" t="s">
        <v>3</v>
      </c>
      <c r="B1" t="s">
        <v>4</v>
      </c>
      <c r="C1" t="s">
        <v>14</v>
      </c>
      <c r="E1" t="s">
        <v>7</v>
      </c>
      <c r="F1" t="s">
        <v>8</v>
      </c>
      <c r="G1" t="s">
        <v>9</v>
      </c>
      <c r="I1" t="s">
        <v>24</v>
      </c>
    </row>
    <row r="2" spans="1:9" x14ac:dyDescent="0.35">
      <c r="A2">
        <v>506.2</v>
      </c>
      <c r="B2">
        <v>300</v>
      </c>
      <c r="C2">
        <v>0.73460000000000003</v>
      </c>
      <c r="E2">
        <f t="shared" ref="E2:E28" si="0">A2*101325</f>
        <v>51290715</v>
      </c>
      <c r="F2">
        <f>B2+273.15</f>
        <v>573.15</v>
      </c>
      <c r="G2">
        <f>E2/($I$2*C2*F2)</f>
        <v>249.52453565803265</v>
      </c>
      <c r="I2">
        <v>488.20955661678198</v>
      </c>
    </row>
    <row r="3" spans="1:9" x14ac:dyDescent="0.35">
      <c r="A3">
        <v>760.7</v>
      </c>
      <c r="B3">
        <v>300</v>
      </c>
      <c r="C3">
        <v>0.82140000000000002</v>
      </c>
      <c r="E3">
        <f t="shared" si="0"/>
        <v>77077927.5</v>
      </c>
      <c r="F3">
        <f t="shared" ref="F3:F28" si="1">B3+273.15</f>
        <v>573.15</v>
      </c>
      <c r="G3">
        <f t="shared" ref="G3:G28" si="2">E3/($I$2*C3*F3)</f>
        <v>335.35188899059762</v>
      </c>
    </row>
    <row r="4" spans="1:9" x14ac:dyDescent="0.35">
      <c r="A4">
        <v>1054.0999999999999</v>
      </c>
      <c r="B4">
        <v>300</v>
      </c>
      <c r="C4">
        <v>0.96230000000000004</v>
      </c>
      <c r="E4">
        <f t="shared" si="0"/>
        <v>106806682.49999999</v>
      </c>
      <c r="F4">
        <f t="shared" si="1"/>
        <v>573.15</v>
      </c>
      <c r="G4">
        <f t="shared" si="2"/>
        <v>396.65539610005487</v>
      </c>
    </row>
    <row r="5" spans="1:9" x14ac:dyDescent="0.35">
      <c r="A5">
        <v>1502</v>
      </c>
      <c r="B5">
        <v>300</v>
      </c>
      <c r="C5">
        <v>1.1997</v>
      </c>
      <c r="E5">
        <f t="shared" si="0"/>
        <v>152190150</v>
      </c>
      <c r="F5">
        <f t="shared" si="1"/>
        <v>573.15</v>
      </c>
      <c r="G5">
        <f t="shared" si="2"/>
        <v>453.35594284679263</v>
      </c>
    </row>
    <row r="6" spans="1:9" x14ac:dyDescent="0.35">
      <c r="A6">
        <v>517.29999999999995</v>
      </c>
      <c r="B6">
        <v>350</v>
      </c>
      <c r="C6">
        <v>0.82389999999999997</v>
      </c>
      <c r="E6">
        <f t="shared" si="0"/>
        <v>52415422.499999993</v>
      </c>
      <c r="F6">
        <f t="shared" si="1"/>
        <v>623.15</v>
      </c>
      <c r="G6">
        <f t="shared" si="2"/>
        <v>209.11525324788548</v>
      </c>
    </row>
    <row r="7" spans="1:9" x14ac:dyDescent="0.35">
      <c r="A7">
        <v>775.1</v>
      </c>
      <c r="B7">
        <v>350</v>
      </c>
      <c r="C7">
        <v>0.88680000000000003</v>
      </c>
      <c r="E7">
        <f t="shared" si="0"/>
        <v>78537007.5</v>
      </c>
      <c r="F7">
        <f t="shared" si="1"/>
        <v>623.15</v>
      </c>
      <c r="G7">
        <f t="shared" si="2"/>
        <v>291.10508323963808</v>
      </c>
    </row>
    <row r="8" spans="1:9" x14ac:dyDescent="0.35">
      <c r="A8">
        <v>1013.5</v>
      </c>
      <c r="B8">
        <v>350</v>
      </c>
      <c r="C8">
        <v>0.97799999999999998</v>
      </c>
      <c r="E8">
        <f t="shared" si="0"/>
        <v>102692887.5</v>
      </c>
      <c r="F8">
        <f t="shared" si="1"/>
        <v>623.15</v>
      </c>
      <c r="G8">
        <f t="shared" si="2"/>
        <v>345.14583335304098</v>
      </c>
    </row>
    <row r="9" spans="1:9" x14ac:dyDescent="0.35">
      <c r="A9">
        <v>1497.7</v>
      </c>
      <c r="B9">
        <v>350</v>
      </c>
      <c r="C9">
        <v>1.2012</v>
      </c>
      <c r="E9">
        <f t="shared" si="0"/>
        <v>151754452.5</v>
      </c>
      <c r="F9">
        <f t="shared" si="1"/>
        <v>623.15</v>
      </c>
      <c r="G9">
        <f t="shared" si="2"/>
        <v>415.26683026837225</v>
      </c>
    </row>
    <row r="10" spans="1:9" x14ac:dyDescent="0.35">
      <c r="A10">
        <v>1989.3</v>
      </c>
      <c r="B10">
        <v>350</v>
      </c>
      <c r="C10">
        <v>1.4399</v>
      </c>
      <c r="E10">
        <f t="shared" si="0"/>
        <v>201565822.5</v>
      </c>
      <c r="F10">
        <f t="shared" si="1"/>
        <v>623.15</v>
      </c>
      <c r="G10">
        <f t="shared" si="2"/>
        <v>460.13544351123835</v>
      </c>
    </row>
    <row r="11" spans="1:9" x14ac:dyDescent="0.35">
      <c r="A11">
        <v>2215.1</v>
      </c>
      <c r="B11">
        <v>350</v>
      </c>
      <c r="C11">
        <v>1.5505</v>
      </c>
      <c r="E11">
        <f t="shared" si="0"/>
        <v>224445007.5</v>
      </c>
      <c r="F11">
        <f t="shared" si="1"/>
        <v>623.15</v>
      </c>
      <c r="G11">
        <f t="shared" si="2"/>
        <v>475.81628644081684</v>
      </c>
    </row>
    <row r="12" spans="1:9" x14ac:dyDescent="0.35">
      <c r="A12">
        <v>2418.1999999999998</v>
      </c>
      <c r="B12">
        <v>350</v>
      </c>
      <c r="C12">
        <v>1.6479999999999999</v>
      </c>
      <c r="E12">
        <f t="shared" si="0"/>
        <v>245024114.99999997</v>
      </c>
      <c r="F12">
        <f t="shared" si="1"/>
        <v>623.15</v>
      </c>
      <c r="G12">
        <f t="shared" si="2"/>
        <v>488.71171096843608</v>
      </c>
    </row>
    <row r="13" spans="1:9" x14ac:dyDescent="0.35">
      <c r="A13">
        <v>513.9</v>
      </c>
      <c r="B13">
        <v>400</v>
      </c>
      <c r="C13">
        <v>0.88749999999999996</v>
      </c>
      <c r="E13">
        <f t="shared" si="0"/>
        <v>52070917.5</v>
      </c>
      <c r="F13">
        <f t="shared" si="1"/>
        <v>673.15</v>
      </c>
      <c r="G13">
        <f t="shared" si="2"/>
        <v>178.52898745237212</v>
      </c>
    </row>
    <row r="14" spans="1:9" x14ac:dyDescent="0.35">
      <c r="A14">
        <v>780.2</v>
      </c>
      <c r="B14">
        <v>400</v>
      </c>
      <c r="C14">
        <v>0.94630000000000003</v>
      </c>
      <c r="E14">
        <f t="shared" si="0"/>
        <v>79053765</v>
      </c>
      <c r="F14">
        <f t="shared" si="1"/>
        <v>673.15</v>
      </c>
      <c r="G14">
        <f t="shared" si="2"/>
        <v>254.20002666066668</v>
      </c>
    </row>
    <row r="15" spans="1:9" x14ac:dyDescent="0.35">
      <c r="A15">
        <v>1026.8</v>
      </c>
      <c r="B15">
        <v>400</v>
      </c>
      <c r="C15">
        <v>1.0199</v>
      </c>
      <c r="E15">
        <f t="shared" si="0"/>
        <v>104040510</v>
      </c>
      <c r="F15">
        <f t="shared" si="1"/>
        <v>673.15</v>
      </c>
      <c r="G15">
        <f t="shared" si="2"/>
        <v>310.403603302139</v>
      </c>
    </row>
    <row r="16" spans="1:9" x14ac:dyDescent="0.35">
      <c r="A16">
        <v>1262.8</v>
      </c>
      <c r="B16">
        <v>400</v>
      </c>
      <c r="C16">
        <v>1.1071</v>
      </c>
      <c r="E16">
        <f t="shared" si="0"/>
        <v>127953210</v>
      </c>
      <c r="F16">
        <f t="shared" si="1"/>
        <v>673.15</v>
      </c>
      <c r="G16">
        <f t="shared" si="2"/>
        <v>351.67881578318094</v>
      </c>
    </row>
    <row r="17" spans="1:7" x14ac:dyDescent="0.35">
      <c r="A17">
        <v>1495.8</v>
      </c>
      <c r="B17">
        <v>400</v>
      </c>
      <c r="C17">
        <v>1.2021999999999999</v>
      </c>
      <c r="E17">
        <f t="shared" si="0"/>
        <v>151561935</v>
      </c>
      <c r="F17">
        <f t="shared" si="1"/>
        <v>673.15</v>
      </c>
      <c r="G17">
        <f t="shared" si="2"/>
        <v>383.61474441768496</v>
      </c>
    </row>
    <row r="18" spans="1:7" x14ac:dyDescent="0.35">
      <c r="A18">
        <v>2064.1</v>
      </c>
      <c r="B18">
        <v>400</v>
      </c>
      <c r="C18">
        <v>1.4573</v>
      </c>
      <c r="E18">
        <f t="shared" si="0"/>
        <v>209144932.5</v>
      </c>
      <c r="F18">
        <f t="shared" si="1"/>
        <v>673.15</v>
      </c>
      <c r="G18">
        <f t="shared" si="2"/>
        <v>436.69704664574687</v>
      </c>
    </row>
    <row r="19" spans="1:7" x14ac:dyDescent="0.35">
      <c r="A19">
        <v>2228.8000000000002</v>
      </c>
      <c r="B19">
        <v>400</v>
      </c>
      <c r="C19">
        <v>1.5266999999999999</v>
      </c>
      <c r="E19">
        <f t="shared" si="0"/>
        <v>225833160.00000003</v>
      </c>
      <c r="F19">
        <f t="shared" si="1"/>
        <v>673.15</v>
      </c>
      <c r="G19">
        <f t="shared" si="2"/>
        <v>450.10711638094466</v>
      </c>
    </row>
    <row r="20" spans="1:7" x14ac:dyDescent="0.35">
      <c r="A20">
        <v>2366.6</v>
      </c>
      <c r="B20">
        <v>400</v>
      </c>
      <c r="C20">
        <v>1.5869</v>
      </c>
      <c r="E20">
        <f t="shared" si="0"/>
        <v>239795745</v>
      </c>
      <c r="F20">
        <f t="shared" si="1"/>
        <v>673.15</v>
      </c>
      <c r="G20">
        <f t="shared" si="2"/>
        <v>459.80510202898665</v>
      </c>
    </row>
    <row r="21" spans="1:7" x14ac:dyDescent="0.35">
      <c r="A21">
        <v>520.29999999999995</v>
      </c>
      <c r="B21">
        <v>450</v>
      </c>
      <c r="C21">
        <v>0.93879999999999997</v>
      </c>
      <c r="E21">
        <f t="shared" si="0"/>
        <v>52719397.499999993</v>
      </c>
      <c r="F21">
        <f t="shared" si="1"/>
        <v>723.15</v>
      </c>
      <c r="G21">
        <f t="shared" si="2"/>
        <v>159.06062713879774</v>
      </c>
    </row>
    <row r="22" spans="1:7" x14ac:dyDescent="0.35">
      <c r="A22">
        <v>766</v>
      </c>
      <c r="B22">
        <v>450</v>
      </c>
      <c r="C22">
        <v>0.97399999999999998</v>
      </c>
      <c r="E22">
        <f t="shared" si="0"/>
        <v>77614950</v>
      </c>
      <c r="F22">
        <f t="shared" si="1"/>
        <v>723.15</v>
      </c>
      <c r="G22">
        <f t="shared" si="2"/>
        <v>225.71049760928867</v>
      </c>
    </row>
    <row r="23" spans="1:7" x14ac:dyDescent="0.35">
      <c r="A23">
        <v>1022.5</v>
      </c>
      <c r="B23">
        <v>450</v>
      </c>
      <c r="C23">
        <v>1.0425</v>
      </c>
      <c r="E23">
        <f t="shared" si="0"/>
        <v>103604812.5</v>
      </c>
      <c r="F23">
        <f t="shared" si="1"/>
        <v>723.15</v>
      </c>
      <c r="G23">
        <f t="shared" si="2"/>
        <v>281.49403638641638</v>
      </c>
    </row>
    <row r="24" spans="1:7" x14ac:dyDescent="0.35">
      <c r="A24">
        <v>1269.7</v>
      </c>
      <c r="B24">
        <v>450</v>
      </c>
      <c r="C24">
        <v>1.1262000000000001</v>
      </c>
      <c r="E24">
        <f t="shared" si="0"/>
        <v>128652352.5</v>
      </c>
      <c r="F24">
        <f t="shared" si="1"/>
        <v>723.15</v>
      </c>
      <c r="G24">
        <f t="shared" si="2"/>
        <v>323.569473357037</v>
      </c>
    </row>
    <row r="25" spans="1:7" x14ac:dyDescent="0.35">
      <c r="A25">
        <v>1555.5</v>
      </c>
      <c r="B25">
        <v>450</v>
      </c>
      <c r="C25">
        <v>1.2318</v>
      </c>
      <c r="E25">
        <f t="shared" si="0"/>
        <v>157611037.5</v>
      </c>
      <c r="F25">
        <f t="shared" si="1"/>
        <v>723.15</v>
      </c>
      <c r="G25">
        <f t="shared" si="2"/>
        <v>362.41967048204742</v>
      </c>
    </row>
    <row r="26" spans="1:7" x14ac:dyDescent="0.35">
      <c r="A26">
        <v>1797</v>
      </c>
      <c r="B26">
        <v>450</v>
      </c>
      <c r="C26">
        <v>1.3277000000000001</v>
      </c>
      <c r="E26">
        <f t="shared" si="0"/>
        <v>182081025</v>
      </c>
      <c r="F26">
        <f t="shared" si="1"/>
        <v>723.15</v>
      </c>
      <c r="G26">
        <f t="shared" si="2"/>
        <v>388.44547554270963</v>
      </c>
    </row>
    <row r="27" spans="1:7" x14ac:dyDescent="0.35">
      <c r="A27">
        <v>2015.1</v>
      </c>
      <c r="B27">
        <v>450</v>
      </c>
      <c r="C27">
        <v>1.4120999999999999</v>
      </c>
      <c r="E27">
        <f t="shared" si="0"/>
        <v>204180007.5</v>
      </c>
      <c r="F27">
        <f t="shared" si="1"/>
        <v>723.15</v>
      </c>
      <c r="G27">
        <f t="shared" si="2"/>
        <v>409.55581396689632</v>
      </c>
    </row>
    <row r="28" spans="1:7" x14ac:dyDescent="0.35">
      <c r="A28">
        <v>2280</v>
      </c>
      <c r="B28">
        <v>450</v>
      </c>
      <c r="C28">
        <v>1.5150999999999999</v>
      </c>
      <c r="E28">
        <f t="shared" si="0"/>
        <v>231021000</v>
      </c>
      <c r="F28">
        <f t="shared" si="1"/>
        <v>723.15</v>
      </c>
      <c r="G28">
        <f t="shared" si="2"/>
        <v>431.89233280614798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1CBE1-1135-4DB3-AAD3-DF4F8381732B}">
  <dimension ref="A1:G38"/>
  <sheetViews>
    <sheetView workbookViewId="0">
      <selection activeCell="F11" sqref="F11"/>
    </sheetView>
  </sheetViews>
  <sheetFormatPr defaultRowHeight="14.5" x14ac:dyDescent="0.35"/>
  <sheetData>
    <row r="1" spans="1:7" x14ac:dyDescent="0.35">
      <c r="A1" t="s">
        <v>3</v>
      </c>
      <c r="B1" t="s">
        <v>4</v>
      </c>
      <c r="C1" t="s">
        <v>23</v>
      </c>
      <c r="E1" t="s">
        <v>0</v>
      </c>
      <c r="F1" t="s">
        <v>1</v>
      </c>
      <c r="G1" t="s">
        <v>2</v>
      </c>
    </row>
    <row r="2" spans="1:7" x14ac:dyDescent="0.35">
      <c r="A2">
        <v>283.10000000000002</v>
      </c>
      <c r="B2">
        <v>-20</v>
      </c>
      <c r="C2">
        <v>1.4754</v>
      </c>
      <c r="E2">
        <f t="shared" ref="E2:E38" si="0">A2*101325</f>
        <v>28685107.500000004</v>
      </c>
      <c r="F2">
        <f>B2+273.15</f>
        <v>253.14999999999998</v>
      </c>
      <c r="G2">
        <f>1/C2*0.001*1000000</f>
        <v>677.7822963264199</v>
      </c>
    </row>
    <row r="3" spans="1:7" x14ac:dyDescent="0.35">
      <c r="A3">
        <v>469.5</v>
      </c>
      <c r="B3">
        <v>-20</v>
      </c>
      <c r="C3">
        <v>1.4538</v>
      </c>
      <c r="E3">
        <f t="shared" si="0"/>
        <v>47572087.5</v>
      </c>
      <c r="F3">
        <f t="shared" ref="F3:F38" si="1">B3+273.15</f>
        <v>253.14999999999998</v>
      </c>
      <c r="G3">
        <f t="shared" ref="G3:G38" si="2">1/C3*0.001*1000000</f>
        <v>687.85252441876469</v>
      </c>
    </row>
    <row r="4" spans="1:7" x14ac:dyDescent="0.35">
      <c r="A4">
        <v>654.9</v>
      </c>
      <c r="B4">
        <v>-20</v>
      </c>
      <c r="C4">
        <v>1.4371</v>
      </c>
      <c r="E4">
        <f t="shared" si="0"/>
        <v>66357742.5</v>
      </c>
      <c r="F4">
        <f t="shared" si="1"/>
        <v>253.14999999999998</v>
      </c>
      <c r="G4">
        <f t="shared" si="2"/>
        <v>695.84580057059361</v>
      </c>
    </row>
    <row r="5" spans="1:7" x14ac:dyDescent="0.35">
      <c r="A5">
        <v>841.4</v>
      </c>
      <c r="B5">
        <v>-20</v>
      </c>
      <c r="C5">
        <v>1.4207000000000001</v>
      </c>
      <c r="E5">
        <f t="shared" si="0"/>
        <v>85254855</v>
      </c>
      <c r="F5">
        <f t="shared" si="1"/>
        <v>253.14999999999998</v>
      </c>
      <c r="G5">
        <f t="shared" si="2"/>
        <v>703.87836981769544</v>
      </c>
    </row>
    <row r="6" spans="1:7" x14ac:dyDescent="0.35">
      <c r="A6">
        <v>1027.9000000000001</v>
      </c>
      <c r="B6">
        <v>-20</v>
      </c>
      <c r="C6">
        <v>1.4093</v>
      </c>
      <c r="E6">
        <f t="shared" si="0"/>
        <v>104151967.50000001</v>
      </c>
      <c r="F6">
        <f t="shared" si="1"/>
        <v>253.14999999999998</v>
      </c>
      <c r="G6">
        <f t="shared" si="2"/>
        <v>709.57212800681202</v>
      </c>
    </row>
    <row r="7" spans="1:7" x14ac:dyDescent="0.35">
      <c r="A7">
        <v>1214.0999999999999</v>
      </c>
      <c r="B7">
        <v>-20</v>
      </c>
      <c r="C7">
        <v>1.3949</v>
      </c>
      <c r="E7">
        <f t="shared" si="0"/>
        <v>123018682.49999999</v>
      </c>
      <c r="F7">
        <f t="shared" si="1"/>
        <v>253.14999999999998</v>
      </c>
      <c r="G7">
        <f t="shared" si="2"/>
        <v>716.89726862140651</v>
      </c>
    </row>
    <row r="8" spans="1:7" x14ac:dyDescent="0.35">
      <c r="A8">
        <v>1400.5</v>
      </c>
      <c r="B8">
        <v>-20</v>
      </c>
      <c r="C8">
        <v>1.3838999999999999</v>
      </c>
      <c r="E8">
        <f t="shared" si="0"/>
        <v>141905662.5</v>
      </c>
      <c r="F8">
        <f t="shared" si="1"/>
        <v>253.14999999999998</v>
      </c>
      <c r="G8">
        <f t="shared" si="2"/>
        <v>722.59556326324162</v>
      </c>
    </row>
    <row r="9" spans="1:7" x14ac:dyDescent="0.35">
      <c r="A9">
        <v>1587.2</v>
      </c>
      <c r="B9">
        <v>-20</v>
      </c>
      <c r="C9">
        <v>1.3756999999999999</v>
      </c>
      <c r="E9">
        <f t="shared" si="0"/>
        <v>160823040</v>
      </c>
      <c r="F9">
        <f t="shared" si="1"/>
        <v>253.14999999999998</v>
      </c>
      <c r="G9">
        <f t="shared" si="2"/>
        <v>726.90266773279075</v>
      </c>
    </row>
    <row r="10" spans="1:7" x14ac:dyDescent="0.35">
      <c r="A10">
        <v>283.10000000000002</v>
      </c>
      <c r="B10">
        <v>0</v>
      </c>
      <c r="C10">
        <v>1.5267999999999999</v>
      </c>
      <c r="E10">
        <f t="shared" si="0"/>
        <v>28685107.500000004</v>
      </c>
      <c r="F10">
        <f t="shared" si="1"/>
        <v>273.14999999999998</v>
      </c>
      <c r="G10">
        <f t="shared" si="2"/>
        <v>654.96463190987697</v>
      </c>
    </row>
    <row r="11" spans="1:7" x14ac:dyDescent="0.35">
      <c r="A11">
        <v>469.5</v>
      </c>
      <c r="B11">
        <v>0</v>
      </c>
      <c r="C11">
        <v>1.5008999999999999</v>
      </c>
      <c r="E11">
        <f t="shared" si="0"/>
        <v>47572087.5</v>
      </c>
      <c r="F11">
        <f t="shared" si="1"/>
        <v>273.14999999999998</v>
      </c>
      <c r="G11">
        <f t="shared" si="2"/>
        <v>666.26690652275317</v>
      </c>
    </row>
    <row r="12" spans="1:7" x14ac:dyDescent="0.35">
      <c r="A12">
        <v>654.9</v>
      </c>
      <c r="B12">
        <v>0</v>
      </c>
      <c r="C12">
        <v>1.4812000000000001</v>
      </c>
      <c r="E12">
        <f t="shared" si="0"/>
        <v>66357742.5</v>
      </c>
      <c r="F12">
        <f t="shared" si="1"/>
        <v>273.14999999999998</v>
      </c>
      <c r="G12">
        <f t="shared" si="2"/>
        <v>675.1282743721307</v>
      </c>
    </row>
    <row r="13" spans="1:7" x14ac:dyDescent="0.35">
      <c r="A13">
        <v>841.4</v>
      </c>
      <c r="B13">
        <v>0</v>
      </c>
      <c r="C13">
        <v>1.4636</v>
      </c>
      <c r="E13">
        <f t="shared" si="0"/>
        <v>85254855</v>
      </c>
      <c r="F13">
        <f t="shared" si="1"/>
        <v>273.14999999999998</v>
      </c>
      <c r="G13">
        <f t="shared" si="2"/>
        <v>683.24678874009294</v>
      </c>
    </row>
    <row r="14" spans="1:7" x14ac:dyDescent="0.35">
      <c r="A14">
        <v>1027.9000000000001</v>
      </c>
      <c r="B14">
        <v>0</v>
      </c>
      <c r="C14">
        <v>1.4478</v>
      </c>
      <c r="E14">
        <f t="shared" si="0"/>
        <v>104151967.50000001</v>
      </c>
      <c r="F14">
        <f t="shared" si="1"/>
        <v>273.14999999999998</v>
      </c>
      <c r="G14">
        <f t="shared" si="2"/>
        <v>690.70313579223659</v>
      </c>
    </row>
    <row r="15" spans="1:7" x14ac:dyDescent="0.35">
      <c r="A15">
        <v>1214.0999999999999</v>
      </c>
      <c r="B15">
        <v>0</v>
      </c>
      <c r="C15">
        <v>1.4331</v>
      </c>
      <c r="E15">
        <f t="shared" si="0"/>
        <v>123018682.49999999</v>
      </c>
      <c r="F15">
        <f t="shared" si="1"/>
        <v>273.14999999999998</v>
      </c>
      <c r="G15">
        <f t="shared" si="2"/>
        <v>697.78801200195392</v>
      </c>
    </row>
    <row r="16" spans="1:7" x14ac:dyDescent="0.35">
      <c r="A16">
        <v>1400.5</v>
      </c>
      <c r="B16">
        <v>0</v>
      </c>
      <c r="C16">
        <v>1.4189000000000001</v>
      </c>
      <c r="E16">
        <f t="shared" si="0"/>
        <v>141905662.5</v>
      </c>
      <c r="F16">
        <f t="shared" si="1"/>
        <v>273.14999999999998</v>
      </c>
      <c r="G16">
        <f t="shared" si="2"/>
        <v>704.77130171259432</v>
      </c>
    </row>
    <row r="17" spans="1:7" x14ac:dyDescent="0.35">
      <c r="A17">
        <v>1587.2</v>
      </c>
      <c r="B17">
        <v>0</v>
      </c>
      <c r="C17">
        <v>1.4064000000000001</v>
      </c>
      <c r="E17">
        <f t="shared" si="0"/>
        <v>160823040</v>
      </c>
      <c r="F17">
        <f t="shared" si="1"/>
        <v>273.14999999999998</v>
      </c>
      <c r="G17">
        <f t="shared" si="2"/>
        <v>711.03526734926049</v>
      </c>
    </row>
    <row r="18" spans="1:7" x14ac:dyDescent="0.35">
      <c r="A18">
        <v>95.3</v>
      </c>
      <c r="B18">
        <v>25</v>
      </c>
      <c r="C18">
        <v>1.6389</v>
      </c>
      <c r="E18">
        <f t="shared" si="0"/>
        <v>9656272.5</v>
      </c>
      <c r="F18">
        <f t="shared" si="1"/>
        <v>298.14999999999998</v>
      </c>
      <c r="G18">
        <f t="shared" si="2"/>
        <v>610.16535481115386</v>
      </c>
    </row>
    <row r="19" spans="1:7" x14ac:dyDescent="0.35">
      <c r="A19">
        <v>283.10000000000002</v>
      </c>
      <c r="B19">
        <v>25</v>
      </c>
      <c r="C19">
        <v>1.6004</v>
      </c>
      <c r="E19">
        <f t="shared" si="0"/>
        <v>28685107.500000004</v>
      </c>
      <c r="F19">
        <f t="shared" si="1"/>
        <v>298.14999999999998</v>
      </c>
      <c r="G19">
        <f t="shared" si="2"/>
        <v>624.84378905273684</v>
      </c>
    </row>
    <row r="20" spans="1:7" x14ac:dyDescent="0.35">
      <c r="A20">
        <v>376.5</v>
      </c>
      <c r="B20">
        <v>25</v>
      </c>
      <c r="C20">
        <v>1.585</v>
      </c>
      <c r="E20">
        <f t="shared" si="0"/>
        <v>38148862.5</v>
      </c>
      <c r="F20">
        <f t="shared" si="1"/>
        <v>298.14999999999998</v>
      </c>
      <c r="G20">
        <f t="shared" si="2"/>
        <v>630.9148264984226</v>
      </c>
    </row>
    <row r="21" spans="1:7" x14ac:dyDescent="0.35">
      <c r="A21">
        <v>469.5</v>
      </c>
      <c r="B21">
        <v>25</v>
      </c>
      <c r="C21">
        <v>1.5691999999999999</v>
      </c>
      <c r="E21">
        <f t="shared" si="0"/>
        <v>47572087.5</v>
      </c>
      <c r="F21">
        <f t="shared" si="1"/>
        <v>298.14999999999998</v>
      </c>
      <c r="G21">
        <f t="shared" si="2"/>
        <v>637.267397399949</v>
      </c>
    </row>
    <row r="22" spans="1:7" x14ac:dyDescent="0.35">
      <c r="A22">
        <v>563</v>
      </c>
      <c r="B22">
        <v>25</v>
      </c>
      <c r="C22">
        <v>1.5530999999999999</v>
      </c>
      <c r="E22">
        <f t="shared" si="0"/>
        <v>57045975</v>
      </c>
      <c r="F22">
        <f t="shared" si="1"/>
        <v>298.14999999999998</v>
      </c>
      <c r="G22">
        <f t="shared" si="2"/>
        <v>643.87354323610839</v>
      </c>
    </row>
    <row r="23" spans="1:7" x14ac:dyDescent="0.35">
      <c r="A23">
        <v>654.9</v>
      </c>
      <c r="B23">
        <v>25</v>
      </c>
      <c r="C23">
        <v>1.5424</v>
      </c>
      <c r="E23">
        <f t="shared" si="0"/>
        <v>66357742.5</v>
      </c>
      <c r="F23">
        <f t="shared" si="1"/>
        <v>298.14999999999998</v>
      </c>
      <c r="G23">
        <f t="shared" si="2"/>
        <v>648.34024896265566</v>
      </c>
    </row>
    <row r="24" spans="1:7" x14ac:dyDescent="0.35">
      <c r="A24">
        <v>841.4</v>
      </c>
      <c r="B24">
        <v>25</v>
      </c>
      <c r="C24">
        <v>1.5164</v>
      </c>
      <c r="E24">
        <f t="shared" si="0"/>
        <v>85254855</v>
      </c>
      <c r="F24">
        <f t="shared" si="1"/>
        <v>298.14999999999998</v>
      </c>
      <c r="G24">
        <f t="shared" si="2"/>
        <v>659.4566077552098</v>
      </c>
    </row>
    <row r="25" spans="1:7" x14ac:dyDescent="0.35">
      <c r="A25">
        <v>1027.9000000000001</v>
      </c>
      <c r="B25">
        <v>25</v>
      </c>
      <c r="C25">
        <v>1.4977</v>
      </c>
      <c r="E25">
        <f t="shared" si="0"/>
        <v>104151967.50000001</v>
      </c>
      <c r="F25">
        <f t="shared" si="1"/>
        <v>298.14999999999998</v>
      </c>
      <c r="G25">
        <f t="shared" si="2"/>
        <v>667.69045870334514</v>
      </c>
    </row>
    <row r="26" spans="1:7" x14ac:dyDescent="0.35">
      <c r="A26">
        <v>1214.0999999999999</v>
      </c>
      <c r="B26">
        <v>25</v>
      </c>
      <c r="C26">
        <v>1.4777</v>
      </c>
      <c r="E26">
        <f t="shared" si="0"/>
        <v>123018682.49999999</v>
      </c>
      <c r="F26">
        <f t="shared" si="1"/>
        <v>298.14999999999998</v>
      </c>
      <c r="G26">
        <f t="shared" si="2"/>
        <v>676.72734655207421</v>
      </c>
    </row>
    <row r="27" spans="1:7" x14ac:dyDescent="0.35">
      <c r="A27">
        <v>1400.5</v>
      </c>
      <c r="B27">
        <v>25</v>
      </c>
      <c r="C27">
        <v>1.4593</v>
      </c>
      <c r="E27">
        <f t="shared" si="0"/>
        <v>141905662.5</v>
      </c>
      <c r="F27">
        <f t="shared" si="1"/>
        <v>298.14999999999998</v>
      </c>
      <c r="G27">
        <f t="shared" si="2"/>
        <v>685.26005619132468</v>
      </c>
    </row>
    <row r="28" spans="1:7" x14ac:dyDescent="0.35">
      <c r="A28">
        <v>1587.2</v>
      </c>
      <c r="B28">
        <v>25</v>
      </c>
      <c r="C28">
        <v>1.4471000000000001</v>
      </c>
      <c r="E28">
        <f t="shared" si="0"/>
        <v>160823040</v>
      </c>
      <c r="F28">
        <f t="shared" si="1"/>
        <v>298.14999999999998</v>
      </c>
      <c r="G28">
        <f t="shared" si="2"/>
        <v>691.03724690760828</v>
      </c>
    </row>
    <row r="29" spans="1:7" x14ac:dyDescent="0.35">
      <c r="A29">
        <v>1773.6</v>
      </c>
      <c r="B29">
        <v>25</v>
      </c>
      <c r="C29">
        <v>1.4335</v>
      </c>
      <c r="E29">
        <f t="shared" si="0"/>
        <v>179710020</v>
      </c>
      <c r="F29">
        <f t="shared" si="1"/>
        <v>298.14999999999998</v>
      </c>
      <c r="G29">
        <f t="shared" si="2"/>
        <v>697.59330310429027</v>
      </c>
    </row>
    <row r="30" spans="1:7" x14ac:dyDescent="0.35">
      <c r="A30">
        <v>283.10000000000002</v>
      </c>
      <c r="B30">
        <v>40</v>
      </c>
      <c r="C30">
        <v>1.6537999999999999</v>
      </c>
      <c r="E30">
        <f t="shared" si="0"/>
        <v>28685107.500000004</v>
      </c>
      <c r="F30">
        <f t="shared" si="1"/>
        <v>313.14999999999998</v>
      </c>
      <c r="G30">
        <f t="shared" si="2"/>
        <v>604.66803724755107</v>
      </c>
    </row>
    <row r="31" spans="1:7" x14ac:dyDescent="0.35">
      <c r="A31">
        <v>469.5</v>
      </c>
      <c r="B31">
        <v>40</v>
      </c>
      <c r="C31">
        <v>1.6161000000000001</v>
      </c>
      <c r="E31">
        <f t="shared" si="0"/>
        <v>47572087.5</v>
      </c>
      <c r="F31">
        <f t="shared" si="1"/>
        <v>313.14999999999998</v>
      </c>
      <c r="G31">
        <f t="shared" si="2"/>
        <v>618.77359074314711</v>
      </c>
    </row>
    <row r="32" spans="1:7" x14ac:dyDescent="0.35">
      <c r="A32">
        <v>654.9</v>
      </c>
      <c r="B32">
        <v>40</v>
      </c>
      <c r="C32">
        <v>1.5849</v>
      </c>
      <c r="E32">
        <f t="shared" si="0"/>
        <v>66357742.5</v>
      </c>
      <c r="F32">
        <f t="shared" si="1"/>
        <v>313.14999999999998</v>
      </c>
      <c r="G32">
        <f t="shared" si="2"/>
        <v>630.95463436178943</v>
      </c>
    </row>
    <row r="33" spans="1:7" x14ac:dyDescent="0.35">
      <c r="A33">
        <v>841.4</v>
      </c>
      <c r="B33">
        <v>40</v>
      </c>
      <c r="C33">
        <v>1.5579000000000001</v>
      </c>
      <c r="E33">
        <f t="shared" si="0"/>
        <v>85254855</v>
      </c>
      <c r="F33">
        <f t="shared" si="1"/>
        <v>313.14999999999998</v>
      </c>
      <c r="G33">
        <f t="shared" si="2"/>
        <v>641.88972334552921</v>
      </c>
    </row>
    <row r="34" spans="1:7" x14ac:dyDescent="0.35">
      <c r="A34">
        <v>1027.9000000000001</v>
      </c>
      <c r="B34">
        <v>40</v>
      </c>
      <c r="C34">
        <v>1.5342</v>
      </c>
      <c r="E34">
        <f t="shared" si="0"/>
        <v>104151967.50000001</v>
      </c>
      <c r="F34">
        <f t="shared" si="1"/>
        <v>313.14999999999998</v>
      </c>
      <c r="G34">
        <f t="shared" si="2"/>
        <v>651.80550123843045</v>
      </c>
    </row>
    <row r="35" spans="1:7" x14ac:dyDescent="0.35">
      <c r="A35">
        <v>1214.0999999999999</v>
      </c>
      <c r="B35">
        <v>40</v>
      </c>
      <c r="C35">
        <v>1.5132000000000001</v>
      </c>
      <c r="E35">
        <f t="shared" si="0"/>
        <v>123018682.49999999</v>
      </c>
      <c r="F35">
        <f t="shared" si="1"/>
        <v>313.14999999999998</v>
      </c>
      <c r="G35">
        <f t="shared" si="2"/>
        <v>660.85117631509388</v>
      </c>
    </row>
    <row r="36" spans="1:7" x14ac:dyDescent="0.35">
      <c r="A36">
        <v>1400.5</v>
      </c>
      <c r="B36">
        <v>40</v>
      </c>
      <c r="C36">
        <v>1.4943</v>
      </c>
      <c r="E36">
        <f t="shared" si="0"/>
        <v>141905662.5</v>
      </c>
      <c r="F36">
        <f t="shared" si="1"/>
        <v>313.14999999999998</v>
      </c>
      <c r="G36">
        <f t="shared" si="2"/>
        <v>669.20966338753931</v>
      </c>
    </row>
    <row r="37" spans="1:7" x14ac:dyDescent="0.35">
      <c r="A37">
        <v>1587.2</v>
      </c>
      <c r="B37">
        <v>40</v>
      </c>
      <c r="C37">
        <v>1.4771000000000001</v>
      </c>
      <c r="E37">
        <f t="shared" si="0"/>
        <v>160823040</v>
      </c>
      <c r="F37">
        <f t="shared" si="1"/>
        <v>313.14999999999998</v>
      </c>
      <c r="G37">
        <f t="shared" si="2"/>
        <v>677.00223410737249</v>
      </c>
    </row>
    <row r="38" spans="1:7" x14ac:dyDescent="0.35">
      <c r="A38">
        <v>1742.1</v>
      </c>
      <c r="B38">
        <v>40</v>
      </c>
      <c r="C38">
        <v>1.4639</v>
      </c>
      <c r="E38">
        <f t="shared" si="0"/>
        <v>176518282.5</v>
      </c>
      <c r="F38">
        <f t="shared" si="1"/>
        <v>313.14999999999998</v>
      </c>
      <c r="G38">
        <f t="shared" si="2"/>
        <v>683.10676958808654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35BA-C79F-412B-9236-C903150E2760}">
  <dimension ref="A1:G128"/>
  <sheetViews>
    <sheetView zoomScale="70" zoomScaleNormal="70" workbookViewId="0">
      <selection activeCell="E2" sqref="E2:G128"/>
    </sheetView>
  </sheetViews>
  <sheetFormatPr defaultRowHeight="14.5" x14ac:dyDescent="0.35"/>
  <cols>
    <col min="1" max="1" width="7.453125" bestFit="1" customWidth="1"/>
    <col min="2" max="2" width="10" bestFit="1" customWidth="1"/>
    <col min="3" max="3" width="8.7265625" bestFit="1" customWidth="1"/>
    <col min="4" max="5" width="11.1796875" bestFit="1" customWidth="1"/>
    <col min="6" max="6" width="7" bestFit="1" customWidth="1"/>
    <col min="7" max="7" width="11.7265625" bestFit="1" customWidth="1"/>
    <col min="8" max="10" width="7" bestFit="1" customWidth="1"/>
  </cols>
  <sheetData>
    <row r="1" spans="1:7" x14ac:dyDescent="0.35">
      <c r="A1" t="s">
        <v>22</v>
      </c>
      <c r="B1" t="s">
        <v>8</v>
      </c>
      <c r="C1" t="s">
        <v>9</v>
      </c>
      <c r="E1" t="s">
        <v>7</v>
      </c>
      <c r="F1" t="s">
        <v>8</v>
      </c>
      <c r="G1" t="s">
        <v>9</v>
      </c>
    </row>
    <row r="2" spans="1:7" x14ac:dyDescent="0.35">
      <c r="A2">
        <v>17</v>
      </c>
      <c r="B2">
        <v>310</v>
      </c>
      <c r="C2">
        <v>600.71</v>
      </c>
      <c r="E2">
        <f t="shared" ref="E2:E33" si="0">A2*1000000</f>
        <v>17000000</v>
      </c>
      <c r="F2">
        <f>B2</f>
        <v>310</v>
      </c>
      <c r="G2">
        <f>C2</f>
        <v>600.71</v>
      </c>
    </row>
    <row r="3" spans="1:7" x14ac:dyDescent="0.35">
      <c r="A3">
        <v>16</v>
      </c>
      <c r="B3">
        <v>310</v>
      </c>
      <c r="C3">
        <v>599.79999999999995</v>
      </c>
      <c r="E3">
        <f t="shared" si="0"/>
        <v>16000000</v>
      </c>
      <c r="F3">
        <f t="shared" ref="F3:F66" si="1">B3</f>
        <v>310</v>
      </c>
      <c r="G3">
        <f t="shared" ref="G3:G66" si="2">C3</f>
        <v>599.79999999999995</v>
      </c>
    </row>
    <row r="4" spans="1:7" x14ac:dyDescent="0.35">
      <c r="A4">
        <v>15</v>
      </c>
      <c r="B4">
        <v>310</v>
      </c>
      <c r="C4">
        <v>598.87</v>
      </c>
      <c r="E4">
        <f t="shared" si="0"/>
        <v>15000000</v>
      </c>
      <c r="F4">
        <f t="shared" si="1"/>
        <v>310</v>
      </c>
      <c r="G4">
        <f t="shared" si="2"/>
        <v>598.87</v>
      </c>
    </row>
    <row r="5" spans="1:7" x14ac:dyDescent="0.35">
      <c r="A5">
        <v>14</v>
      </c>
      <c r="B5">
        <v>310</v>
      </c>
      <c r="C5">
        <v>597.84</v>
      </c>
      <c r="E5">
        <f t="shared" si="0"/>
        <v>14000000</v>
      </c>
      <c r="F5">
        <f t="shared" si="1"/>
        <v>310</v>
      </c>
      <c r="G5">
        <f t="shared" si="2"/>
        <v>597.84</v>
      </c>
    </row>
    <row r="6" spans="1:7" x14ac:dyDescent="0.35">
      <c r="A6">
        <v>13</v>
      </c>
      <c r="B6">
        <v>310</v>
      </c>
      <c r="C6">
        <v>596.92999999999995</v>
      </c>
      <c r="E6">
        <f t="shared" si="0"/>
        <v>13000000</v>
      </c>
      <c r="F6">
        <f t="shared" si="1"/>
        <v>310</v>
      </c>
      <c r="G6">
        <f t="shared" si="2"/>
        <v>596.92999999999995</v>
      </c>
    </row>
    <row r="7" spans="1:7" x14ac:dyDescent="0.35">
      <c r="A7">
        <v>12</v>
      </c>
      <c r="B7">
        <v>310</v>
      </c>
      <c r="C7">
        <v>595.92999999999995</v>
      </c>
      <c r="E7">
        <f t="shared" si="0"/>
        <v>12000000</v>
      </c>
      <c r="F7">
        <f t="shared" si="1"/>
        <v>310</v>
      </c>
      <c r="G7">
        <f t="shared" si="2"/>
        <v>595.92999999999995</v>
      </c>
    </row>
    <row r="8" spans="1:7" x14ac:dyDescent="0.35">
      <c r="A8">
        <v>11</v>
      </c>
      <c r="B8">
        <v>310</v>
      </c>
      <c r="C8">
        <v>594.91</v>
      </c>
      <c r="E8">
        <f t="shared" si="0"/>
        <v>11000000</v>
      </c>
      <c r="F8">
        <f t="shared" si="1"/>
        <v>310</v>
      </c>
      <c r="G8">
        <f t="shared" si="2"/>
        <v>594.91</v>
      </c>
    </row>
    <row r="9" spans="1:7" x14ac:dyDescent="0.35">
      <c r="A9">
        <v>10</v>
      </c>
      <c r="B9">
        <v>310</v>
      </c>
      <c r="C9">
        <v>594.01</v>
      </c>
      <c r="E9">
        <f t="shared" si="0"/>
        <v>10000000</v>
      </c>
      <c r="F9">
        <f t="shared" si="1"/>
        <v>310</v>
      </c>
      <c r="G9">
        <f t="shared" si="2"/>
        <v>594.01</v>
      </c>
    </row>
    <row r="10" spans="1:7" x14ac:dyDescent="0.35">
      <c r="A10">
        <v>9</v>
      </c>
      <c r="B10">
        <v>310</v>
      </c>
      <c r="C10">
        <v>592.98</v>
      </c>
      <c r="E10">
        <f t="shared" si="0"/>
        <v>9000000</v>
      </c>
      <c r="F10">
        <f t="shared" si="1"/>
        <v>310</v>
      </c>
      <c r="G10">
        <f t="shared" si="2"/>
        <v>592.98</v>
      </c>
    </row>
    <row r="11" spans="1:7" x14ac:dyDescent="0.35">
      <c r="A11">
        <v>8</v>
      </c>
      <c r="B11">
        <v>310</v>
      </c>
      <c r="C11">
        <v>591.99</v>
      </c>
      <c r="E11">
        <f t="shared" si="0"/>
        <v>8000000</v>
      </c>
      <c r="F11">
        <f t="shared" si="1"/>
        <v>310</v>
      </c>
      <c r="G11">
        <f t="shared" si="2"/>
        <v>591.99</v>
      </c>
    </row>
    <row r="12" spans="1:7" x14ac:dyDescent="0.35">
      <c r="A12">
        <v>7</v>
      </c>
      <c r="B12">
        <v>310</v>
      </c>
      <c r="C12">
        <v>590.82000000000005</v>
      </c>
      <c r="E12">
        <f t="shared" si="0"/>
        <v>7000000</v>
      </c>
      <c r="F12">
        <f t="shared" si="1"/>
        <v>310</v>
      </c>
      <c r="G12">
        <f t="shared" si="2"/>
        <v>590.82000000000005</v>
      </c>
    </row>
    <row r="13" spans="1:7" x14ac:dyDescent="0.35">
      <c r="A13">
        <v>6</v>
      </c>
      <c r="B13">
        <v>310</v>
      </c>
      <c r="C13">
        <v>589.75</v>
      </c>
      <c r="E13">
        <f t="shared" si="0"/>
        <v>6000000</v>
      </c>
      <c r="F13">
        <f t="shared" si="1"/>
        <v>310</v>
      </c>
      <c r="G13">
        <f t="shared" si="2"/>
        <v>589.75</v>
      </c>
    </row>
    <row r="14" spans="1:7" x14ac:dyDescent="0.35">
      <c r="A14">
        <v>5</v>
      </c>
      <c r="B14">
        <v>310</v>
      </c>
      <c r="C14">
        <v>588.69000000000005</v>
      </c>
      <c r="E14">
        <f t="shared" si="0"/>
        <v>5000000</v>
      </c>
      <c r="F14">
        <f t="shared" si="1"/>
        <v>310</v>
      </c>
      <c r="G14">
        <f t="shared" si="2"/>
        <v>588.69000000000005</v>
      </c>
    </row>
    <row r="15" spans="1:7" x14ac:dyDescent="0.35">
      <c r="A15">
        <v>4</v>
      </c>
      <c r="B15">
        <v>310</v>
      </c>
      <c r="C15">
        <v>587.6</v>
      </c>
      <c r="E15">
        <f t="shared" si="0"/>
        <v>4000000</v>
      </c>
      <c r="F15">
        <f t="shared" si="1"/>
        <v>310</v>
      </c>
      <c r="G15">
        <f t="shared" si="2"/>
        <v>587.6</v>
      </c>
    </row>
    <row r="16" spans="1:7" x14ac:dyDescent="0.35">
      <c r="A16">
        <v>3</v>
      </c>
      <c r="B16">
        <v>310</v>
      </c>
      <c r="C16">
        <v>586.47</v>
      </c>
      <c r="E16">
        <f t="shared" si="0"/>
        <v>3000000</v>
      </c>
      <c r="F16">
        <f t="shared" si="1"/>
        <v>310</v>
      </c>
      <c r="G16">
        <f t="shared" si="2"/>
        <v>586.47</v>
      </c>
    </row>
    <row r="17" spans="1:7" x14ac:dyDescent="0.35">
      <c r="A17">
        <v>2</v>
      </c>
      <c r="B17">
        <v>310</v>
      </c>
      <c r="C17">
        <v>585.39</v>
      </c>
      <c r="E17">
        <f t="shared" si="0"/>
        <v>2000000</v>
      </c>
      <c r="F17">
        <f t="shared" si="1"/>
        <v>310</v>
      </c>
      <c r="G17">
        <f t="shared" si="2"/>
        <v>585.39</v>
      </c>
    </row>
    <row r="18" spans="1:7" x14ac:dyDescent="0.35">
      <c r="A18">
        <v>1.8</v>
      </c>
      <c r="B18">
        <v>310</v>
      </c>
      <c r="C18">
        <v>585.14</v>
      </c>
      <c r="E18">
        <f t="shared" si="0"/>
        <v>1800000</v>
      </c>
      <c r="F18">
        <f t="shared" si="1"/>
        <v>310</v>
      </c>
      <c r="G18">
        <f t="shared" si="2"/>
        <v>585.14</v>
      </c>
    </row>
    <row r="19" spans="1:7" x14ac:dyDescent="0.35">
      <c r="A19">
        <v>1.6</v>
      </c>
      <c r="B19">
        <v>310</v>
      </c>
      <c r="C19">
        <v>584.91999999999996</v>
      </c>
      <c r="E19">
        <f t="shared" si="0"/>
        <v>1600000</v>
      </c>
      <c r="F19">
        <f t="shared" si="1"/>
        <v>310</v>
      </c>
      <c r="G19">
        <f t="shared" si="2"/>
        <v>584.91999999999996</v>
      </c>
    </row>
    <row r="20" spans="1:7" x14ac:dyDescent="0.35">
      <c r="A20">
        <v>17</v>
      </c>
      <c r="B20">
        <v>313.14</v>
      </c>
      <c r="C20">
        <v>596.1</v>
      </c>
      <c r="E20">
        <f t="shared" si="0"/>
        <v>17000000</v>
      </c>
      <c r="F20">
        <f t="shared" si="1"/>
        <v>313.14</v>
      </c>
      <c r="G20">
        <f t="shared" si="2"/>
        <v>596.1</v>
      </c>
    </row>
    <row r="21" spans="1:7" x14ac:dyDescent="0.35">
      <c r="A21">
        <v>16</v>
      </c>
      <c r="B21">
        <v>313.14</v>
      </c>
      <c r="C21">
        <v>595.15</v>
      </c>
      <c r="E21">
        <f t="shared" si="0"/>
        <v>16000000</v>
      </c>
      <c r="F21">
        <f t="shared" si="1"/>
        <v>313.14</v>
      </c>
      <c r="G21">
        <f t="shared" si="2"/>
        <v>595.15</v>
      </c>
    </row>
    <row r="22" spans="1:7" x14ac:dyDescent="0.35">
      <c r="A22">
        <v>15</v>
      </c>
      <c r="B22">
        <v>313.14</v>
      </c>
      <c r="C22">
        <v>594.25</v>
      </c>
      <c r="E22">
        <f t="shared" si="0"/>
        <v>15000000</v>
      </c>
      <c r="F22">
        <f t="shared" si="1"/>
        <v>313.14</v>
      </c>
      <c r="G22">
        <f t="shared" si="2"/>
        <v>594.25</v>
      </c>
    </row>
    <row r="23" spans="1:7" x14ac:dyDescent="0.35">
      <c r="A23">
        <v>14</v>
      </c>
      <c r="B23">
        <v>313.14</v>
      </c>
      <c r="C23">
        <v>593.20000000000005</v>
      </c>
      <c r="E23">
        <f t="shared" si="0"/>
        <v>14000000</v>
      </c>
      <c r="F23">
        <f t="shared" si="1"/>
        <v>313.14</v>
      </c>
      <c r="G23">
        <f t="shared" si="2"/>
        <v>593.20000000000005</v>
      </c>
    </row>
    <row r="24" spans="1:7" x14ac:dyDescent="0.35">
      <c r="A24">
        <v>13</v>
      </c>
      <c r="B24">
        <v>313.14</v>
      </c>
      <c r="C24">
        <v>592.20000000000005</v>
      </c>
      <c r="E24">
        <f t="shared" si="0"/>
        <v>13000000</v>
      </c>
      <c r="F24">
        <f t="shared" si="1"/>
        <v>313.14</v>
      </c>
      <c r="G24">
        <f t="shared" si="2"/>
        <v>592.20000000000005</v>
      </c>
    </row>
    <row r="25" spans="1:7" x14ac:dyDescent="0.35">
      <c r="A25">
        <v>12</v>
      </c>
      <c r="B25">
        <v>313.14</v>
      </c>
      <c r="C25">
        <v>591.24</v>
      </c>
      <c r="E25">
        <f t="shared" si="0"/>
        <v>12000000</v>
      </c>
      <c r="F25">
        <f t="shared" si="1"/>
        <v>313.14</v>
      </c>
      <c r="G25">
        <f t="shared" si="2"/>
        <v>591.24</v>
      </c>
    </row>
    <row r="26" spans="1:7" x14ac:dyDescent="0.35">
      <c r="A26">
        <v>11</v>
      </c>
      <c r="B26">
        <v>313.14</v>
      </c>
      <c r="C26">
        <v>590.24</v>
      </c>
      <c r="E26">
        <f t="shared" si="0"/>
        <v>11000000</v>
      </c>
      <c r="F26">
        <f t="shared" si="1"/>
        <v>313.14</v>
      </c>
      <c r="G26">
        <f t="shared" si="2"/>
        <v>590.24</v>
      </c>
    </row>
    <row r="27" spans="1:7" x14ac:dyDescent="0.35">
      <c r="A27">
        <v>10</v>
      </c>
      <c r="B27">
        <v>313.14</v>
      </c>
      <c r="C27">
        <v>589.09</v>
      </c>
      <c r="E27">
        <f t="shared" si="0"/>
        <v>10000000</v>
      </c>
      <c r="F27">
        <f t="shared" si="1"/>
        <v>313.14</v>
      </c>
      <c r="G27">
        <f t="shared" si="2"/>
        <v>589.09</v>
      </c>
    </row>
    <row r="28" spans="1:7" x14ac:dyDescent="0.35">
      <c r="A28">
        <v>9</v>
      </c>
      <c r="B28">
        <v>313.14</v>
      </c>
      <c r="C28">
        <v>588.08000000000004</v>
      </c>
      <c r="E28">
        <f t="shared" si="0"/>
        <v>9000000</v>
      </c>
      <c r="F28">
        <f t="shared" si="1"/>
        <v>313.14</v>
      </c>
      <c r="G28">
        <f t="shared" si="2"/>
        <v>588.08000000000004</v>
      </c>
    </row>
    <row r="29" spans="1:7" x14ac:dyDescent="0.35">
      <c r="A29">
        <v>8</v>
      </c>
      <c r="B29">
        <v>313.14</v>
      </c>
      <c r="C29">
        <v>587.03</v>
      </c>
      <c r="E29">
        <f t="shared" si="0"/>
        <v>8000000</v>
      </c>
      <c r="F29">
        <f t="shared" si="1"/>
        <v>313.14</v>
      </c>
      <c r="G29">
        <f t="shared" si="2"/>
        <v>587.03</v>
      </c>
    </row>
    <row r="30" spans="1:7" x14ac:dyDescent="0.35">
      <c r="A30">
        <v>7</v>
      </c>
      <c r="B30">
        <v>313.14</v>
      </c>
      <c r="C30">
        <v>585.87</v>
      </c>
      <c r="E30">
        <f t="shared" si="0"/>
        <v>7000000</v>
      </c>
      <c r="F30">
        <f t="shared" si="1"/>
        <v>313.14</v>
      </c>
      <c r="G30">
        <f t="shared" si="2"/>
        <v>585.87</v>
      </c>
    </row>
    <row r="31" spans="1:7" x14ac:dyDescent="0.35">
      <c r="A31">
        <v>6</v>
      </c>
      <c r="B31">
        <v>313.14</v>
      </c>
      <c r="C31">
        <v>584.79999999999995</v>
      </c>
      <c r="E31">
        <f t="shared" si="0"/>
        <v>6000000</v>
      </c>
      <c r="F31">
        <f t="shared" si="1"/>
        <v>313.14</v>
      </c>
      <c r="G31">
        <f t="shared" si="2"/>
        <v>584.79999999999995</v>
      </c>
    </row>
    <row r="32" spans="1:7" x14ac:dyDescent="0.35">
      <c r="A32">
        <v>5</v>
      </c>
      <c r="B32">
        <v>313.14</v>
      </c>
      <c r="C32">
        <v>583.69000000000005</v>
      </c>
      <c r="E32">
        <f t="shared" si="0"/>
        <v>5000000</v>
      </c>
      <c r="F32">
        <f t="shared" si="1"/>
        <v>313.14</v>
      </c>
      <c r="G32">
        <f t="shared" si="2"/>
        <v>583.69000000000005</v>
      </c>
    </row>
    <row r="33" spans="1:7" x14ac:dyDescent="0.35">
      <c r="A33">
        <v>4</v>
      </c>
      <c r="B33">
        <v>313.14</v>
      </c>
      <c r="C33">
        <v>582.6</v>
      </c>
      <c r="E33">
        <f t="shared" si="0"/>
        <v>4000000</v>
      </c>
      <c r="F33">
        <f t="shared" si="1"/>
        <v>313.14</v>
      </c>
      <c r="G33">
        <f t="shared" si="2"/>
        <v>582.6</v>
      </c>
    </row>
    <row r="34" spans="1:7" x14ac:dyDescent="0.35">
      <c r="A34">
        <v>3</v>
      </c>
      <c r="B34">
        <v>313.14</v>
      </c>
      <c r="C34">
        <v>581.42999999999995</v>
      </c>
      <c r="E34">
        <f t="shared" ref="E34:E65" si="3">A34*1000000</f>
        <v>3000000</v>
      </c>
      <c r="F34">
        <f t="shared" si="1"/>
        <v>313.14</v>
      </c>
      <c r="G34">
        <f t="shared" si="2"/>
        <v>581.42999999999995</v>
      </c>
    </row>
    <row r="35" spans="1:7" x14ac:dyDescent="0.35">
      <c r="A35">
        <v>2</v>
      </c>
      <c r="B35">
        <v>313.14</v>
      </c>
      <c r="C35">
        <v>580.22</v>
      </c>
      <c r="E35">
        <f t="shared" si="3"/>
        <v>2000000</v>
      </c>
      <c r="F35">
        <f t="shared" si="1"/>
        <v>313.14</v>
      </c>
      <c r="G35">
        <f t="shared" si="2"/>
        <v>580.22</v>
      </c>
    </row>
    <row r="36" spans="1:7" x14ac:dyDescent="0.35">
      <c r="A36">
        <v>1.8</v>
      </c>
      <c r="B36">
        <v>313.14</v>
      </c>
      <c r="C36">
        <v>579.96</v>
      </c>
      <c r="E36">
        <f t="shared" si="3"/>
        <v>1800000</v>
      </c>
      <c r="F36">
        <f t="shared" si="1"/>
        <v>313.14</v>
      </c>
      <c r="G36">
        <f t="shared" si="2"/>
        <v>579.96</v>
      </c>
    </row>
    <row r="37" spans="1:7" x14ac:dyDescent="0.35">
      <c r="A37">
        <v>1.6</v>
      </c>
      <c r="B37">
        <v>313.14</v>
      </c>
      <c r="C37">
        <v>579.72</v>
      </c>
      <c r="E37">
        <f t="shared" si="3"/>
        <v>1600000</v>
      </c>
      <c r="F37">
        <f t="shared" si="1"/>
        <v>313.14</v>
      </c>
      <c r="G37">
        <f t="shared" si="2"/>
        <v>579.72</v>
      </c>
    </row>
    <row r="38" spans="1:7" x14ac:dyDescent="0.35">
      <c r="A38">
        <v>17</v>
      </c>
      <c r="B38">
        <v>320</v>
      </c>
      <c r="C38">
        <v>585.83000000000004</v>
      </c>
      <c r="E38">
        <f t="shared" si="3"/>
        <v>17000000</v>
      </c>
      <c r="F38">
        <f t="shared" si="1"/>
        <v>320</v>
      </c>
      <c r="G38">
        <f t="shared" si="2"/>
        <v>585.83000000000004</v>
      </c>
    </row>
    <row r="39" spans="1:7" x14ac:dyDescent="0.35">
      <c r="A39">
        <v>16</v>
      </c>
      <c r="B39">
        <v>320</v>
      </c>
      <c r="C39">
        <v>584.82000000000005</v>
      </c>
      <c r="E39">
        <f t="shared" si="3"/>
        <v>16000000</v>
      </c>
      <c r="F39">
        <f t="shared" si="1"/>
        <v>320</v>
      </c>
      <c r="G39">
        <f t="shared" si="2"/>
        <v>584.82000000000005</v>
      </c>
    </row>
    <row r="40" spans="1:7" x14ac:dyDescent="0.35">
      <c r="A40">
        <v>15</v>
      </c>
      <c r="B40">
        <v>320</v>
      </c>
      <c r="C40">
        <v>583.74</v>
      </c>
      <c r="E40">
        <f t="shared" si="3"/>
        <v>15000000</v>
      </c>
      <c r="F40">
        <f t="shared" si="1"/>
        <v>320</v>
      </c>
      <c r="G40">
        <f t="shared" si="2"/>
        <v>583.74</v>
      </c>
    </row>
    <row r="41" spans="1:7" x14ac:dyDescent="0.35">
      <c r="A41">
        <v>14</v>
      </c>
      <c r="B41">
        <v>320</v>
      </c>
      <c r="C41">
        <v>582.74</v>
      </c>
      <c r="E41">
        <f t="shared" si="3"/>
        <v>14000000</v>
      </c>
      <c r="F41">
        <f t="shared" si="1"/>
        <v>320</v>
      </c>
      <c r="G41">
        <f t="shared" si="2"/>
        <v>582.74</v>
      </c>
    </row>
    <row r="42" spans="1:7" x14ac:dyDescent="0.35">
      <c r="A42">
        <v>13</v>
      </c>
      <c r="B42">
        <v>320</v>
      </c>
      <c r="C42">
        <v>581.62</v>
      </c>
      <c r="E42">
        <f t="shared" si="3"/>
        <v>13000000</v>
      </c>
      <c r="F42">
        <f t="shared" si="1"/>
        <v>320</v>
      </c>
      <c r="G42">
        <f t="shared" si="2"/>
        <v>581.62</v>
      </c>
    </row>
    <row r="43" spans="1:7" x14ac:dyDescent="0.35">
      <c r="A43">
        <v>12</v>
      </c>
      <c r="B43">
        <v>320</v>
      </c>
      <c r="C43">
        <v>580.55999999999995</v>
      </c>
      <c r="E43">
        <f t="shared" si="3"/>
        <v>12000000</v>
      </c>
      <c r="F43">
        <f t="shared" si="1"/>
        <v>320</v>
      </c>
      <c r="G43">
        <f t="shared" si="2"/>
        <v>580.55999999999995</v>
      </c>
    </row>
    <row r="44" spans="1:7" x14ac:dyDescent="0.35">
      <c r="A44">
        <v>11</v>
      </c>
      <c r="B44">
        <v>320</v>
      </c>
      <c r="C44">
        <v>579.35</v>
      </c>
      <c r="E44">
        <f t="shared" si="3"/>
        <v>11000000</v>
      </c>
      <c r="F44">
        <f t="shared" si="1"/>
        <v>320</v>
      </c>
      <c r="G44">
        <f t="shared" si="2"/>
        <v>579.35</v>
      </c>
    </row>
    <row r="45" spans="1:7" x14ac:dyDescent="0.35">
      <c r="A45">
        <v>10</v>
      </c>
      <c r="B45">
        <v>320</v>
      </c>
      <c r="C45">
        <v>578.21</v>
      </c>
      <c r="E45">
        <f t="shared" si="3"/>
        <v>10000000</v>
      </c>
      <c r="F45">
        <f t="shared" si="1"/>
        <v>320</v>
      </c>
      <c r="G45">
        <f t="shared" si="2"/>
        <v>578.21</v>
      </c>
    </row>
    <row r="46" spans="1:7" x14ac:dyDescent="0.35">
      <c r="A46">
        <v>9</v>
      </c>
      <c r="B46">
        <v>320</v>
      </c>
      <c r="C46">
        <v>577.11</v>
      </c>
      <c r="E46">
        <f t="shared" si="3"/>
        <v>9000000</v>
      </c>
      <c r="F46">
        <f t="shared" si="1"/>
        <v>320</v>
      </c>
      <c r="G46">
        <f t="shared" si="2"/>
        <v>577.11</v>
      </c>
    </row>
    <row r="47" spans="1:7" x14ac:dyDescent="0.35">
      <c r="A47">
        <v>8</v>
      </c>
      <c r="B47">
        <v>320</v>
      </c>
      <c r="C47">
        <v>575.91999999999996</v>
      </c>
      <c r="E47">
        <f t="shared" si="3"/>
        <v>8000000</v>
      </c>
      <c r="F47">
        <f t="shared" si="1"/>
        <v>320</v>
      </c>
      <c r="G47">
        <f t="shared" si="2"/>
        <v>575.91999999999996</v>
      </c>
    </row>
    <row r="48" spans="1:7" x14ac:dyDescent="0.35">
      <c r="A48">
        <v>7</v>
      </c>
      <c r="B48">
        <v>320</v>
      </c>
      <c r="C48">
        <v>574.73</v>
      </c>
      <c r="E48">
        <f t="shared" si="3"/>
        <v>7000000</v>
      </c>
      <c r="F48">
        <f t="shared" si="1"/>
        <v>320</v>
      </c>
      <c r="G48">
        <f t="shared" si="2"/>
        <v>574.73</v>
      </c>
    </row>
    <row r="49" spans="1:7" x14ac:dyDescent="0.35">
      <c r="A49">
        <v>6</v>
      </c>
      <c r="B49">
        <v>320</v>
      </c>
      <c r="C49">
        <v>573.48</v>
      </c>
      <c r="E49">
        <f t="shared" si="3"/>
        <v>6000000</v>
      </c>
      <c r="F49">
        <f t="shared" si="1"/>
        <v>320</v>
      </c>
      <c r="G49">
        <f t="shared" si="2"/>
        <v>573.48</v>
      </c>
    </row>
    <row r="50" spans="1:7" x14ac:dyDescent="0.35">
      <c r="A50">
        <v>5</v>
      </c>
      <c r="B50">
        <v>320</v>
      </c>
      <c r="C50">
        <v>572.16</v>
      </c>
      <c r="E50">
        <f t="shared" si="3"/>
        <v>5000000</v>
      </c>
      <c r="F50">
        <f t="shared" si="1"/>
        <v>320</v>
      </c>
      <c r="G50">
        <f t="shared" si="2"/>
        <v>572.16</v>
      </c>
    </row>
    <row r="51" spans="1:7" x14ac:dyDescent="0.35">
      <c r="A51">
        <v>4</v>
      </c>
      <c r="B51">
        <v>320</v>
      </c>
      <c r="C51">
        <v>570.98</v>
      </c>
      <c r="E51">
        <f t="shared" si="3"/>
        <v>4000000</v>
      </c>
      <c r="F51">
        <f t="shared" si="1"/>
        <v>320</v>
      </c>
      <c r="G51">
        <f t="shared" si="2"/>
        <v>570.98</v>
      </c>
    </row>
    <row r="52" spans="1:7" x14ac:dyDescent="0.35">
      <c r="A52">
        <v>3</v>
      </c>
      <c r="B52">
        <v>320</v>
      </c>
      <c r="C52">
        <v>569.72</v>
      </c>
      <c r="E52">
        <f t="shared" si="3"/>
        <v>3000000</v>
      </c>
      <c r="F52">
        <f t="shared" si="1"/>
        <v>320</v>
      </c>
      <c r="G52">
        <f t="shared" si="2"/>
        <v>569.72</v>
      </c>
    </row>
    <row r="53" spans="1:7" x14ac:dyDescent="0.35">
      <c r="A53">
        <v>2</v>
      </c>
      <c r="B53">
        <v>320</v>
      </c>
      <c r="C53">
        <v>568.32000000000005</v>
      </c>
      <c r="E53">
        <f t="shared" si="3"/>
        <v>2000000</v>
      </c>
      <c r="F53">
        <f t="shared" si="1"/>
        <v>320</v>
      </c>
      <c r="G53">
        <f t="shared" si="2"/>
        <v>568.32000000000005</v>
      </c>
    </row>
    <row r="54" spans="1:7" x14ac:dyDescent="0.35">
      <c r="A54">
        <v>1.9</v>
      </c>
      <c r="B54">
        <v>320</v>
      </c>
      <c r="C54">
        <v>568.30999999999995</v>
      </c>
      <c r="E54">
        <f t="shared" si="3"/>
        <v>1900000</v>
      </c>
      <c r="F54">
        <f t="shared" si="1"/>
        <v>320</v>
      </c>
      <c r="G54">
        <f t="shared" si="2"/>
        <v>568.30999999999995</v>
      </c>
    </row>
    <row r="55" spans="1:7" x14ac:dyDescent="0.35">
      <c r="A55">
        <v>17</v>
      </c>
      <c r="B55">
        <v>340</v>
      </c>
      <c r="C55">
        <v>554.61</v>
      </c>
      <c r="E55">
        <f t="shared" si="3"/>
        <v>17000000</v>
      </c>
      <c r="F55">
        <f t="shared" si="1"/>
        <v>340</v>
      </c>
      <c r="G55">
        <f t="shared" si="2"/>
        <v>554.61</v>
      </c>
    </row>
    <row r="56" spans="1:7" x14ac:dyDescent="0.35">
      <c r="A56">
        <v>16</v>
      </c>
      <c r="B56">
        <v>340</v>
      </c>
      <c r="C56">
        <v>553.39</v>
      </c>
      <c r="E56">
        <f t="shared" si="3"/>
        <v>16000000</v>
      </c>
      <c r="F56">
        <f t="shared" si="1"/>
        <v>340</v>
      </c>
      <c r="G56">
        <f t="shared" si="2"/>
        <v>553.39</v>
      </c>
    </row>
    <row r="57" spans="1:7" x14ac:dyDescent="0.35">
      <c r="A57">
        <v>15</v>
      </c>
      <c r="B57">
        <v>340</v>
      </c>
      <c r="C57">
        <v>552.12</v>
      </c>
      <c r="E57">
        <f t="shared" si="3"/>
        <v>15000000</v>
      </c>
      <c r="F57">
        <f t="shared" si="1"/>
        <v>340</v>
      </c>
      <c r="G57">
        <f t="shared" si="2"/>
        <v>552.12</v>
      </c>
    </row>
    <row r="58" spans="1:7" x14ac:dyDescent="0.35">
      <c r="A58">
        <v>14</v>
      </c>
      <c r="B58">
        <v>340</v>
      </c>
      <c r="C58">
        <v>550.72</v>
      </c>
      <c r="E58">
        <f t="shared" si="3"/>
        <v>14000000</v>
      </c>
      <c r="F58">
        <f t="shared" si="1"/>
        <v>340</v>
      </c>
      <c r="G58">
        <f t="shared" si="2"/>
        <v>550.72</v>
      </c>
    </row>
    <row r="59" spans="1:7" x14ac:dyDescent="0.35">
      <c r="A59">
        <v>13</v>
      </c>
      <c r="B59">
        <v>340</v>
      </c>
      <c r="C59">
        <v>549.05999999999995</v>
      </c>
      <c r="E59">
        <f t="shared" si="3"/>
        <v>13000000</v>
      </c>
      <c r="F59">
        <f t="shared" si="1"/>
        <v>340</v>
      </c>
      <c r="G59">
        <f t="shared" si="2"/>
        <v>549.05999999999995</v>
      </c>
    </row>
    <row r="60" spans="1:7" x14ac:dyDescent="0.35">
      <c r="A60">
        <v>12</v>
      </c>
      <c r="B60">
        <v>340</v>
      </c>
      <c r="C60">
        <v>547.53</v>
      </c>
      <c r="E60">
        <f t="shared" si="3"/>
        <v>12000000</v>
      </c>
      <c r="F60">
        <f t="shared" si="1"/>
        <v>340</v>
      </c>
      <c r="G60">
        <f t="shared" si="2"/>
        <v>547.53</v>
      </c>
    </row>
    <row r="61" spans="1:7" x14ac:dyDescent="0.35">
      <c r="A61">
        <v>11</v>
      </c>
      <c r="B61">
        <v>340</v>
      </c>
      <c r="C61">
        <v>546.17999999999995</v>
      </c>
      <c r="E61">
        <f t="shared" si="3"/>
        <v>11000000</v>
      </c>
      <c r="F61">
        <f t="shared" si="1"/>
        <v>340</v>
      </c>
      <c r="G61">
        <f t="shared" si="2"/>
        <v>546.17999999999995</v>
      </c>
    </row>
    <row r="62" spans="1:7" x14ac:dyDescent="0.35">
      <c r="A62">
        <v>10</v>
      </c>
      <c r="B62">
        <v>340</v>
      </c>
      <c r="C62">
        <v>544.70000000000005</v>
      </c>
      <c r="E62">
        <f t="shared" si="3"/>
        <v>10000000</v>
      </c>
      <c r="F62">
        <f t="shared" si="1"/>
        <v>340</v>
      </c>
      <c r="G62">
        <f t="shared" si="2"/>
        <v>544.70000000000005</v>
      </c>
    </row>
    <row r="63" spans="1:7" x14ac:dyDescent="0.35">
      <c r="A63">
        <v>9</v>
      </c>
      <c r="B63">
        <v>340</v>
      </c>
      <c r="C63">
        <v>542.91</v>
      </c>
      <c r="E63">
        <f t="shared" si="3"/>
        <v>9000000</v>
      </c>
      <c r="F63">
        <f t="shared" si="1"/>
        <v>340</v>
      </c>
      <c r="G63">
        <f t="shared" si="2"/>
        <v>542.91</v>
      </c>
    </row>
    <row r="64" spans="1:7" x14ac:dyDescent="0.35">
      <c r="A64">
        <v>8</v>
      </c>
      <c r="B64">
        <v>340</v>
      </c>
      <c r="C64">
        <v>541.37</v>
      </c>
      <c r="E64">
        <f t="shared" si="3"/>
        <v>8000000</v>
      </c>
      <c r="F64">
        <f t="shared" si="1"/>
        <v>340</v>
      </c>
      <c r="G64">
        <f t="shared" si="2"/>
        <v>541.37</v>
      </c>
    </row>
    <row r="65" spans="1:7" x14ac:dyDescent="0.35">
      <c r="A65">
        <v>7</v>
      </c>
      <c r="B65">
        <v>340</v>
      </c>
      <c r="C65">
        <v>539.72</v>
      </c>
      <c r="E65">
        <f t="shared" si="3"/>
        <v>7000000</v>
      </c>
      <c r="F65">
        <f t="shared" si="1"/>
        <v>340</v>
      </c>
      <c r="G65">
        <f t="shared" si="2"/>
        <v>539.72</v>
      </c>
    </row>
    <row r="66" spans="1:7" x14ac:dyDescent="0.35">
      <c r="A66">
        <v>6</v>
      </c>
      <c r="B66">
        <v>340</v>
      </c>
      <c r="C66">
        <v>538.07000000000005</v>
      </c>
      <c r="E66">
        <f t="shared" ref="E66:E97" si="4">A66*1000000</f>
        <v>6000000</v>
      </c>
      <c r="F66">
        <f t="shared" si="1"/>
        <v>340</v>
      </c>
      <c r="G66">
        <f t="shared" si="2"/>
        <v>538.07000000000005</v>
      </c>
    </row>
    <row r="67" spans="1:7" x14ac:dyDescent="0.35">
      <c r="A67">
        <v>5</v>
      </c>
      <c r="B67">
        <v>340</v>
      </c>
      <c r="C67">
        <v>536.36</v>
      </c>
      <c r="E67">
        <f t="shared" si="4"/>
        <v>5000000</v>
      </c>
      <c r="F67">
        <f t="shared" ref="F67:F128" si="5">B67</f>
        <v>340</v>
      </c>
      <c r="G67">
        <f t="shared" ref="G67:G128" si="6">C67</f>
        <v>536.36</v>
      </c>
    </row>
    <row r="68" spans="1:7" x14ac:dyDescent="0.35">
      <c r="A68">
        <v>4</v>
      </c>
      <c r="B68">
        <v>340</v>
      </c>
      <c r="C68">
        <v>534.46</v>
      </c>
      <c r="E68">
        <f t="shared" si="4"/>
        <v>4000000</v>
      </c>
      <c r="F68">
        <f t="shared" si="5"/>
        <v>340</v>
      </c>
      <c r="G68">
        <f t="shared" si="6"/>
        <v>534.46</v>
      </c>
    </row>
    <row r="69" spans="1:7" x14ac:dyDescent="0.35">
      <c r="A69">
        <v>3.5</v>
      </c>
      <c r="B69">
        <v>340</v>
      </c>
      <c r="C69">
        <v>533.27</v>
      </c>
      <c r="E69">
        <f t="shared" si="4"/>
        <v>3500000</v>
      </c>
      <c r="F69">
        <f t="shared" si="5"/>
        <v>340</v>
      </c>
      <c r="G69">
        <f t="shared" si="6"/>
        <v>533.27</v>
      </c>
    </row>
    <row r="70" spans="1:7" x14ac:dyDescent="0.35">
      <c r="A70">
        <v>3.3</v>
      </c>
      <c r="B70">
        <v>340</v>
      </c>
      <c r="C70">
        <v>533.07000000000005</v>
      </c>
      <c r="E70">
        <f t="shared" si="4"/>
        <v>3300000</v>
      </c>
      <c r="F70">
        <f t="shared" si="5"/>
        <v>340</v>
      </c>
      <c r="G70">
        <f t="shared" si="6"/>
        <v>533.07000000000005</v>
      </c>
    </row>
    <row r="71" spans="1:7" x14ac:dyDescent="0.35">
      <c r="A71">
        <v>17</v>
      </c>
      <c r="B71">
        <v>353.12900000000002</v>
      </c>
      <c r="C71">
        <v>532.30999999999995</v>
      </c>
      <c r="E71">
        <f t="shared" si="4"/>
        <v>17000000</v>
      </c>
      <c r="F71">
        <f t="shared" si="5"/>
        <v>353.12900000000002</v>
      </c>
      <c r="G71">
        <f t="shared" si="6"/>
        <v>532.30999999999995</v>
      </c>
    </row>
    <row r="72" spans="1:7" x14ac:dyDescent="0.35">
      <c r="A72">
        <v>16</v>
      </c>
      <c r="B72">
        <v>353.12900000000002</v>
      </c>
      <c r="C72">
        <v>530.66</v>
      </c>
      <c r="E72">
        <f t="shared" si="4"/>
        <v>16000000</v>
      </c>
      <c r="F72">
        <f t="shared" si="5"/>
        <v>353.12900000000002</v>
      </c>
      <c r="G72">
        <f t="shared" si="6"/>
        <v>530.66</v>
      </c>
    </row>
    <row r="73" spans="1:7" x14ac:dyDescent="0.35">
      <c r="A73">
        <v>15</v>
      </c>
      <c r="B73">
        <v>353.12900000000002</v>
      </c>
      <c r="C73">
        <v>528.98</v>
      </c>
      <c r="E73">
        <f t="shared" si="4"/>
        <v>15000000</v>
      </c>
      <c r="F73">
        <f t="shared" si="5"/>
        <v>353.12900000000002</v>
      </c>
      <c r="G73">
        <f t="shared" si="6"/>
        <v>528.98</v>
      </c>
    </row>
    <row r="74" spans="1:7" x14ac:dyDescent="0.35">
      <c r="A74">
        <v>14</v>
      </c>
      <c r="B74">
        <v>353.12900000000002</v>
      </c>
      <c r="C74">
        <v>527.16</v>
      </c>
      <c r="E74">
        <f t="shared" si="4"/>
        <v>14000000</v>
      </c>
      <c r="F74">
        <f t="shared" si="5"/>
        <v>353.12900000000002</v>
      </c>
      <c r="G74">
        <f t="shared" si="6"/>
        <v>527.16</v>
      </c>
    </row>
    <row r="75" spans="1:7" x14ac:dyDescent="0.35">
      <c r="A75">
        <v>13</v>
      </c>
      <c r="B75">
        <v>353.12900000000002</v>
      </c>
      <c r="C75">
        <v>525.33000000000004</v>
      </c>
      <c r="E75">
        <f t="shared" si="4"/>
        <v>13000000</v>
      </c>
      <c r="F75">
        <f t="shared" si="5"/>
        <v>353.12900000000002</v>
      </c>
      <c r="G75">
        <f t="shared" si="6"/>
        <v>525.33000000000004</v>
      </c>
    </row>
    <row r="76" spans="1:7" x14ac:dyDescent="0.35">
      <c r="A76">
        <v>12</v>
      </c>
      <c r="B76">
        <v>353.12900000000002</v>
      </c>
      <c r="C76">
        <v>523.53</v>
      </c>
      <c r="E76">
        <f t="shared" si="4"/>
        <v>12000000</v>
      </c>
      <c r="F76">
        <f t="shared" si="5"/>
        <v>353.12900000000002</v>
      </c>
      <c r="G76">
        <f t="shared" si="6"/>
        <v>523.53</v>
      </c>
    </row>
    <row r="77" spans="1:7" x14ac:dyDescent="0.35">
      <c r="A77">
        <v>11</v>
      </c>
      <c r="B77">
        <v>353.12900000000002</v>
      </c>
      <c r="C77">
        <v>521.47</v>
      </c>
      <c r="E77">
        <f t="shared" si="4"/>
        <v>11000000</v>
      </c>
      <c r="F77">
        <f t="shared" si="5"/>
        <v>353.12900000000002</v>
      </c>
      <c r="G77">
        <f t="shared" si="6"/>
        <v>521.47</v>
      </c>
    </row>
    <row r="78" spans="1:7" x14ac:dyDescent="0.35">
      <c r="A78">
        <v>10</v>
      </c>
      <c r="B78">
        <v>353.12900000000002</v>
      </c>
      <c r="C78">
        <v>519.51</v>
      </c>
      <c r="E78">
        <f t="shared" si="4"/>
        <v>10000000</v>
      </c>
      <c r="F78">
        <f t="shared" si="5"/>
        <v>353.12900000000002</v>
      </c>
      <c r="G78">
        <f t="shared" si="6"/>
        <v>519.51</v>
      </c>
    </row>
    <row r="79" spans="1:7" x14ac:dyDescent="0.35">
      <c r="A79">
        <v>9</v>
      </c>
      <c r="B79">
        <v>353.12900000000002</v>
      </c>
      <c r="C79">
        <v>517.38</v>
      </c>
      <c r="E79">
        <f t="shared" si="4"/>
        <v>9000000</v>
      </c>
      <c r="F79">
        <f t="shared" si="5"/>
        <v>353.12900000000002</v>
      </c>
      <c r="G79">
        <f t="shared" si="6"/>
        <v>517.38</v>
      </c>
    </row>
    <row r="80" spans="1:7" x14ac:dyDescent="0.35">
      <c r="A80">
        <v>8</v>
      </c>
      <c r="B80">
        <v>353.12900000000002</v>
      </c>
      <c r="C80">
        <v>515.24</v>
      </c>
      <c r="E80">
        <f t="shared" si="4"/>
        <v>8000000</v>
      </c>
      <c r="F80">
        <f t="shared" si="5"/>
        <v>353.12900000000002</v>
      </c>
      <c r="G80">
        <f t="shared" si="6"/>
        <v>515.24</v>
      </c>
    </row>
    <row r="81" spans="1:7" x14ac:dyDescent="0.35">
      <c r="A81">
        <v>7</v>
      </c>
      <c r="B81">
        <v>353.12900000000002</v>
      </c>
      <c r="C81">
        <v>512.97</v>
      </c>
      <c r="E81">
        <f t="shared" si="4"/>
        <v>7000000</v>
      </c>
      <c r="F81">
        <f t="shared" si="5"/>
        <v>353.12900000000002</v>
      </c>
      <c r="G81">
        <f t="shared" si="6"/>
        <v>512.97</v>
      </c>
    </row>
    <row r="82" spans="1:7" x14ac:dyDescent="0.35">
      <c r="A82">
        <v>6</v>
      </c>
      <c r="B82">
        <v>353.12900000000002</v>
      </c>
      <c r="C82">
        <v>510.68</v>
      </c>
      <c r="E82">
        <f t="shared" si="4"/>
        <v>6000000</v>
      </c>
      <c r="F82">
        <f t="shared" si="5"/>
        <v>353.12900000000002</v>
      </c>
      <c r="G82">
        <f t="shared" si="6"/>
        <v>510.68</v>
      </c>
    </row>
    <row r="83" spans="1:7" x14ac:dyDescent="0.35">
      <c r="A83">
        <v>5</v>
      </c>
      <c r="B83">
        <v>353.12900000000002</v>
      </c>
      <c r="C83">
        <v>508.14</v>
      </c>
      <c r="E83">
        <f t="shared" si="4"/>
        <v>5000000</v>
      </c>
      <c r="F83">
        <f t="shared" si="5"/>
        <v>353.12900000000002</v>
      </c>
      <c r="G83">
        <f t="shared" si="6"/>
        <v>508.14</v>
      </c>
    </row>
    <row r="84" spans="1:7" x14ac:dyDescent="0.35">
      <c r="A84">
        <v>4.5</v>
      </c>
      <c r="B84">
        <v>353.12900000000002</v>
      </c>
      <c r="C84">
        <v>506.88</v>
      </c>
      <c r="E84">
        <f t="shared" si="4"/>
        <v>4500000</v>
      </c>
      <c r="F84">
        <f t="shared" si="5"/>
        <v>353.12900000000002</v>
      </c>
      <c r="G84">
        <f t="shared" si="6"/>
        <v>506.88</v>
      </c>
    </row>
    <row r="85" spans="1:7" x14ac:dyDescent="0.35">
      <c r="A85">
        <v>17</v>
      </c>
      <c r="B85">
        <v>360</v>
      </c>
      <c r="C85">
        <v>519.45000000000005</v>
      </c>
      <c r="E85">
        <f t="shared" si="4"/>
        <v>17000000</v>
      </c>
      <c r="F85">
        <f t="shared" si="5"/>
        <v>360</v>
      </c>
      <c r="G85">
        <f t="shared" si="6"/>
        <v>519.45000000000005</v>
      </c>
    </row>
    <row r="86" spans="1:7" x14ac:dyDescent="0.35">
      <c r="A86">
        <v>16</v>
      </c>
      <c r="B86">
        <v>360</v>
      </c>
      <c r="C86">
        <v>517.57000000000005</v>
      </c>
      <c r="E86">
        <f t="shared" si="4"/>
        <v>16000000</v>
      </c>
      <c r="F86">
        <f t="shared" si="5"/>
        <v>360</v>
      </c>
      <c r="G86">
        <f t="shared" si="6"/>
        <v>517.57000000000005</v>
      </c>
    </row>
    <row r="87" spans="1:7" x14ac:dyDescent="0.35">
      <c r="A87">
        <v>15</v>
      </c>
      <c r="B87">
        <v>360</v>
      </c>
      <c r="C87">
        <v>515.65</v>
      </c>
      <c r="E87">
        <f t="shared" si="4"/>
        <v>15000000</v>
      </c>
      <c r="F87">
        <f t="shared" si="5"/>
        <v>360</v>
      </c>
      <c r="G87">
        <f t="shared" si="6"/>
        <v>515.65</v>
      </c>
    </row>
    <row r="88" spans="1:7" x14ac:dyDescent="0.35">
      <c r="A88">
        <v>14</v>
      </c>
      <c r="B88">
        <v>360</v>
      </c>
      <c r="C88">
        <v>513.6</v>
      </c>
      <c r="E88">
        <f t="shared" si="4"/>
        <v>14000000</v>
      </c>
      <c r="F88">
        <f t="shared" si="5"/>
        <v>360</v>
      </c>
      <c r="G88">
        <f t="shared" si="6"/>
        <v>513.6</v>
      </c>
    </row>
    <row r="89" spans="1:7" x14ac:dyDescent="0.35">
      <c r="A89">
        <v>13</v>
      </c>
      <c r="B89">
        <v>360</v>
      </c>
      <c r="C89">
        <v>511.5</v>
      </c>
      <c r="E89">
        <f t="shared" si="4"/>
        <v>13000000</v>
      </c>
      <c r="F89">
        <f t="shared" si="5"/>
        <v>360</v>
      </c>
      <c r="G89">
        <f t="shared" si="6"/>
        <v>511.5</v>
      </c>
    </row>
    <row r="90" spans="1:7" x14ac:dyDescent="0.35">
      <c r="A90">
        <v>12</v>
      </c>
      <c r="B90">
        <v>360</v>
      </c>
      <c r="C90">
        <v>509.33</v>
      </c>
      <c r="E90">
        <f t="shared" si="4"/>
        <v>12000000</v>
      </c>
      <c r="F90">
        <f t="shared" si="5"/>
        <v>360</v>
      </c>
      <c r="G90">
        <f t="shared" si="6"/>
        <v>509.33</v>
      </c>
    </row>
    <row r="91" spans="1:7" x14ac:dyDescent="0.35">
      <c r="A91">
        <v>11</v>
      </c>
      <c r="B91">
        <v>360</v>
      </c>
      <c r="C91">
        <v>507.05</v>
      </c>
      <c r="E91">
        <f t="shared" si="4"/>
        <v>11000000</v>
      </c>
      <c r="F91">
        <f t="shared" si="5"/>
        <v>360</v>
      </c>
      <c r="G91">
        <f t="shared" si="6"/>
        <v>507.05</v>
      </c>
    </row>
    <row r="92" spans="1:7" x14ac:dyDescent="0.35">
      <c r="A92">
        <v>10</v>
      </c>
      <c r="B92">
        <v>360</v>
      </c>
      <c r="C92">
        <v>504.64</v>
      </c>
      <c r="E92">
        <f t="shared" si="4"/>
        <v>10000000</v>
      </c>
      <c r="F92">
        <f t="shared" si="5"/>
        <v>360</v>
      </c>
      <c r="G92">
        <f t="shared" si="6"/>
        <v>504.64</v>
      </c>
    </row>
    <row r="93" spans="1:7" x14ac:dyDescent="0.35">
      <c r="A93">
        <v>9</v>
      </c>
      <c r="B93">
        <v>360</v>
      </c>
      <c r="C93">
        <v>502.18</v>
      </c>
      <c r="E93">
        <f t="shared" si="4"/>
        <v>9000000</v>
      </c>
      <c r="F93">
        <f t="shared" si="5"/>
        <v>360</v>
      </c>
      <c r="G93">
        <f t="shared" si="6"/>
        <v>502.18</v>
      </c>
    </row>
    <row r="94" spans="1:7" x14ac:dyDescent="0.35">
      <c r="A94">
        <v>8</v>
      </c>
      <c r="B94">
        <v>360</v>
      </c>
      <c r="C94">
        <v>499.55</v>
      </c>
      <c r="E94">
        <f t="shared" si="4"/>
        <v>8000000</v>
      </c>
      <c r="F94">
        <f t="shared" si="5"/>
        <v>360</v>
      </c>
      <c r="G94">
        <f t="shared" si="6"/>
        <v>499.55</v>
      </c>
    </row>
    <row r="95" spans="1:7" x14ac:dyDescent="0.35">
      <c r="A95">
        <v>7</v>
      </c>
      <c r="B95">
        <v>360</v>
      </c>
      <c r="C95">
        <v>496.91</v>
      </c>
      <c r="E95">
        <f t="shared" si="4"/>
        <v>7000000</v>
      </c>
      <c r="F95">
        <f t="shared" si="5"/>
        <v>360</v>
      </c>
      <c r="G95">
        <f t="shared" si="6"/>
        <v>496.91</v>
      </c>
    </row>
    <row r="96" spans="1:7" x14ac:dyDescent="0.35">
      <c r="A96">
        <v>6</v>
      </c>
      <c r="B96">
        <v>360</v>
      </c>
      <c r="C96">
        <v>493.97</v>
      </c>
      <c r="E96">
        <f t="shared" si="4"/>
        <v>6000000</v>
      </c>
      <c r="F96">
        <f t="shared" si="5"/>
        <v>360</v>
      </c>
      <c r="G96">
        <f t="shared" si="6"/>
        <v>493.97</v>
      </c>
    </row>
    <row r="97" spans="1:7" x14ac:dyDescent="0.35">
      <c r="A97">
        <v>5</v>
      </c>
      <c r="B97">
        <v>360</v>
      </c>
      <c r="C97">
        <v>490.97</v>
      </c>
      <c r="E97">
        <f t="shared" si="4"/>
        <v>5000000</v>
      </c>
      <c r="F97">
        <f t="shared" si="5"/>
        <v>360</v>
      </c>
      <c r="G97">
        <f t="shared" si="6"/>
        <v>490.97</v>
      </c>
    </row>
    <row r="98" spans="1:7" x14ac:dyDescent="0.35">
      <c r="A98">
        <v>17</v>
      </c>
      <c r="B98">
        <v>380</v>
      </c>
      <c r="C98">
        <v>477.61</v>
      </c>
      <c r="E98">
        <f t="shared" ref="E98:E128" si="7">A98*1000000</f>
        <v>17000000</v>
      </c>
      <c r="F98">
        <f t="shared" si="5"/>
        <v>380</v>
      </c>
      <c r="G98">
        <f t="shared" si="6"/>
        <v>477.61</v>
      </c>
    </row>
    <row r="99" spans="1:7" x14ac:dyDescent="0.35">
      <c r="A99">
        <v>16</v>
      </c>
      <c r="B99">
        <v>380</v>
      </c>
      <c r="C99">
        <v>474.65</v>
      </c>
      <c r="E99">
        <f t="shared" si="7"/>
        <v>16000000</v>
      </c>
      <c r="F99">
        <f t="shared" si="5"/>
        <v>380</v>
      </c>
      <c r="G99">
        <f t="shared" si="6"/>
        <v>474.65</v>
      </c>
    </row>
    <row r="100" spans="1:7" x14ac:dyDescent="0.35">
      <c r="A100">
        <v>15</v>
      </c>
      <c r="B100">
        <v>380</v>
      </c>
      <c r="C100">
        <v>471.47</v>
      </c>
      <c r="E100">
        <f t="shared" si="7"/>
        <v>15000000</v>
      </c>
      <c r="F100">
        <f t="shared" si="5"/>
        <v>380</v>
      </c>
      <c r="G100">
        <f t="shared" si="6"/>
        <v>471.47</v>
      </c>
    </row>
    <row r="101" spans="1:7" x14ac:dyDescent="0.35">
      <c r="A101">
        <v>14</v>
      </c>
      <c r="B101">
        <v>380</v>
      </c>
      <c r="C101">
        <v>468.08</v>
      </c>
      <c r="E101">
        <f t="shared" si="7"/>
        <v>14000000</v>
      </c>
      <c r="F101">
        <f t="shared" si="5"/>
        <v>380</v>
      </c>
      <c r="G101">
        <f t="shared" si="6"/>
        <v>468.08</v>
      </c>
    </row>
    <row r="102" spans="1:7" x14ac:dyDescent="0.35">
      <c r="A102">
        <v>13</v>
      </c>
      <c r="B102">
        <v>380</v>
      </c>
      <c r="C102">
        <v>464.52</v>
      </c>
      <c r="E102">
        <f t="shared" si="7"/>
        <v>13000000</v>
      </c>
      <c r="F102">
        <f t="shared" si="5"/>
        <v>380</v>
      </c>
      <c r="G102">
        <f t="shared" si="6"/>
        <v>464.52</v>
      </c>
    </row>
    <row r="103" spans="1:7" x14ac:dyDescent="0.35">
      <c r="A103">
        <v>12</v>
      </c>
      <c r="B103">
        <v>380</v>
      </c>
      <c r="C103">
        <v>460.66</v>
      </c>
      <c r="E103">
        <f t="shared" si="7"/>
        <v>12000000</v>
      </c>
      <c r="F103">
        <f t="shared" si="5"/>
        <v>380</v>
      </c>
      <c r="G103">
        <f t="shared" si="6"/>
        <v>460.66</v>
      </c>
    </row>
    <row r="104" spans="1:7" x14ac:dyDescent="0.35">
      <c r="A104">
        <v>11</v>
      </c>
      <c r="B104">
        <v>380</v>
      </c>
      <c r="C104">
        <v>456.33</v>
      </c>
      <c r="E104">
        <f t="shared" si="7"/>
        <v>11000000</v>
      </c>
      <c r="F104">
        <f t="shared" si="5"/>
        <v>380</v>
      </c>
      <c r="G104">
        <f t="shared" si="6"/>
        <v>456.33</v>
      </c>
    </row>
    <row r="105" spans="1:7" x14ac:dyDescent="0.35">
      <c r="A105">
        <v>10</v>
      </c>
      <c r="B105">
        <v>380</v>
      </c>
      <c r="C105">
        <v>452.06</v>
      </c>
      <c r="E105">
        <f t="shared" si="7"/>
        <v>10000000</v>
      </c>
      <c r="F105">
        <f t="shared" si="5"/>
        <v>380</v>
      </c>
      <c r="G105">
        <f t="shared" si="6"/>
        <v>452.06</v>
      </c>
    </row>
    <row r="106" spans="1:7" x14ac:dyDescent="0.35">
      <c r="A106">
        <v>9</v>
      </c>
      <c r="B106">
        <v>380</v>
      </c>
      <c r="C106">
        <v>447</v>
      </c>
      <c r="E106">
        <f t="shared" si="7"/>
        <v>9000000</v>
      </c>
      <c r="F106">
        <f t="shared" si="5"/>
        <v>380</v>
      </c>
      <c r="G106">
        <f t="shared" si="6"/>
        <v>447</v>
      </c>
    </row>
    <row r="107" spans="1:7" x14ac:dyDescent="0.35">
      <c r="A107">
        <v>8</v>
      </c>
      <c r="B107">
        <v>380</v>
      </c>
      <c r="C107">
        <v>441.37</v>
      </c>
      <c r="E107">
        <f t="shared" si="7"/>
        <v>8000000</v>
      </c>
      <c r="F107">
        <f t="shared" si="5"/>
        <v>380</v>
      </c>
      <c r="G107">
        <f t="shared" si="6"/>
        <v>441.37</v>
      </c>
    </row>
    <row r="108" spans="1:7" x14ac:dyDescent="0.35">
      <c r="A108">
        <v>7.5</v>
      </c>
      <c r="B108">
        <v>380</v>
      </c>
      <c r="C108">
        <v>438.25</v>
      </c>
      <c r="E108">
        <f t="shared" si="7"/>
        <v>7500000</v>
      </c>
      <c r="F108">
        <f t="shared" si="5"/>
        <v>380</v>
      </c>
      <c r="G108">
        <f t="shared" si="6"/>
        <v>438.25</v>
      </c>
    </row>
    <row r="109" spans="1:7" x14ac:dyDescent="0.35">
      <c r="A109">
        <v>7.2</v>
      </c>
      <c r="B109">
        <v>380</v>
      </c>
      <c r="C109">
        <v>436.24</v>
      </c>
      <c r="E109">
        <f t="shared" si="7"/>
        <v>7200000</v>
      </c>
      <c r="F109">
        <f t="shared" si="5"/>
        <v>380</v>
      </c>
      <c r="G109">
        <f t="shared" si="6"/>
        <v>436.24</v>
      </c>
    </row>
    <row r="110" spans="1:7" x14ac:dyDescent="0.35">
      <c r="A110">
        <v>17</v>
      </c>
      <c r="B110">
        <v>394.22</v>
      </c>
      <c r="C110">
        <v>440.92</v>
      </c>
      <c r="E110">
        <f t="shared" si="7"/>
        <v>17000000</v>
      </c>
      <c r="F110">
        <f t="shared" si="5"/>
        <v>394.22</v>
      </c>
      <c r="G110">
        <f t="shared" si="6"/>
        <v>440.92</v>
      </c>
    </row>
    <row r="111" spans="1:7" x14ac:dyDescent="0.35">
      <c r="A111">
        <v>16</v>
      </c>
      <c r="B111">
        <v>394.22</v>
      </c>
      <c r="C111">
        <v>436.21</v>
      </c>
      <c r="E111">
        <f t="shared" si="7"/>
        <v>16000000</v>
      </c>
      <c r="F111">
        <f t="shared" si="5"/>
        <v>394.22</v>
      </c>
      <c r="G111">
        <f t="shared" si="6"/>
        <v>436.21</v>
      </c>
    </row>
    <row r="112" spans="1:7" x14ac:dyDescent="0.35">
      <c r="A112">
        <v>15</v>
      </c>
      <c r="B112">
        <v>394.22</v>
      </c>
      <c r="C112">
        <v>431.19</v>
      </c>
      <c r="E112">
        <f t="shared" si="7"/>
        <v>15000000</v>
      </c>
      <c r="F112">
        <f t="shared" si="5"/>
        <v>394.22</v>
      </c>
      <c r="G112">
        <f t="shared" si="6"/>
        <v>431.19</v>
      </c>
    </row>
    <row r="113" spans="1:7" x14ac:dyDescent="0.35">
      <c r="A113">
        <v>14</v>
      </c>
      <c r="B113">
        <v>394.22</v>
      </c>
      <c r="C113">
        <v>425.53</v>
      </c>
      <c r="E113">
        <f t="shared" si="7"/>
        <v>14000000</v>
      </c>
      <c r="F113">
        <f t="shared" si="5"/>
        <v>394.22</v>
      </c>
      <c r="G113">
        <f t="shared" si="6"/>
        <v>425.53</v>
      </c>
    </row>
    <row r="114" spans="1:7" x14ac:dyDescent="0.35">
      <c r="A114">
        <v>13</v>
      </c>
      <c r="B114">
        <v>394.22</v>
      </c>
      <c r="C114">
        <v>419.34</v>
      </c>
      <c r="E114">
        <f t="shared" si="7"/>
        <v>13000000</v>
      </c>
      <c r="F114">
        <f t="shared" si="5"/>
        <v>394.22</v>
      </c>
      <c r="G114">
        <f t="shared" si="6"/>
        <v>419.34</v>
      </c>
    </row>
    <row r="115" spans="1:7" x14ac:dyDescent="0.35">
      <c r="A115">
        <v>12</v>
      </c>
      <c r="B115">
        <v>394.22</v>
      </c>
      <c r="C115">
        <v>411.85</v>
      </c>
      <c r="E115">
        <f t="shared" si="7"/>
        <v>12000000</v>
      </c>
      <c r="F115">
        <f t="shared" si="5"/>
        <v>394.22</v>
      </c>
      <c r="G115">
        <f t="shared" si="6"/>
        <v>411.85</v>
      </c>
    </row>
    <row r="116" spans="1:7" x14ac:dyDescent="0.35">
      <c r="A116">
        <v>11</v>
      </c>
      <c r="B116">
        <v>394.22</v>
      </c>
      <c r="C116">
        <v>402.81</v>
      </c>
      <c r="E116">
        <f t="shared" si="7"/>
        <v>11000000</v>
      </c>
      <c r="F116">
        <f t="shared" si="5"/>
        <v>394.22</v>
      </c>
      <c r="G116">
        <f t="shared" si="6"/>
        <v>402.81</v>
      </c>
    </row>
    <row r="117" spans="1:7" x14ac:dyDescent="0.35">
      <c r="A117">
        <v>10</v>
      </c>
      <c r="B117">
        <v>394.22</v>
      </c>
      <c r="C117">
        <v>391.09</v>
      </c>
      <c r="E117">
        <f t="shared" si="7"/>
        <v>10000000</v>
      </c>
      <c r="F117">
        <f t="shared" si="5"/>
        <v>394.22</v>
      </c>
      <c r="G117">
        <f t="shared" si="6"/>
        <v>391.09</v>
      </c>
    </row>
    <row r="118" spans="1:7" x14ac:dyDescent="0.35">
      <c r="A118">
        <v>9.5</v>
      </c>
      <c r="B118">
        <v>394.22</v>
      </c>
      <c r="C118">
        <v>383.12</v>
      </c>
      <c r="E118">
        <f t="shared" si="7"/>
        <v>9500000</v>
      </c>
      <c r="F118">
        <f t="shared" si="5"/>
        <v>394.22</v>
      </c>
      <c r="G118">
        <f t="shared" si="6"/>
        <v>383.12</v>
      </c>
    </row>
    <row r="119" spans="1:7" x14ac:dyDescent="0.35">
      <c r="A119">
        <v>17</v>
      </c>
      <c r="B119">
        <v>400</v>
      </c>
      <c r="C119">
        <v>423.53</v>
      </c>
      <c r="E119">
        <f t="shared" si="7"/>
        <v>17000000</v>
      </c>
      <c r="F119">
        <f t="shared" si="5"/>
        <v>400</v>
      </c>
      <c r="G119">
        <f t="shared" si="6"/>
        <v>423.53</v>
      </c>
    </row>
    <row r="120" spans="1:7" x14ac:dyDescent="0.35">
      <c r="A120">
        <v>16</v>
      </c>
      <c r="B120">
        <v>400</v>
      </c>
      <c r="C120">
        <v>417.64</v>
      </c>
      <c r="E120">
        <f t="shared" si="7"/>
        <v>16000000</v>
      </c>
      <c r="F120">
        <f t="shared" si="5"/>
        <v>400</v>
      </c>
      <c r="G120">
        <f t="shared" si="6"/>
        <v>417.64</v>
      </c>
    </row>
    <row r="121" spans="1:7" x14ac:dyDescent="0.35">
      <c r="A121">
        <v>15</v>
      </c>
      <c r="B121">
        <v>400</v>
      </c>
      <c r="C121">
        <v>411.01</v>
      </c>
      <c r="E121">
        <f t="shared" si="7"/>
        <v>15000000</v>
      </c>
      <c r="F121">
        <f t="shared" si="5"/>
        <v>400</v>
      </c>
      <c r="G121">
        <f t="shared" si="6"/>
        <v>411.01</v>
      </c>
    </row>
    <row r="122" spans="1:7" x14ac:dyDescent="0.35">
      <c r="A122">
        <v>14</v>
      </c>
      <c r="B122">
        <v>400</v>
      </c>
      <c r="C122">
        <v>403.38</v>
      </c>
      <c r="E122">
        <f t="shared" si="7"/>
        <v>14000000</v>
      </c>
      <c r="F122">
        <f t="shared" si="5"/>
        <v>400</v>
      </c>
      <c r="G122">
        <f t="shared" si="6"/>
        <v>403.38</v>
      </c>
    </row>
    <row r="123" spans="1:7" x14ac:dyDescent="0.35">
      <c r="A123">
        <v>13</v>
      </c>
      <c r="B123">
        <v>400</v>
      </c>
      <c r="C123">
        <v>394.18</v>
      </c>
      <c r="E123">
        <f t="shared" si="7"/>
        <v>13000000</v>
      </c>
      <c r="F123">
        <f t="shared" si="5"/>
        <v>400</v>
      </c>
      <c r="G123">
        <f t="shared" si="6"/>
        <v>394.18</v>
      </c>
    </row>
    <row r="124" spans="1:7" x14ac:dyDescent="0.35">
      <c r="A124">
        <v>12</v>
      </c>
      <c r="B124">
        <v>400</v>
      </c>
      <c r="C124">
        <v>382.41</v>
      </c>
      <c r="E124">
        <f t="shared" si="7"/>
        <v>12000000</v>
      </c>
      <c r="F124">
        <f t="shared" si="5"/>
        <v>400</v>
      </c>
      <c r="G124">
        <f t="shared" si="6"/>
        <v>382.41</v>
      </c>
    </row>
    <row r="125" spans="1:7" x14ac:dyDescent="0.35">
      <c r="A125">
        <v>11</v>
      </c>
      <c r="B125">
        <v>400</v>
      </c>
      <c r="C125">
        <v>365.35</v>
      </c>
      <c r="E125">
        <f t="shared" si="7"/>
        <v>11000000</v>
      </c>
      <c r="F125">
        <f t="shared" si="5"/>
        <v>400</v>
      </c>
      <c r="G125">
        <f t="shared" si="6"/>
        <v>365.35</v>
      </c>
    </row>
    <row r="126" spans="1:7" x14ac:dyDescent="0.35">
      <c r="A126">
        <v>10.5</v>
      </c>
      <c r="B126">
        <v>400</v>
      </c>
      <c r="C126">
        <v>351.74</v>
      </c>
      <c r="E126">
        <f t="shared" si="7"/>
        <v>10500000</v>
      </c>
      <c r="F126">
        <f t="shared" si="5"/>
        <v>400</v>
      </c>
      <c r="G126">
        <f t="shared" si="6"/>
        <v>351.74</v>
      </c>
    </row>
    <row r="127" spans="1:7" x14ac:dyDescent="0.35">
      <c r="A127">
        <v>10.4</v>
      </c>
      <c r="B127">
        <v>400</v>
      </c>
      <c r="C127">
        <v>347.33</v>
      </c>
      <c r="E127">
        <f t="shared" si="7"/>
        <v>10400000</v>
      </c>
      <c r="F127">
        <f t="shared" si="5"/>
        <v>400</v>
      </c>
      <c r="G127">
        <f t="shared" si="6"/>
        <v>347.33</v>
      </c>
    </row>
    <row r="128" spans="1:7" x14ac:dyDescent="0.35">
      <c r="A128">
        <v>10.35</v>
      </c>
      <c r="B128">
        <v>400</v>
      </c>
      <c r="C128">
        <v>345.58</v>
      </c>
      <c r="E128">
        <f t="shared" si="7"/>
        <v>10350000</v>
      </c>
      <c r="F128">
        <f t="shared" si="5"/>
        <v>400</v>
      </c>
      <c r="G128">
        <f t="shared" si="6"/>
        <v>345.58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BC2FD-116F-4A04-B817-F87EF5661251}">
  <dimension ref="A1:G215"/>
  <sheetViews>
    <sheetView topLeftCell="A7" workbookViewId="0">
      <selection activeCell="G3" sqref="G3"/>
    </sheetView>
  </sheetViews>
  <sheetFormatPr defaultRowHeight="14.5" x14ac:dyDescent="0.35"/>
  <cols>
    <col min="1" max="1" width="7.453125" bestFit="1" customWidth="1"/>
    <col min="3" max="3" width="14.1796875" bestFit="1" customWidth="1"/>
  </cols>
  <sheetData>
    <row r="1" spans="1:7" x14ac:dyDescent="0.35">
      <c r="A1" t="s">
        <v>3</v>
      </c>
      <c r="B1" t="s">
        <v>21</v>
      </c>
      <c r="C1" t="s">
        <v>31</v>
      </c>
      <c r="E1" t="s">
        <v>0</v>
      </c>
      <c r="F1" t="s">
        <v>1</v>
      </c>
      <c r="G1" t="s">
        <v>2</v>
      </c>
    </row>
    <row r="2" spans="1:7" x14ac:dyDescent="0.35">
      <c r="A2">
        <v>100</v>
      </c>
      <c r="B2">
        <v>10</v>
      </c>
      <c r="C2">
        <v>158.5</v>
      </c>
      <c r="E2">
        <f t="shared" ref="E2:E62" si="0">A2*101325</f>
        <v>10132500</v>
      </c>
      <c r="F2">
        <f t="shared" ref="F2:F62" si="1">B2+273.15</f>
        <v>283.14999999999998</v>
      </c>
      <c r="G2">
        <f>1/C2*0.001*1000000*A2</f>
        <v>630.91482649842271</v>
      </c>
    </row>
    <row r="3" spans="1:7" x14ac:dyDescent="0.35">
      <c r="A3">
        <v>100</v>
      </c>
      <c r="B3">
        <v>20</v>
      </c>
      <c r="C3">
        <v>162</v>
      </c>
      <c r="E3">
        <f t="shared" si="0"/>
        <v>10132500</v>
      </c>
      <c r="F3">
        <f t="shared" si="1"/>
        <v>293.14999999999998</v>
      </c>
      <c r="G3">
        <f t="shared" ref="G3:G62" si="2">1/C3*0.001*1000000*A3</f>
        <v>617.28395061728395</v>
      </c>
    </row>
    <row r="4" spans="1:7" x14ac:dyDescent="0.35">
      <c r="A4">
        <v>100</v>
      </c>
      <c r="B4">
        <v>30</v>
      </c>
      <c r="C4">
        <v>165.8</v>
      </c>
      <c r="E4">
        <f t="shared" si="0"/>
        <v>10132500</v>
      </c>
      <c r="F4">
        <f t="shared" si="1"/>
        <v>303.14999999999998</v>
      </c>
      <c r="G4">
        <f t="shared" si="2"/>
        <v>603.13630880579012</v>
      </c>
    </row>
    <row r="5" spans="1:7" x14ac:dyDescent="0.35">
      <c r="A5">
        <v>100</v>
      </c>
      <c r="B5">
        <v>40</v>
      </c>
      <c r="C5">
        <v>169.2</v>
      </c>
      <c r="E5">
        <f t="shared" si="0"/>
        <v>10132500</v>
      </c>
      <c r="F5">
        <f t="shared" si="1"/>
        <v>313.14999999999998</v>
      </c>
      <c r="G5">
        <f t="shared" si="2"/>
        <v>591.01654846335703</v>
      </c>
    </row>
    <row r="6" spans="1:7" x14ac:dyDescent="0.35">
      <c r="A6">
        <v>100</v>
      </c>
      <c r="B6">
        <v>50</v>
      </c>
      <c r="C6">
        <v>173</v>
      </c>
      <c r="E6">
        <f t="shared" si="0"/>
        <v>10132500</v>
      </c>
      <c r="F6">
        <f t="shared" si="1"/>
        <v>323.14999999999998</v>
      </c>
      <c r="G6">
        <f t="shared" si="2"/>
        <v>578.03468208092477</v>
      </c>
    </row>
    <row r="7" spans="1:7" x14ac:dyDescent="0.35">
      <c r="A7">
        <v>100</v>
      </c>
      <c r="B7">
        <v>60</v>
      </c>
      <c r="C7">
        <v>178</v>
      </c>
      <c r="E7">
        <f t="shared" si="0"/>
        <v>10132500</v>
      </c>
      <c r="F7">
        <f t="shared" si="1"/>
        <v>333.15</v>
      </c>
      <c r="G7">
        <f t="shared" si="2"/>
        <v>561.79775280898866</v>
      </c>
    </row>
    <row r="8" spans="1:7" x14ac:dyDescent="0.35">
      <c r="A8">
        <v>100</v>
      </c>
      <c r="B8">
        <v>70</v>
      </c>
      <c r="C8">
        <v>183.7</v>
      </c>
      <c r="E8">
        <f t="shared" si="0"/>
        <v>10132500</v>
      </c>
      <c r="F8">
        <f t="shared" si="1"/>
        <v>343.15</v>
      </c>
      <c r="G8">
        <f t="shared" si="2"/>
        <v>544.36581382689178</v>
      </c>
    </row>
    <row r="9" spans="1:7" x14ac:dyDescent="0.35">
      <c r="A9">
        <v>100</v>
      </c>
      <c r="B9">
        <v>80</v>
      </c>
      <c r="C9">
        <v>190</v>
      </c>
      <c r="E9">
        <f t="shared" si="0"/>
        <v>10132500</v>
      </c>
      <c r="F9">
        <f t="shared" si="1"/>
        <v>353.15</v>
      </c>
      <c r="G9">
        <f t="shared" si="2"/>
        <v>526.31578947368428</v>
      </c>
    </row>
    <row r="10" spans="1:7" x14ac:dyDescent="0.35">
      <c r="A10">
        <v>100</v>
      </c>
      <c r="B10">
        <v>90</v>
      </c>
      <c r="C10">
        <v>199</v>
      </c>
      <c r="E10">
        <f t="shared" si="0"/>
        <v>10132500</v>
      </c>
      <c r="F10">
        <f t="shared" si="1"/>
        <v>363.15</v>
      </c>
      <c r="G10">
        <f t="shared" si="2"/>
        <v>502.51256281407041</v>
      </c>
    </row>
    <row r="11" spans="1:7" x14ac:dyDescent="0.35">
      <c r="A11">
        <v>100</v>
      </c>
      <c r="B11">
        <v>100</v>
      </c>
      <c r="C11">
        <v>208.2</v>
      </c>
      <c r="E11">
        <f t="shared" si="0"/>
        <v>10132500</v>
      </c>
      <c r="F11">
        <f t="shared" si="1"/>
        <v>373.15</v>
      </c>
      <c r="G11">
        <f t="shared" si="2"/>
        <v>480.3073967339098</v>
      </c>
    </row>
    <row r="12" spans="1:7" x14ac:dyDescent="0.35">
      <c r="A12">
        <v>100</v>
      </c>
      <c r="B12">
        <v>110</v>
      </c>
      <c r="C12">
        <v>223.5</v>
      </c>
      <c r="E12">
        <f t="shared" si="0"/>
        <v>10132500</v>
      </c>
      <c r="F12">
        <f t="shared" si="1"/>
        <v>383.15</v>
      </c>
      <c r="G12">
        <f t="shared" si="2"/>
        <v>447.42729306487689</v>
      </c>
    </row>
    <row r="13" spans="1:7" x14ac:dyDescent="0.35">
      <c r="A13">
        <v>200</v>
      </c>
      <c r="B13">
        <v>10</v>
      </c>
      <c r="C13">
        <v>318.5</v>
      </c>
      <c r="E13">
        <f t="shared" si="0"/>
        <v>20265000</v>
      </c>
      <c r="F13">
        <f t="shared" si="1"/>
        <v>283.14999999999998</v>
      </c>
      <c r="G13">
        <f t="shared" si="2"/>
        <v>627.94348508634221</v>
      </c>
    </row>
    <row r="14" spans="1:7" x14ac:dyDescent="0.35">
      <c r="A14">
        <v>200</v>
      </c>
      <c r="B14">
        <v>20</v>
      </c>
      <c r="C14">
        <v>322</v>
      </c>
      <c r="E14">
        <f t="shared" si="0"/>
        <v>20265000</v>
      </c>
      <c r="F14">
        <f t="shared" si="1"/>
        <v>293.14999999999998</v>
      </c>
      <c r="G14">
        <f t="shared" si="2"/>
        <v>621.11801242236027</v>
      </c>
    </row>
    <row r="15" spans="1:7" x14ac:dyDescent="0.35">
      <c r="A15">
        <v>200</v>
      </c>
      <c r="B15">
        <v>30</v>
      </c>
      <c r="C15">
        <v>327.5</v>
      </c>
      <c r="E15">
        <f t="shared" si="0"/>
        <v>20265000</v>
      </c>
      <c r="F15">
        <f t="shared" si="1"/>
        <v>303.14999999999998</v>
      </c>
      <c r="G15">
        <f t="shared" si="2"/>
        <v>610.6870229007634</v>
      </c>
    </row>
    <row r="16" spans="1:7" x14ac:dyDescent="0.35">
      <c r="A16">
        <v>200</v>
      </c>
      <c r="B16">
        <v>40</v>
      </c>
      <c r="C16">
        <v>333.2</v>
      </c>
      <c r="E16">
        <f t="shared" si="0"/>
        <v>20265000</v>
      </c>
      <c r="F16">
        <f t="shared" si="1"/>
        <v>313.14999999999998</v>
      </c>
      <c r="G16">
        <f t="shared" si="2"/>
        <v>600.24009603841546</v>
      </c>
    </row>
    <row r="17" spans="1:7" x14ac:dyDescent="0.35">
      <c r="A17">
        <v>200</v>
      </c>
      <c r="B17">
        <v>50</v>
      </c>
      <c r="C17">
        <v>340.7</v>
      </c>
      <c r="E17">
        <f t="shared" si="0"/>
        <v>20265000</v>
      </c>
      <c r="F17">
        <f t="shared" si="1"/>
        <v>323.14999999999998</v>
      </c>
      <c r="G17">
        <f t="shared" si="2"/>
        <v>587.0267097152921</v>
      </c>
    </row>
    <row r="18" spans="1:7" x14ac:dyDescent="0.35">
      <c r="A18">
        <v>200</v>
      </c>
      <c r="B18">
        <v>60</v>
      </c>
      <c r="C18">
        <v>349.2</v>
      </c>
      <c r="E18">
        <f t="shared" si="0"/>
        <v>20265000</v>
      </c>
      <c r="F18">
        <f t="shared" si="1"/>
        <v>333.15</v>
      </c>
      <c r="G18">
        <f t="shared" si="2"/>
        <v>572.73768613974812</v>
      </c>
    </row>
    <row r="19" spans="1:7" x14ac:dyDescent="0.35">
      <c r="A19">
        <v>200</v>
      </c>
      <c r="B19">
        <v>70</v>
      </c>
      <c r="C19">
        <v>359</v>
      </c>
      <c r="E19">
        <f t="shared" si="0"/>
        <v>20265000</v>
      </c>
      <c r="F19">
        <f t="shared" si="1"/>
        <v>343.15</v>
      </c>
      <c r="G19">
        <f t="shared" si="2"/>
        <v>557.10306406685243</v>
      </c>
    </row>
    <row r="20" spans="1:7" x14ac:dyDescent="0.35">
      <c r="A20">
        <v>200</v>
      </c>
      <c r="B20">
        <v>80</v>
      </c>
      <c r="C20">
        <v>370.7</v>
      </c>
      <c r="E20">
        <f t="shared" si="0"/>
        <v>20265000</v>
      </c>
      <c r="F20">
        <f t="shared" si="1"/>
        <v>353.15</v>
      </c>
      <c r="G20">
        <f t="shared" si="2"/>
        <v>539.51982735365527</v>
      </c>
    </row>
    <row r="21" spans="1:7" x14ac:dyDescent="0.35">
      <c r="A21">
        <v>200</v>
      </c>
      <c r="B21">
        <v>90</v>
      </c>
      <c r="C21">
        <v>384.2</v>
      </c>
      <c r="E21">
        <f t="shared" si="0"/>
        <v>20265000</v>
      </c>
      <c r="F21">
        <f t="shared" si="1"/>
        <v>363.15</v>
      </c>
      <c r="G21">
        <f t="shared" si="2"/>
        <v>520.56220718375846</v>
      </c>
    </row>
    <row r="22" spans="1:7" x14ac:dyDescent="0.35">
      <c r="A22">
        <v>200</v>
      </c>
      <c r="B22">
        <v>100</v>
      </c>
      <c r="C22">
        <v>399.5</v>
      </c>
      <c r="E22">
        <f t="shared" si="0"/>
        <v>20265000</v>
      </c>
      <c r="F22">
        <f t="shared" si="1"/>
        <v>373.15</v>
      </c>
      <c r="G22">
        <f t="shared" si="2"/>
        <v>500.62578222778473</v>
      </c>
    </row>
    <row r="23" spans="1:7" x14ac:dyDescent="0.35">
      <c r="A23">
        <v>200</v>
      </c>
      <c r="B23">
        <v>110</v>
      </c>
      <c r="C23">
        <v>416</v>
      </c>
      <c r="E23">
        <f t="shared" si="0"/>
        <v>20265000</v>
      </c>
      <c r="F23">
        <f t="shared" si="1"/>
        <v>383.15</v>
      </c>
      <c r="G23">
        <f t="shared" si="2"/>
        <v>480.76923076923077</v>
      </c>
    </row>
    <row r="24" spans="1:7" x14ac:dyDescent="0.35">
      <c r="A24">
        <v>200</v>
      </c>
      <c r="B24">
        <v>120</v>
      </c>
      <c r="C24">
        <v>436</v>
      </c>
      <c r="E24">
        <f t="shared" si="0"/>
        <v>20265000</v>
      </c>
      <c r="F24">
        <f t="shared" si="1"/>
        <v>393.15</v>
      </c>
      <c r="G24">
        <f t="shared" si="2"/>
        <v>458.71559633027533</v>
      </c>
    </row>
    <row r="25" spans="1:7" x14ac:dyDescent="0.35">
      <c r="A25">
        <v>200</v>
      </c>
      <c r="B25">
        <v>130</v>
      </c>
      <c r="C25">
        <v>462</v>
      </c>
      <c r="E25">
        <f t="shared" si="0"/>
        <v>20265000</v>
      </c>
      <c r="F25">
        <f t="shared" si="1"/>
        <v>403.15</v>
      </c>
      <c r="G25">
        <f t="shared" si="2"/>
        <v>432.90043290043297</v>
      </c>
    </row>
    <row r="26" spans="1:7" x14ac:dyDescent="0.35">
      <c r="A26">
        <v>200</v>
      </c>
      <c r="B26">
        <v>140</v>
      </c>
      <c r="C26">
        <v>498.5</v>
      </c>
      <c r="E26">
        <f t="shared" si="0"/>
        <v>20265000</v>
      </c>
      <c r="F26">
        <f t="shared" si="1"/>
        <v>413.15</v>
      </c>
      <c r="G26">
        <f t="shared" si="2"/>
        <v>401.20361083249747</v>
      </c>
    </row>
    <row r="27" spans="1:7" x14ac:dyDescent="0.35">
      <c r="A27">
        <v>200</v>
      </c>
      <c r="B27">
        <v>150</v>
      </c>
      <c r="C27">
        <v>554</v>
      </c>
      <c r="E27">
        <f t="shared" si="0"/>
        <v>20265000</v>
      </c>
      <c r="F27">
        <f t="shared" si="1"/>
        <v>423.15</v>
      </c>
      <c r="G27">
        <f t="shared" si="2"/>
        <v>361.01083032490976</v>
      </c>
    </row>
    <row r="28" spans="1:7" x14ac:dyDescent="0.35">
      <c r="A28">
        <v>200</v>
      </c>
      <c r="B28">
        <v>160</v>
      </c>
      <c r="C28">
        <v>638</v>
      </c>
      <c r="E28">
        <f t="shared" si="0"/>
        <v>20265000</v>
      </c>
      <c r="F28">
        <f t="shared" si="1"/>
        <v>433.15</v>
      </c>
      <c r="G28">
        <f t="shared" si="2"/>
        <v>313.47962382445138</v>
      </c>
    </row>
    <row r="29" spans="1:7" x14ac:dyDescent="0.35">
      <c r="A29">
        <v>200</v>
      </c>
      <c r="B29">
        <v>170</v>
      </c>
      <c r="C29">
        <v>748</v>
      </c>
      <c r="E29">
        <f t="shared" si="0"/>
        <v>20265000</v>
      </c>
      <c r="F29">
        <f t="shared" si="1"/>
        <v>443.15</v>
      </c>
      <c r="G29">
        <f t="shared" si="2"/>
        <v>267.37967914438497</v>
      </c>
    </row>
    <row r="30" spans="1:7" x14ac:dyDescent="0.35">
      <c r="A30">
        <v>200</v>
      </c>
      <c r="B30">
        <v>180</v>
      </c>
      <c r="C30">
        <v>887</v>
      </c>
      <c r="E30">
        <f t="shared" si="0"/>
        <v>20265000</v>
      </c>
      <c r="F30">
        <f t="shared" si="1"/>
        <v>453.15</v>
      </c>
      <c r="G30">
        <f t="shared" si="2"/>
        <v>225.47914317925594</v>
      </c>
    </row>
    <row r="31" spans="1:7" x14ac:dyDescent="0.35">
      <c r="A31">
        <v>200</v>
      </c>
      <c r="B31">
        <v>190</v>
      </c>
      <c r="C31">
        <v>1055</v>
      </c>
      <c r="E31">
        <f t="shared" si="0"/>
        <v>20265000</v>
      </c>
      <c r="F31">
        <f t="shared" si="1"/>
        <v>463.15</v>
      </c>
      <c r="G31">
        <f t="shared" si="2"/>
        <v>189.57345971563981</v>
      </c>
    </row>
    <row r="32" spans="1:7" x14ac:dyDescent="0.35">
      <c r="A32">
        <v>200</v>
      </c>
      <c r="B32">
        <v>200</v>
      </c>
      <c r="C32">
        <v>1255</v>
      </c>
      <c r="E32">
        <f t="shared" si="0"/>
        <v>20265000</v>
      </c>
      <c r="F32">
        <f t="shared" si="1"/>
        <v>473.15</v>
      </c>
      <c r="G32">
        <f t="shared" si="2"/>
        <v>159.36254980079681</v>
      </c>
    </row>
    <row r="33" spans="1:7" x14ac:dyDescent="0.35">
      <c r="A33">
        <v>300</v>
      </c>
      <c r="B33">
        <v>10</v>
      </c>
      <c r="C33">
        <v>466</v>
      </c>
      <c r="E33">
        <f t="shared" si="0"/>
        <v>30397500</v>
      </c>
      <c r="F33">
        <f t="shared" si="1"/>
        <v>283.14999999999998</v>
      </c>
      <c r="G33">
        <f t="shared" si="2"/>
        <v>643.77682403433471</v>
      </c>
    </row>
    <row r="34" spans="1:7" x14ac:dyDescent="0.35">
      <c r="A34">
        <v>300</v>
      </c>
      <c r="B34">
        <v>20</v>
      </c>
      <c r="C34">
        <v>474.1</v>
      </c>
      <c r="E34">
        <f t="shared" si="0"/>
        <v>30397500</v>
      </c>
      <c r="F34">
        <f t="shared" si="1"/>
        <v>293.14999999999998</v>
      </c>
      <c r="G34">
        <f t="shared" si="2"/>
        <v>632.77789495886941</v>
      </c>
    </row>
    <row r="35" spans="1:7" x14ac:dyDescent="0.35">
      <c r="A35">
        <v>300</v>
      </c>
      <c r="B35">
        <v>30</v>
      </c>
      <c r="C35">
        <v>482.5</v>
      </c>
      <c r="E35">
        <f t="shared" si="0"/>
        <v>30397500</v>
      </c>
      <c r="F35">
        <f t="shared" si="1"/>
        <v>303.14999999999998</v>
      </c>
      <c r="G35">
        <f t="shared" si="2"/>
        <v>621.76165803108802</v>
      </c>
    </row>
    <row r="36" spans="1:7" x14ac:dyDescent="0.35">
      <c r="A36">
        <v>300</v>
      </c>
      <c r="B36">
        <v>40</v>
      </c>
      <c r="C36">
        <v>492.2</v>
      </c>
      <c r="E36">
        <f t="shared" si="0"/>
        <v>30397500</v>
      </c>
      <c r="F36">
        <f t="shared" si="1"/>
        <v>313.14999999999998</v>
      </c>
      <c r="G36">
        <f t="shared" si="2"/>
        <v>609.50832994717609</v>
      </c>
    </row>
    <row r="37" spans="1:7" x14ac:dyDescent="0.35">
      <c r="A37">
        <v>300</v>
      </c>
      <c r="B37">
        <v>50</v>
      </c>
      <c r="C37">
        <v>503.8</v>
      </c>
      <c r="E37">
        <f t="shared" si="0"/>
        <v>30397500</v>
      </c>
      <c r="F37">
        <f t="shared" si="1"/>
        <v>323.14999999999998</v>
      </c>
      <c r="G37">
        <f t="shared" si="2"/>
        <v>595.47439460103215</v>
      </c>
    </row>
    <row r="38" spans="1:7" x14ac:dyDescent="0.35">
      <c r="A38">
        <v>300</v>
      </c>
      <c r="B38">
        <v>60</v>
      </c>
      <c r="C38">
        <v>516</v>
      </c>
      <c r="E38">
        <f t="shared" si="0"/>
        <v>30397500</v>
      </c>
      <c r="F38">
        <f t="shared" si="1"/>
        <v>333.15</v>
      </c>
      <c r="G38">
        <f t="shared" si="2"/>
        <v>581.39534883720933</v>
      </c>
    </row>
    <row r="39" spans="1:7" x14ac:dyDescent="0.35">
      <c r="A39">
        <v>300</v>
      </c>
      <c r="B39">
        <v>70</v>
      </c>
      <c r="C39">
        <v>529.20000000000005</v>
      </c>
      <c r="E39">
        <f t="shared" si="0"/>
        <v>30397500</v>
      </c>
      <c r="F39">
        <f t="shared" si="1"/>
        <v>343.15</v>
      </c>
      <c r="G39">
        <f t="shared" si="2"/>
        <v>566.8934240362812</v>
      </c>
    </row>
    <row r="40" spans="1:7" x14ac:dyDescent="0.35">
      <c r="A40">
        <v>300</v>
      </c>
      <c r="B40">
        <v>80</v>
      </c>
      <c r="C40">
        <v>543.20000000000005</v>
      </c>
      <c r="E40">
        <f t="shared" si="0"/>
        <v>30397500</v>
      </c>
      <c r="F40">
        <f t="shared" si="1"/>
        <v>353.15</v>
      </c>
      <c r="G40">
        <f t="shared" si="2"/>
        <v>552.28276877761402</v>
      </c>
    </row>
    <row r="41" spans="1:7" x14ac:dyDescent="0.35">
      <c r="A41">
        <v>300</v>
      </c>
      <c r="B41">
        <v>90</v>
      </c>
      <c r="C41">
        <v>558.70000000000005</v>
      </c>
      <c r="E41">
        <f t="shared" si="0"/>
        <v>30397500</v>
      </c>
      <c r="F41">
        <f t="shared" si="1"/>
        <v>363.15</v>
      </c>
      <c r="G41">
        <f t="shared" si="2"/>
        <v>536.96080186146412</v>
      </c>
    </row>
    <row r="42" spans="1:7" x14ac:dyDescent="0.35">
      <c r="A42">
        <v>300</v>
      </c>
      <c r="B42">
        <v>100</v>
      </c>
      <c r="C42">
        <v>575.79999999999995</v>
      </c>
      <c r="E42">
        <f t="shared" si="0"/>
        <v>30397500</v>
      </c>
      <c r="F42">
        <f t="shared" si="1"/>
        <v>373.15</v>
      </c>
      <c r="G42">
        <f t="shared" si="2"/>
        <v>521.01424105592218</v>
      </c>
    </row>
    <row r="43" spans="1:7" x14ac:dyDescent="0.35">
      <c r="A43">
        <v>300</v>
      </c>
      <c r="B43">
        <v>110</v>
      </c>
      <c r="C43">
        <v>594.79999999999995</v>
      </c>
      <c r="E43">
        <f t="shared" si="0"/>
        <v>30397500</v>
      </c>
      <c r="F43">
        <f t="shared" si="1"/>
        <v>383.15</v>
      </c>
      <c r="G43">
        <f t="shared" si="2"/>
        <v>504.3712172158709</v>
      </c>
    </row>
    <row r="44" spans="1:7" x14ac:dyDescent="0.35">
      <c r="A44">
        <v>300</v>
      </c>
      <c r="B44">
        <v>120</v>
      </c>
      <c r="C44">
        <v>617.20000000000005</v>
      </c>
      <c r="E44">
        <f t="shared" si="0"/>
        <v>30397500</v>
      </c>
      <c r="F44">
        <f t="shared" si="1"/>
        <v>393.15</v>
      </c>
      <c r="G44">
        <f t="shared" si="2"/>
        <v>486.06610499027857</v>
      </c>
    </row>
    <row r="45" spans="1:7" x14ac:dyDescent="0.35">
      <c r="A45">
        <v>300</v>
      </c>
      <c r="B45">
        <v>130</v>
      </c>
      <c r="C45">
        <v>643.5</v>
      </c>
      <c r="E45">
        <f t="shared" si="0"/>
        <v>30397500</v>
      </c>
      <c r="F45">
        <f t="shared" si="1"/>
        <v>403.15</v>
      </c>
      <c r="G45">
        <f t="shared" si="2"/>
        <v>466.20046620046622</v>
      </c>
    </row>
    <row r="46" spans="1:7" x14ac:dyDescent="0.35">
      <c r="A46">
        <v>300</v>
      </c>
      <c r="B46">
        <v>140</v>
      </c>
      <c r="C46">
        <v>674</v>
      </c>
      <c r="E46">
        <f t="shared" si="0"/>
        <v>30397500</v>
      </c>
      <c r="F46">
        <f t="shared" si="1"/>
        <v>413.15</v>
      </c>
      <c r="G46">
        <f t="shared" si="2"/>
        <v>445.10385756676561</v>
      </c>
    </row>
    <row r="47" spans="1:7" x14ac:dyDescent="0.35">
      <c r="A47">
        <v>300</v>
      </c>
      <c r="B47">
        <v>150</v>
      </c>
      <c r="C47">
        <v>710.3</v>
      </c>
      <c r="E47">
        <f t="shared" si="0"/>
        <v>30397500</v>
      </c>
      <c r="F47">
        <f t="shared" si="1"/>
        <v>423.15</v>
      </c>
      <c r="G47">
        <f t="shared" si="2"/>
        <v>422.35675066873154</v>
      </c>
    </row>
    <row r="48" spans="1:7" x14ac:dyDescent="0.35">
      <c r="A48">
        <v>300</v>
      </c>
      <c r="B48">
        <v>160</v>
      </c>
      <c r="C48">
        <v>751.7</v>
      </c>
      <c r="E48">
        <f t="shared" si="0"/>
        <v>30397500</v>
      </c>
      <c r="F48">
        <f t="shared" si="1"/>
        <v>433.15</v>
      </c>
      <c r="G48">
        <f t="shared" si="2"/>
        <v>399.09538379672739</v>
      </c>
    </row>
    <row r="49" spans="1:7" x14ac:dyDescent="0.35">
      <c r="A49">
        <v>300</v>
      </c>
      <c r="B49">
        <v>170</v>
      </c>
      <c r="C49">
        <v>805</v>
      </c>
      <c r="E49">
        <f t="shared" si="0"/>
        <v>30397500</v>
      </c>
      <c r="F49">
        <f t="shared" si="1"/>
        <v>443.15</v>
      </c>
      <c r="G49">
        <f t="shared" si="2"/>
        <v>372.6708074534161</v>
      </c>
    </row>
    <row r="50" spans="1:7" x14ac:dyDescent="0.35">
      <c r="A50">
        <v>300</v>
      </c>
      <c r="B50">
        <v>180</v>
      </c>
      <c r="C50">
        <v>869</v>
      </c>
      <c r="E50">
        <f t="shared" si="0"/>
        <v>30397500</v>
      </c>
      <c r="F50">
        <f t="shared" si="1"/>
        <v>453.15</v>
      </c>
      <c r="G50">
        <f t="shared" si="2"/>
        <v>345.22439585730723</v>
      </c>
    </row>
    <row r="51" spans="1:7" x14ac:dyDescent="0.35">
      <c r="A51">
        <v>300</v>
      </c>
      <c r="B51">
        <v>190</v>
      </c>
      <c r="C51">
        <v>950</v>
      </c>
      <c r="E51">
        <f t="shared" si="0"/>
        <v>30397500</v>
      </c>
      <c r="F51">
        <f t="shared" si="1"/>
        <v>463.15</v>
      </c>
      <c r="G51">
        <f t="shared" si="2"/>
        <v>315.78947368421052</v>
      </c>
    </row>
    <row r="52" spans="1:7" x14ac:dyDescent="0.35">
      <c r="A52">
        <v>300</v>
      </c>
      <c r="B52">
        <v>200</v>
      </c>
      <c r="C52">
        <v>1052</v>
      </c>
      <c r="E52">
        <f t="shared" si="0"/>
        <v>30397500</v>
      </c>
      <c r="F52">
        <f t="shared" si="1"/>
        <v>473.15</v>
      </c>
      <c r="G52">
        <f t="shared" si="2"/>
        <v>285.17110266159693</v>
      </c>
    </row>
    <row r="53" spans="1:7" x14ac:dyDescent="0.35">
      <c r="A53">
        <v>400</v>
      </c>
      <c r="B53">
        <v>10</v>
      </c>
      <c r="C53">
        <v>619.29999999999995</v>
      </c>
      <c r="E53">
        <f t="shared" si="0"/>
        <v>40530000</v>
      </c>
      <c r="F53">
        <f t="shared" si="1"/>
        <v>283.14999999999998</v>
      </c>
      <c r="G53">
        <f t="shared" si="2"/>
        <v>645.89052155659624</v>
      </c>
    </row>
    <row r="54" spans="1:7" x14ac:dyDescent="0.35">
      <c r="A54">
        <v>400</v>
      </c>
      <c r="B54">
        <v>20</v>
      </c>
      <c r="C54">
        <v>627.9</v>
      </c>
      <c r="E54">
        <f t="shared" si="0"/>
        <v>40530000</v>
      </c>
      <c r="F54">
        <f t="shared" si="1"/>
        <v>293.14999999999998</v>
      </c>
      <c r="G54">
        <f t="shared" si="2"/>
        <v>637.04411530498498</v>
      </c>
    </row>
    <row r="55" spans="1:7" x14ac:dyDescent="0.35">
      <c r="A55">
        <v>400</v>
      </c>
      <c r="B55">
        <v>30</v>
      </c>
      <c r="C55">
        <v>637</v>
      </c>
      <c r="E55">
        <f t="shared" si="0"/>
        <v>40530000</v>
      </c>
      <c r="F55">
        <f t="shared" si="1"/>
        <v>303.14999999999998</v>
      </c>
      <c r="G55">
        <f t="shared" si="2"/>
        <v>627.94348508634221</v>
      </c>
    </row>
    <row r="56" spans="1:7" x14ac:dyDescent="0.35">
      <c r="A56">
        <v>400</v>
      </c>
      <c r="B56">
        <v>40</v>
      </c>
      <c r="C56">
        <v>648</v>
      </c>
      <c r="E56">
        <f t="shared" si="0"/>
        <v>40530000</v>
      </c>
      <c r="F56">
        <f t="shared" si="1"/>
        <v>313.14999999999998</v>
      </c>
      <c r="G56">
        <f t="shared" si="2"/>
        <v>617.28395061728395</v>
      </c>
    </row>
    <row r="57" spans="1:7" x14ac:dyDescent="0.35">
      <c r="A57">
        <v>400</v>
      </c>
      <c r="B57">
        <v>50</v>
      </c>
      <c r="C57">
        <v>660.5</v>
      </c>
      <c r="E57">
        <f t="shared" si="0"/>
        <v>40530000</v>
      </c>
      <c r="F57">
        <f t="shared" si="1"/>
        <v>323.14999999999998</v>
      </c>
      <c r="G57">
        <f t="shared" si="2"/>
        <v>605.60181680545031</v>
      </c>
    </row>
    <row r="58" spans="1:7" x14ac:dyDescent="0.35">
      <c r="A58">
        <v>400</v>
      </c>
      <c r="B58">
        <v>60</v>
      </c>
      <c r="C58">
        <v>675</v>
      </c>
      <c r="E58">
        <f t="shared" si="0"/>
        <v>40530000</v>
      </c>
      <c r="F58">
        <f t="shared" si="1"/>
        <v>333.15</v>
      </c>
      <c r="G58">
        <f t="shared" si="2"/>
        <v>592.59259259259261</v>
      </c>
    </row>
    <row r="59" spans="1:7" x14ac:dyDescent="0.35">
      <c r="A59">
        <v>400</v>
      </c>
      <c r="B59">
        <v>70</v>
      </c>
      <c r="C59">
        <v>690</v>
      </c>
      <c r="E59">
        <f t="shared" si="0"/>
        <v>40530000</v>
      </c>
      <c r="F59">
        <f t="shared" si="1"/>
        <v>343.15</v>
      </c>
      <c r="G59">
        <f t="shared" si="2"/>
        <v>579.71014492753625</v>
      </c>
    </row>
    <row r="60" spans="1:7" x14ac:dyDescent="0.35">
      <c r="A60">
        <v>400</v>
      </c>
      <c r="B60">
        <v>80</v>
      </c>
      <c r="C60">
        <v>706.5</v>
      </c>
      <c r="E60">
        <f t="shared" si="0"/>
        <v>40530000</v>
      </c>
      <c r="F60">
        <f t="shared" si="1"/>
        <v>353.15</v>
      </c>
      <c r="G60">
        <f t="shared" si="2"/>
        <v>566.17126680820945</v>
      </c>
    </row>
    <row r="61" spans="1:7" x14ac:dyDescent="0.35">
      <c r="A61">
        <v>400</v>
      </c>
      <c r="B61">
        <v>90</v>
      </c>
      <c r="C61">
        <v>725.2</v>
      </c>
      <c r="E61">
        <f t="shared" si="0"/>
        <v>40530000</v>
      </c>
      <c r="F61">
        <f t="shared" si="1"/>
        <v>363.15</v>
      </c>
      <c r="G61">
        <f t="shared" si="2"/>
        <v>551.57198014340872</v>
      </c>
    </row>
    <row r="62" spans="1:7" x14ac:dyDescent="0.35">
      <c r="A62">
        <v>400</v>
      </c>
      <c r="B62">
        <v>100</v>
      </c>
      <c r="C62">
        <v>745.6</v>
      </c>
      <c r="E62">
        <f t="shared" si="0"/>
        <v>40530000</v>
      </c>
      <c r="F62">
        <f t="shared" si="1"/>
        <v>373.15</v>
      </c>
      <c r="G62">
        <f t="shared" si="2"/>
        <v>536.48068669527902</v>
      </c>
    </row>
    <row r="63" spans="1:7" x14ac:dyDescent="0.35">
      <c r="A63">
        <v>400</v>
      </c>
      <c r="B63">
        <v>110</v>
      </c>
      <c r="C63">
        <v>767.2</v>
      </c>
      <c r="E63">
        <f t="shared" ref="E63:E123" si="3">A63*101325</f>
        <v>40530000</v>
      </c>
      <c r="F63">
        <f t="shared" ref="F63:F123" si="4">B63+273.15</f>
        <v>383.15</v>
      </c>
      <c r="G63">
        <f t="shared" ref="G63:G123" si="5">1/C63*0.001*1000000*A63</f>
        <v>521.37643378519294</v>
      </c>
    </row>
    <row r="64" spans="1:7" x14ac:dyDescent="0.35">
      <c r="A64">
        <v>400</v>
      </c>
      <c r="B64">
        <v>120</v>
      </c>
      <c r="C64">
        <v>790.5</v>
      </c>
      <c r="E64">
        <f t="shared" si="3"/>
        <v>40530000</v>
      </c>
      <c r="F64">
        <f t="shared" si="4"/>
        <v>393.15</v>
      </c>
      <c r="G64">
        <f t="shared" si="5"/>
        <v>506.00885515496526</v>
      </c>
    </row>
    <row r="65" spans="1:7" x14ac:dyDescent="0.35">
      <c r="A65">
        <v>400</v>
      </c>
      <c r="B65">
        <v>130</v>
      </c>
      <c r="C65">
        <v>817.8</v>
      </c>
      <c r="E65">
        <f t="shared" si="3"/>
        <v>40530000</v>
      </c>
      <c r="F65">
        <f t="shared" si="4"/>
        <v>403.15</v>
      </c>
      <c r="G65">
        <f t="shared" si="5"/>
        <v>489.11714355588174</v>
      </c>
    </row>
    <row r="66" spans="1:7" x14ac:dyDescent="0.35">
      <c r="A66">
        <v>400</v>
      </c>
      <c r="B66">
        <v>140</v>
      </c>
      <c r="C66">
        <v>848</v>
      </c>
      <c r="E66">
        <f t="shared" si="3"/>
        <v>40530000</v>
      </c>
      <c r="F66">
        <f t="shared" si="4"/>
        <v>413.15</v>
      </c>
      <c r="G66">
        <f t="shared" si="5"/>
        <v>471.69811320754718</v>
      </c>
    </row>
    <row r="67" spans="1:7" x14ac:dyDescent="0.35">
      <c r="A67">
        <v>400</v>
      </c>
      <c r="B67">
        <v>150</v>
      </c>
      <c r="C67">
        <v>881.8</v>
      </c>
      <c r="E67">
        <f t="shared" si="3"/>
        <v>40530000</v>
      </c>
      <c r="F67">
        <f t="shared" si="4"/>
        <v>423.15</v>
      </c>
      <c r="G67">
        <f t="shared" si="5"/>
        <v>453.61760036289417</v>
      </c>
    </row>
    <row r="68" spans="1:7" x14ac:dyDescent="0.35">
      <c r="A68">
        <v>400</v>
      </c>
      <c r="B68">
        <v>160</v>
      </c>
      <c r="C68">
        <v>919.2</v>
      </c>
      <c r="E68">
        <f t="shared" si="3"/>
        <v>40530000</v>
      </c>
      <c r="F68">
        <f t="shared" si="4"/>
        <v>433.15</v>
      </c>
      <c r="G68">
        <f t="shared" si="5"/>
        <v>435.16100957354223</v>
      </c>
    </row>
    <row r="69" spans="1:7" x14ac:dyDescent="0.35">
      <c r="A69">
        <v>400</v>
      </c>
      <c r="B69">
        <v>170</v>
      </c>
      <c r="C69">
        <v>962.2</v>
      </c>
      <c r="E69">
        <f t="shared" si="3"/>
        <v>40530000</v>
      </c>
      <c r="F69">
        <f t="shared" si="4"/>
        <v>443.15</v>
      </c>
      <c r="G69">
        <f t="shared" si="5"/>
        <v>415.71398877572233</v>
      </c>
    </row>
    <row r="70" spans="1:7" x14ac:dyDescent="0.35">
      <c r="A70">
        <v>400</v>
      </c>
      <c r="B70">
        <v>180</v>
      </c>
      <c r="C70">
        <v>1010</v>
      </c>
      <c r="E70">
        <f t="shared" si="3"/>
        <v>40530000</v>
      </c>
      <c r="F70">
        <f t="shared" si="4"/>
        <v>453.15</v>
      </c>
      <c r="G70">
        <f t="shared" si="5"/>
        <v>396.03960396039611</v>
      </c>
    </row>
    <row r="71" spans="1:7" x14ac:dyDescent="0.35">
      <c r="A71">
        <v>400</v>
      </c>
      <c r="B71">
        <v>190</v>
      </c>
      <c r="C71">
        <v>1068</v>
      </c>
      <c r="E71">
        <f t="shared" si="3"/>
        <v>40530000</v>
      </c>
      <c r="F71">
        <f t="shared" si="4"/>
        <v>463.15</v>
      </c>
      <c r="G71">
        <f t="shared" si="5"/>
        <v>374.53183520599248</v>
      </c>
    </row>
    <row r="72" spans="1:7" x14ac:dyDescent="0.35">
      <c r="A72">
        <v>400</v>
      </c>
      <c r="B72">
        <v>200</v>
      </c>
      <c r="C72">
        <v>1128</v>
      </c>
      <c r="E72">
        <f t="shared" si="3"/>
        <v>40530000</v>
      </c>
      <c r="F72">
        <f t="shared" si="4"/>
        <v>473.15</v>
      </c>
      <c r="G72">
        <f t="shared" si="5"/>
        <v>354.6099290780142</v>
      </c>
    </row>
    <row r="73" spans="1:7" x14ac:dyDescent="0.35">
      <c r="A73">
        <v>500</v>
      </c>
      <c r="B73">
        <v>10</v>
      </c>
      <c r="C73">
        <v>766.8</v>
      </c>
      <c r="E73">
        <f t="shared" si="3"/>
        <v>50662500</v>
      </c>
      <c r="F73">
        <f t="shared" si="4"/>
        <v>283.14999999999998</v>
      </c>
      <c r="G73">
        <f t="shared" si="5"/>
        <v>652.0605112154409</v>
      </c>
    </row>
    <row r="74" spans="1:7" x14ac:dyDescent="0.35">
      <c r="A74">
        <v>500</v>
      </c>
      <c r="B74">
        <v>20</v>
      </c>
      <c r="C74">
        <v>777.2</v>
      </c>
      <c r="E74">
        <f t="shared" si="3"/>
        <v>50662500</v>
      </c>
      <c r="F74">
        <f t="shared" si="4"/>
        <v>293.14999999999998</v>
      </c>
      <c r="G74">
        <f t="shared" si="5"/>
        <v>643.33504889346375</v>
      </c>
    </row>
    <row r="75" spans="1:7" x14ac:dyDescent="0.35">
      <c r="A75">
        <v>500</v>
      </c>
      <c r="B75">
        <v>30</v>
      </c>
      <c r="C75">
        <v>788.8</v>
      </c>
      <c r="E75">
        <f t="shared" si="3"/>
        <v>50662500</v>
      </c>
      <c r="F75">
        <f t="shared" si="4"/>
        <v>303.14999999999998</v>
      </c>
      <c r="G75">
        <f t="shared" si="5"/>
        <v>633.87423935091272</v>
      </c>
    </row>
    <row r="76" spans="1:7" x14ac:dyDescent="0.35">
      <c r="A76">
        <v>500</v>
      </c>
      <c r="B76">
        <v>40</v>
      </c>
      <c r="C76">
        <v>802</v>
      </c>
      <c r="E76">
        <f t="shared" si="3"/>
        <v>50662500</v>
      </c>
      <c r="F76">
        <f t="shared" si="4"/>
        <v>313.14999999999998</v>
      </c>
      <c r="G76">
        <f t="shared" si="5"/>
        <v>623.44139650872819</v>
      </c>
    </row>
    <row r="77" spans="1:7" x14ac:dyDescent="0.35">
      <c r="A77">
        <v>500</v>
      </c>
      <c r="B77">
        <v>50</v>
      </c>
      <c r="C77">
        <v>816.8</v>
      </c>
      <c r="E77">
        <f t="shared" si="3"/>
        <v>50662500</v>
      </c>
      <c r="F77">
        <f t="shared" si="4"/>
        <v>323.14999999999998</v>
      </c>
      <c r="G77">
        <f t="shared" si="5"/>
        <v>612.14495592556318</v>
      </c>
    </row>
    <row r="78" spans="1:7" x14ac:dyDescent="0.35">
      <c r="A78">
        <v>500</v>
      </c>
      <c r="B78">
        <v>60</v>
      </c>
      <c r="C78">
        <v>832.2</v>
      </c>
      <c r="E78">
        <f t="shared" si="3"/>
        <v>50662500</v>
      </c>
      <c r="F78">
        <f t="shared" si="4"/>
        <v>333.15</v>
      </c>
      <c r="G78">
        <f t="shared" si="5"/>
        <v>600.81711127132894</v>
      </c>
    </row>
    <row r="79" spans="1:7" x14ac:dyDescent="0.35">
      <c r="A79">
        <v>500</v>
      </c>
      <c r="B79">
        <v>70</v>
      </c>
      <c r="C79">
        <v>849.5</v>
      </c>
      <c r="E79">
        <f t="shared" si="3"/>
        <v>50662500</v>
      </c>
      <c r="F79">
        <f t="shared" si="4"/>
        <v>343.15</v>
      </c>
      <c r="G79">
        <f t="shared" si="5"/>
        <v>588.5815185403178</v>
      </c>
    </row>
    <row r="80" spans="1:7" x14ac:dyDescent="0.35">
      <c r="A80">
        <v>500</v>
      </c>
      <c r="B80">
        <v>80</v>
      </c>
      <c r="C80">
        <v>868.2</v>
      </c>
      <c r="E80">
        <f t="shared" si="3"/>
        <v>50662500</v>
      </c>
      <c r="F80">
        <f t="shared" si="4"/>
        <v>353.15</v>
      </c>
      <c r="G80">
        <f t="shared" si="5"/>
        <v>575.9041695461874</v>
      </c>
    </row>
    <row r="81" spans="1:7" x14ac:dyDescent="0.35">
      <c r="A81">
        <v>500</v>
      </c>
      <c r="B81">
        <v>90</v>
      </c>
      <c r="C81">
        <v>888.5</v>
      </c>
      <c r="E81">
        <f t="shared" si="3"/>
        <v>50662500</v>
      </c>
      <c r="F81">
        <f t="shared" si="4"/>
        <v>363.15</v>
      </c>
      <c r="G81">
        <f t="shared" si="5"/>
        <v>562.7462014631401</v>
      </c>
    </row>
    <row r="82" spans="1:7" x14ac:dyDescent="0.35">
      <c r="A82">
        <v>500</v>
      </c>
      <c r="B82">
        <v>100</v>
      </c>
      <c r="C82">
        <v>910</v>
      </c>
      <c r="E82">
        <f t="shared" si="3"/>
        <v>50662500</v>
      </c>
      <c r="F82">
        <f t="shared" si="4"/>
        <v>373.15</v>
      </c>
      <c r="G82">
        <f t="shared" si="5"/>
        <v>549.45054945054949</v>
      </c>
    </row>
    <row r="83" spans="1:7" x14ac:dyDescent="0.35">
      <c r="A83">
        <v>500</v>
      </c>
      <c r="B83">
        <v>110</v>
      </c>
      <c r="C83">
        <v>934</v>
      </c>
      <c r="E83">
        <f t="shared" si="3"/>
        <v>50662500</v>
      </c>
      <c r="F83">
        <f t="shared" si="4"/>
        <v>383.15</v>
      </c>
      <c r="G83">
        <f t="shared" si="5"/>
        <v>535.33190578158462</v>
      </c>
    </row>
    <row r="84" spans="1:7" x14ac:dyDescent="0.35">
      <c r="A84">
        <v>500</v>
      </c>
      <c r="B84">
        <v>120</v>
      </c>
      <c r="C84">
        <v>960</v>
      </c>
      <c r="E84">
        <f t="shared" si="3"/>
        <v>50662500</v>
      </c>
      <c r="F84">
        <f t="shared" si="4"/>
        <v>393.15</v>
      </c>
      <c r="G84">
        <f t="shared" si="5"/>
        <v>520.83333333333337</v>
      </c>
    </row>
    <row r="85" spans="1:7" x14ac:dyDescent="0.35">
      <c r="A85">
        <v>500</v>
      </c>
      <c r="B85">
        <v>130</v>
      </c>
      <c r="C85">
        <v>988.2</v>
      </c>
      <c r="E85">
        <f t="shared" si="3"/>
        <v>50662500</v>
      </c>
      <c r="F85">
        <f t="shared" si="4"/>
        <v>403.15</v>
      </c>
      <c r="G85">
        <f t="shared" si="5"/>
        <v>505.97045132564256</v>
      </c>
    </row>
    <row r="86" spans="1:7" x14ac:dyDescent="0.35">
      <c r="A86">
        <v>500</v>
      </c>
      <c r="B86">
        <v>140</v>
      </c>
      <c r="C86">
        <v>1018</v>
      </c>
      <c r="E86">
        <f t="shared" si="3"/>
        <v>50662500</v>
      </c>
      <c r="F86">
        <f t="shared" si="4"/>
        <v>413.15</v>
      </c>
      <c r="G86">
        <f t="shared" si="5"/>
        <v>491.15913555992148</v>
      </c>
    </row>
    <row r="87" spans="1:7" x14ac:dyDescent="0.35">
      <c r="A87">
        <v>500</v>
      </c>
      <c r="B87">
        <v>150</v>
      </c>
      <c r="C87">
        <v>1050</v>
      </c>
      <c r="E87">
        <f t="shared" si="3"/>
        <v>50662500</v>
      </c>
      <c r="F87">
        <f t="shared" si="4"/>
        <v>423.15</v>
      </c>
      <c r="G87">
        <f t="shared" si="5"/>
        <v>476.19047619047615</v>
      </c>
    </row>
    <row r="88" spans="1:7" x14ac:dyDescent="0.35">
      <c r="A88">
        <v>500</v>
      </c>
      <c r="B88">
        <v>160</v>
      </c>
      <c r="C88">
        <v>1085</v>
      </c>
      <c r="E88">
        <f t="shared" si="3"/>
        <v>50662500</v>
      </c>
      <c r="F88">
        <f t="shared" si="4"/>
        <v>433.15</v>
      </c>
      <c r="G88">
        <f t="shared" si="5"/>
        <v>460.82949308755758</v>
      </c>
    </row>
    <row r="89" spans="1:7" x14ac:dyDescent="0.35">
      <c r="A89">
        <v>500</v>
      </c>
      <c r="B89">
        <v>170</v>
      </c>
      <c r="C89">
        <v>1124</v>
      </c>
      <c r="E89">
        <f t="shared" si="3"/>
        <v>50662500</v>
      </c>
      <c r="F89">
        <f t="shared" si="4"/>
        <v>443.15</v>
      </c>
      <c r="G89">
        <f t="shared" si="5"/>
        <v>444.8398576512455</v>
      </c>
    </row>
    <row r="90" spans="1:7" x14ac:dyDescent="0.35">
      <c r="A90">
        <v>500</v>
      </c>
      <c r="B90">
        <v>180</v>
      </c>
      <c r="C90">
        <v>1168</v>
      </c>
      <c r="E90">
        <f t="shared" si="3"/>
        <v>50662500</v>
      </c>
      <c r="F90">
        <f t="shared" si="4"/>
        <v>453.15</v>
      </c>
      <c r="G90">
        <f t="shared" si="5"/>
        <v>428.08219178082186</v>
      </c>
    </row>
    <row r="91" spans="1:7" x14ac:dyDescent="0.35">
      <c r="A91">
        <v>500</v>
      </c>
      <c r="B91">
        <v>190</v>
      </c>
      <c r="C91">
        <v>1217</v>
      </c>
      <c r="E91">
        <f t="shared" si="3"/>
        <v>50662500</v>
      </c>
      <c r="F91">
        <f t="shared" si="4"/>
        <v>463.15</v>
      </c>
      <c r="G91">
        <f t="shared" si="5"/>
        <v>410.84634346754319</v>
      </c>
    </row>
    <row r="92" spans="1:7" x14ac:dyDescent="0.35">
      <c r="A92">
        <v>500</v>
      </c>
      <c r="B92">
        <v>200</v>
      </c>
      <c r="C92">
        <v>1269</v>
      </c>
      <c r="E92">
        <f t="shared" si="3"/>
        <v>50662500</v>
      </c>
      <c r="F92">
        <f t="shared" si="4"/>
        <v>473.15</v>
      </c>
      <c r="G92">
        <f t="shared" si="5"/>
        <v>394.01103230890465</v>
      </c>
    </row>
    <row r="93" spans="1:7" x14ac:dyDescent="0.35">
      <c r="A93">
        <v>600</v>
      </c>
      <c r="B93">
        <v>10</v>
      </c>
      <c r="C93">
        <v>911</v>
      </c>
      <c r="E93">
        <f t="shared" si="3"/>
        <v>60795000</v>
      </c>
      <c r="F93">
        <f t="shared" si="4"/>
        <v>283.14999999999998</v>
      </c>
      <c r="G93">
        <f t="shared" si="5"/>
        <v>658.6169045005488</v>
      </c>
    </row>
    <row r="94" spans="1:7" x14ac:dyDescent="0.35">
      <c r="A94">
        <v>600</v>
      </c>
      <c r="B94">
        <v>20</v>
      </c>
      <c r="C94">
        <v>922.2</v>
      </c>
      <c r="E94">
        <f t="shared" si="3"/>
        <v>60795000</v>
      </c>
      <c r="F94">
        <f t="shared" si="4"/>
        <v>293.14999999999998</v>
      </c>
      <c r="G94">
        <f t="shared" si="5"/>
        <v>650.61808718282361</v>
      </c>
    </row>
    <row r="95" spans="1:7" x14ac:dyDescent="0.35">
      <c r="A95">
        <v>600</v>
      </c>
      <c r="B95">
        <v>30</v>
      </c>
      <c r="C95">
        <v>935.2</v>
      </c>
      <c r="E95">
        <f t="shared" si="3"/>
        <v>60795000</v>
      </c>
      <c r="F95">
        <f t="shared" si="4"/>
        <v>303.14999999999998</v>
      </c>
      <c r="G95">
        <f t="shared" si="5"/>
        <v>641.57399486740792</v>
      </c>
    </row>
    <row r="96" spans="1:7" x14ac:dyDescent="0.35">
      <c r="A96">
        <v>600</v>
      </c>
      <c r="B96">
        <v>40</v>
      </c>
      <c r="C96">
        <v>949.2</v>
      </c>
      <c r="E96">
        <f t="shared" si="3"/>
        <v>60795000</v>
      </c>
      <c r="F96">
        <f t="shared" si="4"/>
        <v>313.14999999999998</v>
      </c>
      <c r="G96">
        <f t="shared" si="5"/>
        <v>632.11125158027812</v>
      </c>
    </row>
    <row r="97" spans="1:7" x14ac:dyDescent="0.35">
      <c r="A97">
        <v>600</v>
      </c>
      <c r="B97">
        <v>50</v>
      </c>
      <c r="C97">
        <v>965</v>
      </c>
      <c r="E97">
        <f t="shared" si="3"/>
        <v>60795000</v>
      </c>
      <c r="F97">
        <f t="shared" si="4"/>
        <v>323.14999999999998</v>
      </c>
      <c r="G97">
        <f t="shared" si="5"/>
        <v>621.76165803108802</v>
      </c>
    </row>
    <row r="98" spans="1:7" x14ac:dyDescent="0.35">
      <c r="A98">
        <v>600</v>
      </c>
      <c r="B98">
        <v>60</v>
      </c>
      <c r="C98">
        <v>982.2</v>
      </c>
      <c r="E98">
        <f t="shared" si="3"/>
        <v>60795000</v>
      </c>
      <c r="F98">
        <f t="shared" si="4"/>
        <v>333.15</v>
      </c>
      <c r="G98">
        <f t="shared" si="5"/>
        <v>610.87354917532082</v>
      </c>
    </row>
    <row r="99" spans="1:7" x14ac:dyDescent="0.35">
      <c r="A99">
        <v>600</v>
      </c>
      <c r="B99">
        <v>70</v>
      </c>
      <c r="C99">
        <v>1002</v>
      </c>
      <c r="E99">
        <f t="shared" si="3"/>
        <v>60795000</v>
      </c>
      <c r="F99">
        <f t="shared" si="4"/>
        <v>343.15</v>
      </c>
      <c r="G99">
        <f t="shared" si="5"/>
        <v>598.80239520958071</v>
      </c>
    </row>
    <row r="100" spans="1:7" x14ac:dyDescent="0.35">
      <c r="A100">
        <v>600</v>
      </c>
      <c r="B100">
        <v>80</v>
      </c>
      <c r="C100">
        <v>1024</v>
      </c>
      <c r="E100">
        <f t="shared" si="3"/>
        <v>60795000</v>
      </c>
      <c r="F100">
        <f t="shared" si="4"/>
        <v>353.15</v>
      </c>
      <c r="G100">
        <f t="shared" si="5"/>
        <v>585.9375</v>
      </c>
    </row>
    <row r="101" spans="1:7" x14ac:dyDescent="0.35">
      <c r="A101">
        <v>600</v>
      </c>
      <c r="B101">
        <v>90</v>
      </c>
      <c r="C101">
        <v>1047</v>
      </c>
      <c r="E101">
        <f t="shared" si="3"/>
        <v>60795000</v>
      </c>
      <c r="F101">
        <f t="shared" si="4"/>
        <v>363.15</v>
      </c>
      <c r="G101">
        <f t="shared" si="5"/>
        <v>573.06590257879645</v>
      </c>
    </row>
    <row r="102" spans="1:7" x14ac:dyDescent="0.35">
      <c r="A102">
        <v>600</v>
      </c>
      <c r="B102">
        <v>100</v>
      </c>
      <c r="C102">
        <v>1071</v>
      </c>
      <c r="E102">
        <f t="shared" si="3"/>
        <v>60795000</v>
      </c>
      <c r="F102">
        <f t="shared" si="4"/>
        <v>373.15</v>
      </c>
      <c r="G102">
        <f t="shared" si="5"/>
        <v>560.2240896358544</v>
      </c>
    </row>
    <row r="103" spans="1:7" x14ac:dyDescent="0.35">
      <c r="A103">
        <v>600</v>
      </c>
      <c r="B103">
        <v>110</v>
      </c>
      <c r="C103">
        <v>1098</v>
      </c>
      <c r="E103">
        <f t="shared" si="3"/>
        <v>60795000</v>
      </c>
      <c r="F103">
        <f t="shared" si="4"/>
        <v>383.15</v>
      </c>
      <c r="G103">
        <f t="shared" si="5"/>
        <v>546.44808743169403</v>
      </c>
    </row>
    <row r="104" spans="1:7" x14ac:dyDescent="0.35">
      <c r="A104">
        <v>600</v>
      </c>
      <c r="B104">
        <v>120</v>
      </c>
      <c r="C104">
        <v>1125</v>
      </c>
      <c r="E104">
        <f t="shared" si="3"/>
        <v>60795000</v>
      </c>
      <c r="F104">
        <f t="shared" si="4"/>
        <v>393.15</v>
      </c>
      <c r="G104">
        <f t="shared" si="5"/>
        <v>533.33333333333337</v>
      </c>
    </row>
    <row r="105" spans="1:7" x14ac:dyDescent="0.35">
      <c r="A105">
        <v>600</v>
      </c>
      <c r="B105">
        <v>130</v>
      </c>
      <c r="C105">
        <v>1154</v>
      </c>
      <c r="E105">
        <f t="shared" si="3"/>
        <v>60795000</v>
      </c>
      <c r="F105">
        <f t="shared" si="4"/>
        <v>403.15</v>
      </c>
      <c r="G105">
        <f t="shared" si="5"/>
        <v>519.93067590987857</v>
      </c>
    </row>
    <row r="106" spans="1:7" x14ac:dyDescent="0.35">
      <c r="A106">
        <v>600</v>
      </c>
      <c r="B106">
        <v>140</v>
      </c>
      <c r="C106">
        <v>1184</v>
      </c>
      <c r="E106">
        <f t="shared" si="3"/>
        <v>60795000</v>
      </c>
      <c r="F106">
        <f t="shared" si="4"/>
        <v>413.15</v>
      </c>
      <c r="G106">
        <f t="shared" si="5"/>
        <v>506.75675675675683</v>
      </c>
    </row>
    <row r="107" spans="1:7" x14ac:dyDescent="0.35">
      <c r="A107">
        <v>600</v>
      </c>
      <c r="B107">
        <v>150</v>
      </c>
      <c r="C107">
        <v>1216</v>
      </c>
      <c r="E107">
        <f t="shared" si="3"/>
        <v>60795000</v>
      </c>
      <c r="F107">
        <f t="shared" si="4"/>
        <v>423.15</v>
      </c>
      <c r="G107">
        <f t="shared" si="5"/>
        <v>493.4210526315789</v>
      </c>
    </row>
    <row r="108" spans="1:7" x14ac:dyDescent="0.35">
      <c r="A108">
        <v>600</v>
      </c>
      <c r="B108">
        <v>160</v>
      </c>
      <c r="C108">
        <v>1249</v>
      </c>
      <c r="E108">
        <f t="shared" si="3"/>
        <v>60795000</v>
      </c>
      <c r="F108">
        <f t="shared" si="4"/>
        <v>433.15</v>
      </c>
      <c r="G108">
        <f t="shared" si="5"/>
        <v>480.38430744595678</v>
      </c>
    </row>
    <row r="109" spans="1:7" x14ac:dyDescent="0.35">
      <c r="A109">
        <v>600</v>
      </c>
      <c r="B109">
        <v>170</v>
      </c>
      <c r="C109">
        <v>1287</v>
      </c>
      <c r="E109">
        <f t="shared" si="3"/>
        <v>60795000</v>
      </c>
      <c r="F109">
        <f t="shared" si="4"/>
        <v>443.15</v>
      </c>
      <c r="G109">
        <f t="shared" si="5"/>
        <v>466.20046620046622</v>
      </c>
    </row>
    <row r="110" spans="1:7" x14ac:dyDescent="0.35">
      <c r="A110">
        <v>600</v>
      </c>
      <c r="B110">
        <v>180</v>
      </c>
      <c r="C110">
        <v>1328</v>
      </c>
      <c r="E110">
        <f t="shared" si="3"/>
        <v>60795000</v>
      </c>
      <c r="F110">
        <f t="shared" si="4"/>
        <v>453.15</v>
      </c>
      <c r="G110">
        <f t="shared" si="5"/>
        <v>451.80722891566268</v>
      </c>
    </row>
    <row r="111" spans="1:7" x14ac:dyDescent="0.35">
      <c r="A111">
        <v>600</v>
      </c>
      <c r="B111">
        <v>190</v>
      </c>
      <c r="C111">
        <v>1370</v>
      </c>
      <c r="E111">
        <f t="shared" si="3"/>
        <v>60795000</v>
      </c>
      <c r="F111">
        <f t="shared" si="4"/>
        <v>463.15</v>
      </c>
      <c r="G111">
        <f t="shared" si="5"/>
        <v>437.956204379562</v>
      </c>
    </row>
    <row r="112" spans="1:7" x14ac:dyDescent="0.35">
      <c r="A112">
        <v>600</v>
      </c>
      <c r="B112">
        <v>200</v>
      </c>
      <c r="C112">
        <v>1416</v>
      </c>
      <c r="E112">
        <f t="shared" si="3"/>
        <v>60795000</v>
      </c>
      <c r="F112">
        <f t="shared" si="4"/>
        <v>473.15</v>
      </c>
      <c r="G112">
        <f t="shared" si="5"/>
        <v>423.72881355932208</v>
      </c>
    </row>
    <row r="113" spans="1:7" x14ac:dyDescent="0.35">
      <c r="A113">
        <v>700</v>
      </c>
      <c r="B113">
        <v>10</v>
      </c>
      <c r="C113">
        <v>1055</v>
      </c>
      <c r="E113">
        <f t="shared" si="3"/>
        <v>70927500</v>
      </c>
      <c r="F113">
        <f t="shared" si="4"/>
        <v>283.14999999999998</v>
      </c>
      <c r="G113">
        <f t="shared" si="5"/>
        <v>663.50710900473939</v>
      </c>
    </row>
    <row r="114" spans="1:7" x14ac:dyDescent="0.35">
      <c r="A114">
        <v>700</v>
      </c>
      <c r="B114">
        <v>20</v>
      </c>
      <c r="C114">
        <v>1066</v>
      </c>
      <c r="E114">
        <f t="shared" si="3"/>
        <v>70927500</v>
      </c>
      <c r="F114">
        <f t="shared" si="4"/>
        <v>293.14999999999998</v>
      </c>
      <c r="G114">
        <f t="shared" si="5"/>
        <v>656.66041275797375</v>
      </c>
    </row>
    <row r="115" spans="1:7" x14ac:dyDescent="0.35">
      <c r="A115">
        <v>700</v>
      </c>
      <c r="B115">
        <v>30</v>
      </c>
      <c r="C115">
        <v>1080</v>
      </c>
      <c r="E115">
        <f t="shared" si="3"/>
        <v>70927500</v>
      </c>
      <c r="F115">
        <f t="shared" si="4"/>
        <v>303.14999999999998</v>
      </c>
      <c r="G115">
        <f t="shared" si="5"/>
        <v>648.14814814814815</v>
      </c>
    </row>
    <row r="116" spans="1:7" x14ac:dyDescent="0.35">
      <c r="A116">
        <v>700</v>
      </c>
      <c r="B116">
        <v>40</v>
      </c>
      <c r="C116">
        <v>1096</v>
      </c>
      <c r="E116">
        <f t="shared" si="3"/>
        <v>70927500</v>
      </c>
      <c r="F116">
        <f t="shared" si="4"/>
        <v>313.14999999999998</v>
      </c>
      <c r="G116">
        <f t="shared" si="5"/>
        <v>638.68613138686135</v>
      </c>
    </row>
    <row r="117" spans="1:7" x14ac:dyDescent="0.35">
      <c r="A117">
        <v>700</v>
      </c>
      <c r="B117">
        <v>50</v>
      </c>
      <c r="C117">
        <v>1116</v>
      </c>
      <c r="E117">
        <f t="shared" si="3"/>
        <v>70927500</v>
      </c>
      <c r="F117">
        <f t="shared" si="4"/>
        <v>323.14999999999998</v>
      </c>
      <c r="G117">
        <f t="shared" si="5"/>
        <v>627.2401433691756</v>
      </c>
    </row>
    <row r="118" spans="1:7" x14ac:dyDescent="0.35">
      <c r="A118">
        <v>700</v>
      </c>
      <c r="B118">
        <v>60</v>
      </c>
      <c r="C118">
        <v>1135</v>
      </c>
      <c r="E118">
        <f t="shared" si="3"/>
        <v>70927500</v>
      </c>
      <c r="F118">
        <f t="shared" si="4"/>
        <v>333.15</v>
      </c>
      <c r="G118">
        <f t="shared" si="5"/>
        <v>616.74008810572695</v>
      </c>
    </row>
    <row r="119" spans="1:7" x14ac:dyDescent="0.35">
      <c r="A119">
        <v>700</v>
      </c>
      <c r="B119">
        <v>70</v>
      </c>
      <c r="C119">
        <v>1156</v>
      </c>
      <c r="E119">
        <f t="shared" si="3"/>
        <v>70927500</v>
      </c>
      <c r="F119">
        <f t="shared" si="4"/>
        <v>343.15</v>
      </c>
      <c r="G119">
        <f t="shared" si="5"/>
        <v>605.53633217993081</v>
      </c>
    </row>
    <row r="120" spans="1:7" x14ac:dyDescent="0.35">
      <c r="A120">
        <v>700</v>
      </c>
      <c r="B120">
        <v>80</v>
      </c>
      <c r="C120">
        <v>1179</v>
      </c>
      <c r="E120">
        <f t="shared" si="3"/>
        <v>70927500</v>
      </c>
      <c r="F120">
        <f t="shared" si="4"/>
        <v>353.15</v>
      </c>
      <c r="G120">
        <f t="shared" si="5"/>
        <v>593.72349448685327</v>
      </c>
    </row>
    <row r="121" spans="1:7" x14ac:dyDescent="0.35">
      <c r="A121">
        <v>700</v>
      </c>
      <c r="B121">
        <v>90</v>
      </c>
      <c r="C121">
        <v>1203</v>
      </c>
      <c r="E121">
        <f t="shared" si="3"/>
        <v>70927500</v>
      </c>
      <c r="F121">
        <f t="shared" si="4"/>
        <v>363.15</v>
      </c>
      <c r="G121">
        <f t="shared" si="5"/>
        <v>581.87863674147968</v>
      </c>
    </row>
    <row r="122" spans="1:7" x14ac:dyDescent="0.35">
      <c r="A122">
        <v>700</v>
      </c>
      <c r="B122">
        <v>100</v>
      </c>
      <c r="C122">
        <v>1228</v>
      </c>
      <c r="E122">
        <f t="shared" si="3"/>
        <v>70927500</v>
      </c>
      <c r="F122">
        <f t="shared" si="4"/>
        <v>373.15</v>
      </c>
      <c r="G122">
        <f t="shared" si="5"/>
        <v>570.0325732899023</v>
      </c>
    </row>
    <row r="123" spans="1:7" x14ac:dyDescent="0.35">
      <c r="A123">
        <v>700</v>
      </c>
      <c r="B123">
        <v>110</v>
      </c>
      <c r="C123">
        <v>1255</v>
      </c>
      <c r="E123">
        <f t="shared" si="3"/>
        <v>70927500</v>
      </c>
      <c r="F123">
        <f t="shared" si="4"/>
        <v>383.15</v>
      </c>
      <c r="G123">
        <f t="shared" si="5"/>
        <v>557.76892430278895</v>
      </c>
    </row>
    <row r="124" spans="1:7" x14ac:dyDescent="0.35">
      <c r="A124">
        <v>700</v>
      </c>
      <c r="B124">
        <v>120</v>
      </c>
      <c r="C124">
        <v>1283</v>
      </c>
      <c r="E124">
        <f t="shared" ref="E124:E184" si="6">A124*101325</f>
        <v>70927500</v>
      </c>
      <c r="F124">
        <f t="shared" ref="F124:F184" si="7">B124+273.15</f>
        <v>393.15</v>
      </c>
      <c r="G124">
        <f t="shared" ref="G124:G184" si="8">1/C124*0.001*1000000*A124</f>
        <v>545.59625876851135</v>
      </c>
    </row>
    <row r="125" spans="1:7" x14ac:dyDescent="0.35">
      <c r="A125">
        <v>700</v>
      </c>
      <c r="B125">
        <v>130</v>
      </c>
      <c r="C125">
        <v>1313</v>
      </c>
      <c r="E125">
        <f t="shared" si="6"/>
        <v>70927500</v>
      </c>
      <c r="F125">
        <f t="shared" si="7"/>
        <v>403.15</v>
      </c>
      <c r="G125">
        <f t="shared" si="8"/>
        <v>533.13023610053312</v>
      </c>
    </row>
    <row r="126" spans="1:7" x14ac:dyDescent="0.35">
      <c r="A126">
        <v>700</v>
      </c>
      <c r="B126">
        <v>140</v>
      </c>
      <c r="C126">
        <v>1344</v>
      </c>
      <c r="E126">
        <f t="shared" si="6"/>
        <v>70927500</v>
      </c>
      <c r="F126">
        <f t="shared" si="7"/>
        <v>413.15</v>
      </c>
      <c r="G126">
        <f t="shared" si="8"/>
        <v>520.83333333333337</v>
      </c>
    </row>
    <row r="127" spans="1:7" x14ac:dyDescent="0.35">
      <c r="A127">
        <v>700</v>
      </c>
      <c r="B127">
        <v>150</v>
      </c>
      <c r="C127">
        <v>1376</v>
      </c>
      <c r="E127">
        <f t="shared" si="6"/>
        <v>70927500</v>
      </c>
      <c r="F127">
        <f t="shared" si="7"/>
        <v>423.15</v>
      </c>
      <c r="G127">
        <f t="shared" si="8"/>
        <v>508.72093023255809</v>
      </c>
    </row>
    <row r="128" spans="1:7" x14ac:dyDescent="0.35">
      <c r="A128">
        <v>700</v>
      </c>
      <c r="B128">
        <v>160</v>
      </c>
      <c r="C128">
        <v>1410</v>
      </c>
      <c r="E128">
        <f t="shared" si="6"/>
        <v>70927500</v>
      </c>
      <c r="F128">
        <f t="shared" si="7"/>
        <v>433.15</v>
      </c>
      <c r="G128">
        <f t="shared" si="8"/>
        <v>496.45390070921985</v>
      </c>
    </row>
    <row r="129" spans="1:7" x14ac:dyDescent="0.35">
      <c r="A129">
        <v>700</v>
      </c>
      <c r="B129">
        <v>170</v>
      </c>
      <c r="C129">
        <v>1446</v>
      </c>
      <c r="E129">
        <f t="shared" si="6"/>
        <v>70927500</v>
      </c>
      <c r="F129">
        <f t="shared" si="7"/>
        <v>443.15</v>
      </c>
      <c r="G129">
        <f t="shared" si="8"/>
        <v>484.09405255878283</v>
      </c>
    </row>
    <row r="130" spans="1:7" x14ac:dyDescent="0.35">
      <c r="A130">
        <v>700</v>
      </c>
      <c r="B130">
        <v>180</v>
      </c>
      <c r="C130">
        <v>1481</v>
      </c>
      <c r="E130">
        <f t="shared" si="6"/>
        <v>70927500</v>
      </c>
      <c r="F130">
        <f t="shared" si="7"/>
        <v>453.15</v>
      </c>
      <c r="G130">
        <f t="shared" si="8"/>
        <v>472.65361242403782</v>
      </c>
    </row>
    <row r="131" spans="1:7" x14ac:dyDescent="0.35">
      <c r="A131">
        <v>700</v>
      </c>
      <c r="B131">
        <v>190</v>
      </c>
      <c r="C131">
        <v>1518</v>
      </c>
      <c r="E131">
        <f t="shared" si="6"/>
        <v>70927500</v>
      </c>
      <c r="F131">
        <f t="shared" si="7"/>
        <v>463.15</v>
      </c>
      <c r="G131">
        <f t="shared" si="8"/>
        <v>461.133069828722</v>
      </c>
    </row>
    <row r="132" spans="1:7" x14ac:dyDescent="0.35">
      <c r="A132">
        <v>700</v>
      </c>
      <c r="B132">
        <v>200</v>
      </c>
      <c r="C132">
        <v>1556</v>
      </c>
      <c r="E132">
        <f t="shared" si="6"/>
        <v>70927500</v>
      </c>
      <c r="F132">
        <f t="shared" si="7"/>
        <v>473.15</v>
      </c>
      <c r="G132">
        <f t="shared" si="8"/>
        <v>449.87146529562983</v>
      </c>
    </row>
    <row r="133" spans="1:7" x14ac:dyDescent="0.35">
      <c r="A133">
        <v>800</v>
      </c>
      <c r="B133">
        <v>10</v>
      </c>
      <c r="C133">
        <v>1200</v>
      </c>
      <c r="E133">
        <f t="shared" si="6"/>
        <v>81060000</v>
      </c>
      <c r="F133">
        <f t="shared" si="7"/>
        <v>283.14999999999998</v>
      </c>
      <c r="G133">
        <f t="shared" si="8"/>
        <v>666.66666666666674</v>
      </c>
    </row>
    <row r="134" spans="1:7" x14ac:dyDescent="0.35">
      <c r="A134">
        <v>800</v>
      </c>
      <c r="B134">
        <v>20</v>
      </c>
      <c r="C134">
        <v>1211</v>
      </c>
      <c r="E134">
        <f t="shared" si="6"/>
        <v>81060000</v>
      </c>
      <c r="F134">
        <f t="shared" si="7"/>
        <v>293.14999999999998</v>
      </c>
      <c r="G134">
        <f t="shared" si="8"/>
        <v>660.61106523534261</v>
      </c>
    </row>
    <row r="135" spans="1:7" x14ac:dyDescent="0.35">
      <c r="A135">
        <v>800</v>
      </c>
      <c r="B135">
        <v>30</v>
      </c>
      <c r="C135">
        <v>1224</v>
      </c>
      <c r="E135">
        <f t="shared" si="6"/>
        <v>81060000</v>
      </c>
      <c r="F135">
        <f t="shared" si="7"/>
        <v>303.14999999999998</v>
      </c>
      <c r="G135">
        <f t="shared" si="8"/>
        <v>653.59477124183013</v>
      </c>
    </row>
    <row r="136" spans="1:7" x14ac:dyDescent="0.35">
      <c r="A136">
        <v>800</v>
      </c>
      <c r="B136">
        <v>40</v>
      </c>
      <c r="C136">
        <v>1240</v>
      </c>
      <c r="E136">
        <f t="shared" si="6"/>
        <v>81060000</v>
      </c>
      <c r="F136">
        <f t="shared" si="7"/>
        <v>313.14999999999998</v>
      </c>
      <c r="G136">
        <f t="shared" si="8"/>
        <v>645.16129032258061</v>
      </c>
    </row>
    <row r="137" spans="1:7" x14ac:dyDescent="0.35">
      <c r="A137">
        <v>800</v>
      </c>
      <c r="B137">
        <v>50</v>
      </c>
      <c r="C137">
        <v>1259</v>
      </c>
      <c r="E137">
        <f t="shared" si="6"/>
        <v>81060000</v>
      </c>
      <c r="F137">
        <f t="shared" si="7"/>
        <v>323.14999999999998</v>
      </c>
      <c r="G137">
        <f t="shared" si="8"/>
        <v>635.42494042891178</v>
      </c>
    </row>
    <row r="138" spans="1:7" x14ac:dyDescent="0.35">
      <c r="A138">
        <v>800</v>
      </c>
      <c r="B138">
        <v>60</v>
      </c>
      <c r="C138">
        <v>1280</v>
      </c>
      <c r="E138">
        <f t="shared" si="6"/>
        <v>81060000</v>
      </c>
      <c r="F138">
        <f t="shared" si="7"/>
        <v>333.15</v>
      </c>
      <c r="G138">
        <f t="shared" si="8"/>
        <v>625</v>
      </c>
    </row>
    <row r="139" spans="1:7" x14ac:dyDescent="0.35">
      <c r="A139">
        <v>800</v>
      </c>
      <c r="B139">
        <v>70</v>
      </c>
      <c r="C139">
        <v>1303</v>
      </c>
      <c r="E139">
        <f t="shared" si="6"/>
        <v>81060000</v>
      </c>
      <c r="F139">
        <f t="shared" si="7"/>
        <v>343.15</v>
      </c>
      <c r="G139">
        <f t="shared" si="8"/>
        <v>613.96776669224869</v>
      </c>
    </row>
    <row r="140" spans="1:7" x14ac:dyDescent="0.35">
      <c r="A140">
        <v>800</v>
      </c>
      <c r="B140">
        <v>80</v>
      </c>
      <c r="C140">
        <v>1328</v>
      </c>
      <c r="E140">
        <f t="shared" si="6"/>
        <v>81060000</v>
      </c>
      <c r="F140">
        <f t="shared" si="7"/>
        <v>353.15</v>
      </c>
      <c r="G140">
        <f t="shared" si="8"/>
        <v>602.40963855421694</v>
      </c>
    </row>
    <row r="141" spans="1:7" x14ac:dyDescent="0.35">
      <c r="A141">
        <v>800</v>
      </c>
      <c r="B141">
        <v>90</v>
      </c>
      <c r="C141">
        <v>1354</v>
      </c>
      <c r="E141">
        <f t="shared" si="6"/>
        <v>81060000</v>
      </c>
      <c r="F141">
        <f t="shared" si="7"/>
        <v>363.15</v>
      </c>
      <c r="G141">
        <f t="shared" si="8"/>
        <v>590.84194977843424</v>
      </c>
    </row>
    <row r="142" spans="1:7" x14ac:dyDescent="0.35">
      <c r="A142">
        <v>800</v>
      </c>
      <c r="B142">
        <v>100</v>
      </c>
      <c r="C142">
        <v>1382</v>
      </c>
      <c r="E142">
        <f t="shared" si="6"/>
        <v>81060000</v>
      </c>
      <c r="F142">
        <f t="shared" si="7"/>
        <v>373.15</v>
      </c>
      <c r="G142">
        <f t="shared" si="8"/>
        <v>578.87120115774235</v>
      </c>
    </row>
    <row r="143" spans="1:7" x14ac:dyDescent="0.35">
      <c r="A143">
        <v>800</v>
      </c>
      <c r="B143">
        <v>110</v>
      </c>
      <c r="C143">
        <v>1410</v>
      </c>
      <c r="E143">
        <f t="shared" si="6"/>
        <v>81060000</v>
      </c>
      <c r="F143">
        <f t="shared" si="7"/>
        <v>383.15</v>
      </c>
      <c r="G143">
        <f t="shared" si="8"/>
        <v>567.3758865248227</v>
      </c>
    </row>
    <row r="144" spans="1:7" x14ac:dyDescent="0.35">
      <c r="A144">
        <v>800</v>
      </c>
      <c r="B144">
        <v>120</v>
      </c>
      <c r="C144">
        <v>1440</v>
      </c>
      <c r="E144">
        <f t="shared" si="6"/>
        <v>81060000</v>
      </c>
      <c r="F144">
        <f t="shared" si="7"/>
        <v>393.15</v>
      </c>
      <c r="G144">
        <f t="shared" si="8"/>
        <v>555.55555555555566</v>
      </c>
    </row>
    <row r="145" spans="1:7" x14ac:dyDescent="0.35">
      <c r="A145">
        <v>800</v>
      </c>
      <c r="B145">
        <v>130</v>
      </c>
      <c r="C145">
        <v>1471</v>
      </c>
      <c r="E145">
        <f t="shared" si="6"/>
        <v>81060000</v>
      </c>
      <c r="F145">
        <f t="shared" si="7"/>
        <v>403.15</v>
      </c>
      <c r="G145">
        <f t="shared" si="8"/>
        <v>543.84772263766138</v>
      </c>
    </row>
    <row r="146" spans="1:7" x14ac:dyDescent="0.35">
      <c r="A146">
        <v>800</v>
      </c>
      <c r="B146">
        <v>140</v>
      </c>
      <c r="C146">
        <v>1502</v>
      </c>
      <c r="E146">
        <f t="shared" si="6"/>
        <v>81060000</v>
      </c>
      <c r="F146">
        <f t="shared" si="7"/>
        <v>413.15</v>
      </c>
      <c r="G146">
        <f t="shared" si="8"/>
        <v>532.62316910785626</v>
      </c>
    </row>
    <row r="147" spans="1:7" x14ac:dyDescent="0.35">
      <c r="A147">
        <v>800</v>
      </c>
      <c r="B147">
        <v>150</v>
      </c>
      <c r="C147">
        <v>1535</v>
      </c>
      <c r="E147">
        <f t="shared" si="6"/>
        <v>81060000</v>
      </c>
      <c r="F147">
        <f t="shared" si="7"/>
        <v>423.15</v>
      </c>
      <c r="G147">
        <f t="shared" si="8"/>
        <v>521.17263843648209</v>
      </c>
    </row>
    <row r="148" spans="1:7" x14ac:dyDescent="0.35">
      <c r="A148">
        <v>800</v>
      </c>
      <c r="B148">
        <v>160</v>
      </c>
      <c r="C148">
        <v>1569</v>
      </c>
      <c r="E148">
        <f t="shared" si="6"/>
        <v>81060000</v>
      </c>
      <c r="F148">
        <f t="shared" si="7"/>
        <v>433.15</v>
      </c>
      <c r="G148">
        <f t="shared" si="8"/>
        <v>509.87890376035682</v>
      </c>
    </row>
    <row r="149" spans="1:7" x14ac:dyDescent="0.35">
      <c r="A149">
        <v>800</v>
      </c>
      <c r="B149">
        <v>170</v>
      </c>
      <c r="C149">
        <v>1604</v>
      </c>
      <c r="E149">
        <f t="shared" si="6"/>
        <v>81060000</v>
      </c>
      <c r="F149">
        <f t="shared" si="7"/>
        <v>443.15</v>
      </c>
      <c r="G149">
        <f t="shared" si="8"/>
        <v>498.75311720698255</v>
      </c>
    </row>
    <row r="150" spans="1:7" x14ac:dyDescent="0.35">
      <c r="A150">
        <v>800</v>
      </c>
      <c r="B150">
        <v>180</v>
      </c>
      <c r="C150">
        <v>1642</v>
      </c>
      <c r="E150">
        <f t="shared" si="6"/>
        <v>81060000</v>
      </c>
      <c r="F150">
        <f t="shared" si="7"/>
        <v>453.15</v>
      </c>
      <c r="G150">
        <f t="shared" si="8"/>
        <v>487.21071863581005</v>
      </c>
    </row>
    <row r="151" spans="1:7" x14ac:dyDescent="0.35">
      <c r="A151">
        <v>800</v>
      </c>
      <c r="B151">
        <v>190</v>
      </c>
      <c r="C151">
        <v>1680</v>
      </c>
      <c r="E151">
        <f t="shared" si="6"/>
        <v>81060000</v>
      </c>
      <c r="F151">
        <f t="shared" si="7"/>
        <v>463.15</v>
      </c>
      <c r="G151">
        <f t="shared" si="8"/>
        <v>476.19047619047626</v>
      </c>
    </row>
    <row r="152" spans="1:7" x14ac:dyDescent="0.35">
      <c r="A152">
        <v>800</v>
      </c>
      <c r="B152">
        <v>200</v>
      </c>
      <c r="C152">
        <v>1720</v>
      </c>
      <c r="E152">
        <f t="shared" si="6"/>
        <v>81060000</v>
      </c>
      <c r="F152">
        <f t="shared" si="7"/>
        <v>473.15</v>
      </c>
      <c r="G152">
        <f t="shared" si="8"/>
        <v>465.11627906976747</v>
      </c>
    </row>
    <row r="153" spans="1:7" x14ac:dyDescent="0.35">
      <c r="A153">
        <v>900</v>
      </c>
      <c r="B153">
        <v>10</v>
      </c>
      <c r="C153">
        <v>1342</v>
      </c>
      <c r="E153">
        <f t="shared" si="6"/>
        <v>91192500</v>
      </c>
      <c r="F153">
        <f t="shared" si="7"/>
        <v>283.14999999999998</v>
      </c>
      <c r="G153">
        <f t="shared" si="8"/>
        <v>670.64083457526078</v>
      </c>
    </row>
    <row r="154" spans="1:7" x14ac:dyDescent="0.35">
      <c r="A154">
        <v>900</v>
      </c>
      <c r="B154">
        <v>20</v>
      </c>
      <c r="C154">
        <v>1353</v>
      </c>
      <c r="E154">
        <f t="shared" si="6"/>
        <v>91192500</v>
      </c>
      <c r="F154">
        <f t="shared" si="7"/>
        <v>293.14999999999998</v>
      </c>
      <c r="G154">
        <f t="shared" si="8"/>
        <v>665.1884700665189</v>
      </c>
    </row>
    <row r="155" spans="1:7" x14ac:dyDescent="0.35">
      <c r="A155">
        <v>900</v>
      </c>
      <c r="B155">
        <v>30</v>
      </c>
      <c r="C155">
        <v>1367</v>
      </c>
      <c r="E155">
        <f t="shared" si="6"/>
        <v>91192500</v>
      </c>
      <c r="F155">
        <f t="shared" si="7"/>
        <v>303.14999999999998</v>
      </c>
      <c r="G155">
        <f t="shared" si="8"/>
        <v>658.37600585223117</v>
      </c>
    </row>
    <row r="156" spans="1:7" x14ac:dyDescent="0.35">
      <c r="A156">
        <v>900</v>
      </c>
      <c r="B156">
        <v>40</v>
      </c>
      <c r="C156">
        <v>1382</v>
      </c>
      <c r="E156">
        <f t="shared" si="6"/>
        <v>91192500</v>
      </c>
      <c r="F156">
        <f t="shared" si="7"/>
        <v>313.14999999999998</v>
      </c>
      <c r="G156">
        <f t="shared" si="8"/>
        <v>651.23010130246018</v>
      </c>
    </row>
    <row r="157" spans="1:7" x14ac:dyDescent="0.35">
      <c r="A157">
        <v>900</v>
      </c>
      <c r="B157">
        <v>50</v>
      </c>
      <c r="C157">
        <v>1402</v>
      </c>
      <c r="E157">
        <f t="shared" si="6"/>
        <v>91192500</v>
      </c>
      <c r="F157">
        <f t="shared" si="7"/>
        <v>323.14999999999998</v>
      </c>
      <c r="G157">
        <f t="shared" si="8"/>
        <v>641.94008559201143</v>
      </c>
    </row>
    <row r="158" spans="1:7" x14ac:dyDescent="0.35">
      <c r="A158">
        <v>900</v>
      </c>
      <c r="B158">
        <v>60</v>
      </c>
      <c r="C158">
        <v>1423</v>
      </c>
      <c r="E158">
        <f t="shared" si="6"/>
        <v>91192500</v>
      </c>
      <c r="F158">
        <f t="shared" si="7"/>
        <v>333.15</v>
      </c>
      <c r="G158">
        <f t="shared" si="8"/>
        <v>632.46661981728744</v>
      </c>
    </row>
    <row r="159" spans="1:7" x14ac:dyDescent="0.35">
      <c r="A159">
        <v>900</v>
      </c>
      <c r="B159">
        <v>70</v>
      </c>
      <c r="C159">
        <v>1448</v>
      </c>
      <c r="E159">
        <f t="shared" si="6"/>
        <v>91192500</v>
      </c>
      <c r="F159">
        <f t="shared" si="7"/>
        <v>343.15</v>
      </c>
      <c r="G159">
        <f t="shared" si="8"/>
        <v>621.54696132596689</v>
      </c>
    </row>
    <row r="160" spans="1:7" x14ac:dyDescent="0.35">
      <c r="A160">
        <v>900</v>
      </c>
      <c r="B160">
        <v>80</v>
      </c>
      <c r="C160">
        <v>1473</v>
      </c>
      <c r="E160">
        <f t="shared" si="6"/>
        <v>91192500</v>
      </c>
      <c r="F160">
        <f t="shared" si="7"/>
        <v>353.15</v>
      </c>
      <c r="G160">
        <f t="shared" si="8"/>
        <v>610.99796334012228</v>
      </c>
    </row>
    <row r="161" spans="1:7" x14ac:dyDescent="0.35">
      <c r="A161">
        <v>900</v>
      </c>
      <c r="B161">
        <v>90</v>
      </c>
      <c r="C161">
        <v>1501</v>
      </c>
      <c r="E161">
        <f t="shared" si="6"/>
        <v>91192500</v>
      </c>
      <c r="F161">
        <f t="shared" si="7"/>
        <v>363.15</v>
      </c>
      <c r="G161">
        <f t="shared" si="8"/>
        <v>599.60026648900737</v>
      </c>
    </row>
    <row r="162" spans="1:7" x14ac:dyDescent="0.35">
      <c r="A162">
        <v>900</v>
      </c>
      <c r="B162">
        <v>100</v>
      </c>
      <c r="C162">
        <v>1530</v>
      </c>
      <c r="E162">
        <f t="shared" si="6"/>
        <v>91192500</v>
      </c>
      <c r="F162">
        <f t="shared" si="7"/>
        <v>373.15</v>
      </c>
      <c r="G162">
        <f t="shared" si="8"/>
        <v>588.23529411764696</v>
      </c>
    </row>
    <row r="163" spans="1:7" x14ac:dyDescent="0.35">
      <c r="A163">
        <v>900</v>
      </c>
      <c r="B163">
        <v>110</v>
      </c>
      <c r="C163">
        <v>1560</v>
      </c>
      <c r="E163">
        <f t="shared" si="6"/>
        <v>91192500</v>
      </c>
      <c r="F163">
        <f t="shared" si="7"/>
        <v>383.15</v>
      </c>
      <c r="G163">
        <f t="shared" si="8"/>
        <v>576.92307692307691</v>
      </c>
    </row>
    <row r="164" spans="1:7" x14ac:dyDescent="0.35">
      <c r="A164">
        <v>900</v>
      </c>
      <c r="B164">
        <v>120</v>
      </c>
      <c r="C164">
        <v>1591</v>
      </c>
      <c r="E164">
        <f t="shared" si="6"/>
        <v>91192500</v>
      </c>
      <c r="F164">
        <f t="shared" si="7"/>
        <v>393.15</v>
      </c>
      <c r="G164">
        <f t="shared" si="8"/>
        <v>565.68196103079822</v>
      </c>
    </row>
    <row r="165" spans="1:7" x14ac:dyDescent="0.35">
      <c r="A165">
        <v>900</v>
      </c>
      <c r="B165">
        <v>130</v>
      </c>
      <c r="C165">
        <v>1623</v>
      </c>
      <c r="E165">
        <f t="shared" si="6"/>
        <v>91192500</v>
      </c>
      <c r="F165">
        <f t="shared" si="7"/>
        <v>403.15</v>
      </c>
      <c r="G165">
        <f t="shared" si="8"/>
        <v>554.52865064695015</v>
      </c>
    </row>
    <row r="166" spans="1:7" x14ac:dyDescent="0.35">
      <c r="A166">
        <v>900</v>
      </c>
      <c r="B166">
        <v>140</v>
      </c>
      <c r="C166">
        <v>1656</v>
      </c>
      <c r="E166">
        <f t="shared" si="6"/>
        <v>91192500</v>
      </c>
      <c r="F166">
        <f t="shared" si="7"/>
        <v>413.15</v>
      </c>
      <c r="G166">
        <f t="shared" si="8"/>
        <v>543.47826086956525</v>
      </c>
    </row>
    <row r="167" spans="1:7" x14ac:dyDescent="0.35">
      <c r="A167">
        <v>900</v>
      </c>
      <c r="B167">
        <v>150</v>
      </c>
      <c r="C167">
        <v>1690</v>
      </c>
      <c r="E167">
        <f t="shared" si="6"/>
        <v>91192500</v>
      </c>
      <c r="F167">
        <f t="shared" si="7"/>
        <v>423.15</v>
      </c>
      <c r="G167">
        <f t="shared" si="8"/>
        <v>532.54437869822482</v>
      </c>
    </row>
    <row r="168" spans="1:7" x14ac:dyDescent="0.35">
      <c r="A168">
        <v>900</v>
      </c>
      <c r="B168">
        <v>160</v>
      </c>
      <c r="C168">
        <v>1724</v>
      </c>
      <c r="E168">
        <f t="shared" si="6"/>
        <v>91192500</v>
      </c>
      <c r="F168">
        <f t="shared" si="7"/>
        <v>433.15</v>
      </c>
      <c r="G168">
        <f t="shared" si="8"/>
        <v>522.04176334106728</v>
      </c>
    </row>
    <row r="169" spans="1:7" x14ac:dyDescent="0.35">
      <c r="A169">
        <v>900</v>
      </c>
      <c r="B169">
        <v>170</v>
      </c>
      <c r="C169">
        <v>1761</v>
      </c>
      <c r="E169">
        <f t="shared" si="6"/>
        <v>91192500</v>
      </c>
      <c r="F169">
        <f t="shared" si="7"/>
        <v>443.15</v>
      </c>
      <c r="G169">
        <f t="shared" si="8"/>
        <v>511.07325383304948</v>
      </c>
    </row>
    <row r="170" spans="1:7" x14ac:dyDescent="0.35">
      <c r="A170">
        <v>900</v>
      </c>
      <c r="B170">
        <v>180</v>
      </c>
      <c r="C170">
        <v>1798</v>
      </c>
      <c r="E170">
        <f t="shared" si="6"/>
        <v>91192500</v>
      </c>
      <c r="F170">
        <f t="shared" si="7"/>
        <v>453.15</v>
      </c>
      <c r="G170">
        <f t="shared" si="8"/>
        <v>500.55617352614024</v>
      </c>
    </row>
    <row r="171" spans="1:7" x14ac:dyDescent="0.35">
      <c r="A171">
        <v>900</v>
      </c>
      <c r="B171">
        <v>190</v>
      </c>
      <c r="C171">
        <v>1836</v>
      </c>
      <c r="E171">
        <f t="shared" si="6"/>
        <v>91192500</v>
      </c>
      <c r="F171">
        <f t="shared" si="7"/>
        <v>463.15</v>
      </c>
      <c r="G171">
        <f t="shared" si="8"/>
        <v>490.19607843137265</v>
      </c>
    </row>
    <row r="172" spans="1:7" x14ac:dyDescent="0.35">
      <c r="A172">
        <v>900</v>
      </c>
      <c r="B172">
        <v>200</v>
      </c>
      <c r="C172">
        <v>1877</v>
      </c>
      <c r="E172">
        <f t="shared" si="6"/>
        <v>91192500</v>
      </c>
      <c r="F172">
        <f t="shared" si="7"/>
        <v>473.15</v>
      </c>
      <c r="G172">
        <f t="shared" si="8"/>
        <v>479.48854555141179</v>
      </c>
    </row>
    <row r="173" spans="1:7" x14ac:dyDescent="0.35">
      <c r="A173">
        <v>900</v>
      </c>
      <c r="B173">
        <v>210</v>
      </c>
      <c r="C173">
        <v>1921</v>
      </c>
      <c r="E173">
        <f t="shared" si="6"/>
        <v>91192500</v>
      </c>
      <c r="F173">
        <f t="shared" si="7"/>
        <v>483.15</v>
      </c>
      <c r="G173">
        <f t="shared" si="8"/>
        <v>468.50598646538259</v>
      </c>
    </row>
    <row r="174" spans="1:7" x14ac:dyDescent="0.35">
      <c r="A174">
        <v>1000</v>
      </c>
      <c r="B174">
        <v>10</v>
      </c>
      <c r="C174">
        <v>1489.5</v>
      </c>
      <c r="E174">
        <f t="shared" si="6"/>
        <v>101325000</v>
      </c>
      <c r="F174">
        <f t="shared" si="7"/>
        <v>283.14999999999998</v>
      </c>
      <c r="G174">
        <f t="shared" si="8"/>
        <v>671.36623027861708</v>
      </c>
    </row>
    <row r="175" spans="1:7" x14ac:dyDescent="0.35">
      <c r="A175">
        <v>1000</v>
      </c>
      <c r="B175">
        <v>20</v>
      </c>
      <c r="C175">
        <v>1499</v>
      </c>
      <c r="E175">
        <f t="shared" si="6"/>
        <v>101325000</v>
      </c>
      <c r="F175">
        <f t="shared" si="7"/>
        <v>293.14999999999998</v>
      </c>
      <c r="G175">
        <f t="shared" si="8"/>
        <v>667.11140760506987</v>
      </c>
    </row>
    <row r="176" spans="1:7" x14ac:dyDescent="0.35">
      <c r="A176">
        <v>1000</v>
      </c>
      <c r="B176">
        <v>30</v>
      </c>
      <c r="C176">
        <v>1511</v>
      </c>
      <c r="E176">
        <f t="shared" si="6"/>
        <v>101325000</v>
      </c>
      <c r="F176">
        <f t="shared" si="7"/>
        <v>303.14999999999998</v>
      </c>
      <c r="G176">
        <f t="shared" si="8"/>
        <v>661.8133686300464</v>
      </c>
    </row>
    <row r="177" spans="1:7" x14ac:dyDescent="0.35">
      <c r="A177">
        <v>1000</v>
      </c>
      <c r="B177">
        <v>40</v>
      </c>
      <c r="C177">
        <v>1526</v>
      </c>
      <c r="E177">
        <f t="shared" si="6"/>
        <v>101325000</v>
      </c>
      <c r="F177">
        <f t="shared" si="7"/>
        <v>313.14999999999998</v>
      </c>
      <c r="G177">
        <f t="shared" si="8"/>
        <v>655.30799475753611</v>
      </c>
    </row>
    <row r="178" spans="1:7" x14ac:dyDescent="0.35">
      <c r="A178">
        <v>1000</v>
      </c>
      <c r="B178">
        <v>50</v>
      </c>
      <c r="C178">
        <v>1545</v>
      </c>
      <c r="E178">
        <f t="shared" si="6"/>
        <v>101325000</v>
      </c>
      <c r="F178">
        <f t="shared" si="7"/>
        <v>323.14999999999998</v>
      </c>
      <c r="G178">
        <f t="shared" si="8"/>
        <v>647.24919093851145</v>
      </c>
    </row>
    <row r="179" spans="1:7" x14ac:dyDescent="0.35">
      <c r="A179">
        <v>1000</v>
      </c>
      <c r="B179">
        <v>60</v>
      </c>
      <c r="C179">
        <v>1567</v>
      </c>
      <c r="E179">
        <f t="shared" si="6"/>
        <v>101325000</v>
      </c>
      <c r="F179">
        <f t="shared" si="7"/>
        <v>333.15</v>
      </c>
      <c r="G179">
        <f t="shared" si="8"/>
        <v>638.16209317166556</v>
      </c>
    </row>
    <row r="180" spans="1:7" x14ac:dyDescent="0.35">
      <c r="A180">
        <v>1000</v>
      </c>
      <c r="B180">
        <v>70</v>
      </c>
      <c r="C180">
        <v>1592</v>
      </c>
      <c r="E180">
        <f t="shared" si="6"/>
        <v>101325000</v>
      </c>
      <c r="F180">
        <f t="shared" si="7"/>
        <v>343.15</v>
      </c>
      <c r="G180">
        <f t="shared" si="8"/>
        <v>628.14070351758801</v>
      </c>
    </row>
    <row r="181" spans="1:7" x14ac:dyDescent="0.35">
      <c r="A181">
        <v>1000</v>
      </c>
      <c r="B181">
        <v>80</v>
      </c>
      <c r="C181">
        <v>1620</v>
      </c>
      <c r="E181">
        <f t="shared" si="6"/>
        <v>101325000</v>
      </c>
      <c r="F181">
        <f t="shared" si="7"/>
        <v>353.15</v>
      </c>
      <c r="G181">
        <f t="shared" si="8"/>
        <v>617.28395061728395</v>
      </c>
    </row>
    <row r="182" spans="1:7" x14ac:dyDescent="0.35">
      <c r="A182">
        <v>1000</v>
      </c>
      <c r="B182">
        <v>90</v>
      </c>
      <c r="C182">
        <v>1649</v>
      </c>
      <c r="E182">
        <f t="shared" si="6"/>
        <v>101325000</v>
      </c>
      <c r="F182">
        <f t="shared" si="7"/>
        <v>363.15</v>
      </c>
      <c r="G182">
        <f t="shared" si="8"/>
        <v>606.42813826561564</v>
      </c>
    </row>
    <row r="183" spans="1:7" x14ac:dyDescent="0.35">
      <c r="A183">
        <v>1000</v>
      </c>
      <c r="B183">
        <v>100</v>
      </c>
      <c r="C183">
        <v>1678</v>
      </c>
      <c r="E183">
        <f t="shared" si="6"/>
        <v>101325000</v>
      </c>
      <c r="F183">
        <f t="shared" si="7"/>
        <v>373.15</v>
      </c>
      <c r="G183">
        <f t="shared" si="8"/>
        <v>595.9475566150179</v>
      </c>
    </row>
    <row r="184" spans="1:7" x14ac:dyDescent="0.35">
      <c r="A184">
        <v>1000</v>
      </c>
      <c r="B184">
        <v>110</v>
      </c>
      <c r="C184">
        <v>1710</v>
      </c>
      <c r="E184">
        <f t="shared" si="6"/>
        <v>101325000</v>
      </c>
      <c r="F184">
        <f t="shared" si="7"/>
        <v>383.15</v>
      </c>
      <c r="G184">
        <f t="shared" si="8"/>
        <v>584.79532163742692</v>
      </c>
    </row>
    <row r="185" spans="1:7" x14ac:dyDescent="0.35">
      <c r="A185">
        <v>1000</v>
      </c>
      <c r="B185">
        <v>120</v>
      </c>
      <c r="C185">
        <v>1742</v>
      </c>
      <c r="E185">
        <f t="shared" ref="E185:E215" si="9">A185*101325</f>
        <v>101325000</v>
      </c>
      <c r="F185">
        <f t="shared" ref="F185:F215" si="10">B185+273.15</f>
        <v>393.15</v>
      </c>
      <c r="G185">
        <f t="shared" ref="G185:G215" si="11">1/C185*0.001*1000000*A185</f>
        <v>574.05281285878311</v>
      </c>
    </row>
    <row r="186" spans="1:7" x14ac:dyDescent="0.35">
      <c r="A186">
        <v>1000</v>
      </c>
      <c r="B186">
        <v>130</v>
      </c>
      <c r="C186">
        <v>1776</v>
      </c>
      <c r="E186">
        <f t="shared" si="9"/>
        <v>101325000</v>
      </c>
      <c r="F186">
        <f t="shared" si="10"/>
        <v>403.15</v>
      </c>
      <c r="G186">
        <f t="shared" si="11"/>
        <v>563.06306306306305</v>
      </c>
    </row>
    <row r="187" spans="1:7" x14ac:dyDescent="0.35">
      <c r="A187">
        <v>1000</v>
      </c>
      <c r="B187">
        <v>140</v>
      </c>
      <c r="C187">
        <v>1810</v>
      </c>
      <c r="E187">
        <f t="shared" si="9"/>
        <v>101325000</v>
      </c>
      <c r="F187">
        <f t="shared" si="10"/>
        <v>413.15</v>
      </c>
      <c r="G187">
        <f t="shared" si="11"/>
        <v>552.4861878453039</v>
      </c>
    </row>
    <row r="188" spans="1:7" x14ac:dyDescent="0.35">
      <c r="A188">
        <v>1000</v>
      </c>
      <c r="B188">
        <v>150</v>
      </c>
      <c r="C188">
        <v>1844</v>
      </c>
      <c r="E188">
        <f t="shared" si="9"/>
        <v>101325000</v>
      </c>
      <c r="F188">
        <f t="shared" si="10"/>
        <v>423.15</v>
      </c>
      <c r="G188">
        <f t="shared" si="11"/>
        <v>542.29934924078088</v>
      </c>
    </row>
    <row r="189" spans="1:7" x14ac:dyDescent="0.35">
      <c r="A189">
        <v>1000</v>
      </c>
      <c r="B189">
        <v>160</v>
      </c>
      <c r="C189">
        <v>1879</v>
      </c>
      <c r="E189">
        <f t="shared" si="9"/>
        <v>101325000</v>
      </c>
      <c r="F189">
        <f t="shared" si="10"/>
        <v>433.15</v>
      </c>
      <c r="G189">
        <f t="shared" si="11"/>
        <v>532.19797764768498</v>
      </c>
    </row>
    <row r="190" spans="1:7" x14ac:dyDescent="0.35">
      <c r="A190">
        <v>1000</v>
      </c>
      <c r="B190">
        <v>170</v>
      </c>
      <c r="C190">
        <v>1916</v>
      </c>
      <c r="E190">
        <f t="shared" si="9"/>
        <v>101325000</v>
      </c>
      <c r="F190">
        <f t="shared" si="10"/>
        <v>443.15</v>
      </c>
      <c r="G190">
        <f t="shared" si="11"/>
        <v>521.92066805845502</v>
      </c>
    </row>
    <row r="191" spans="1:7" x14ac:dyDescent="0.35">
      <c r="A191">
        <v>1000</v>
      </c>
      <c r="B191">
        <v>180</v>
      </c>
      <c r="C191">
        <v>1952</v>
      </c>
      <c r="E191">
        <f t="shared" si="9"/>
        <v>101325000</v>
      </c>
      <c r="F191">
        <f t="shared" si="10"/>
        <v>453.15</v>
      </c>
      <c r="G191">
        <f t="shared" si="11"/>
        <v>512.29508196721315</v>
      </c>
    </row>
    <row r="192" spans="1:7" x14ac:dyDescent="0.35">
      <c r="A192">
        <v>1000</v>
      </c>
      <c r="B192">
        <v>190</v>
      </c>
      <c r="C192">
        <v>1992</v>
      </c>
      <c r="E192">
        <f t="shared" si="9"/>
        <v>101325000</v>
      </c>
      <c r="F192">
        <f t="shared" si="10"/>
        <v>463.15</v>
      </c>
      <c r="G192">
        <f t="shared" si="11"/>
        <v>502.00803212851395</v>
      </c>
    </row>
    <row r="193" spans="1:7" x14ac:dyDescent="0.35">
      <c r="A193">
        <v>1000</v>
      </c>
      <c r="B193">
        <v>200</v>
      </c>
      <c r="C193">
        <v>2032</v>
      </c>
      <c r="E193">
        <f t="shared" si="9"/>
        <v>101325000</v>
      </c>
      <c r="F193">
        <f t="shared" si="10"/>
        <v>473.15</v>
      </c>
      <c r="G193">
        <f t="shared" si="11"/>
        <v>492.12598425196853</v>
      </c>
    </row>
    <row r="194" spans="1:7" x14ac:dyDescent="0.35">
      <c r="A194">
        <v>1000</v>
      </c>
      <c r="B194">
        <v>210</v>
      </c>
      <c r="C194">
        <v>2073</v>
      </c>
      <c r="E194">
        <f t="shared" si="9"/>
        <v>101325000</v>
      </c>
      <c r="F194">
        <f t="shared" si="10"/>
        <v>483.15</v>
      </c>
      <c r="G194">
        <f t="shared" si="11"/>
        <v>482.39266763145207</v>
      </c>
    </row>
    <row r="195" spans="1:7" x14ac:dyDescent="0.35">
      <c r="A195">
        <v>1100</v>
      </c>
      <c r="B195">
        <v>10</v>
      </c>
      <c r="C195">
        <v>1634</v>
      </c>
      <c r="E195">
        <f t="shared" si="9"/>
        <v>111457500</v>
      </c>
      <c r="F195">
        <f t="shared" si="10"/>
        <v>283.14999999999998</v>
      </c>
      <c r="G195">
        <f t="shared" si="11"/>
        <v>673.19461444308433</v>
      </c>
    </row>
    <row r="196" spans="1:7" x14ac:dyDescent="0.35">
      <c r="A196">
        <v>1100</v>
      </c>
      <c r="B196">
        <v>20</v>
      </c>
      <c r="C196">
        <v>1643</v>
      </c>
      <c r="E196">
        <f t="shared" si="9"/>
        <v>111457500</v>
      </c>
      <c r="F196">
        <f t="shared" si="10"/>
        <v>293.14999999999998</v>
      </c>
      <c r="G196">
        <f t="shared" si="11"/>
        <v>669.50699939135734</v>
      </c>
    </row>
    <row r="197" spans="1:7" x14ac:dyDescent="0.35">
      <c r="A197">
        <v>1100</v>
      </c>
      <c r="B197">
        <v>30</v>
      </c>
      <c r="C197">
        <v>1654</v>
      </c>
      <c r="E197">
        <f t="shared" si="9"/>
        <v>111457500</v>
      </c>
      <c r="F197">
        <f t="shared" si="10"/>
        <v>303.14999999999998</v>
      </c>
      <c r="G197">
        <f t="shared" si="11"/>
        <v>665.05441354292623</v>
      </c>
    </row>
    <row r="198" spans="1:7" x14ac:dyDescent="0.35">
      <c r="A198">
        <v>1100</v>
      </c>
      <c r="B198">
        <v>40</v>
      </c>
      <c r="C198">
        <v>1669</v>
      </c>
      <c r="E198">
        <f t="shared" si="9"/>
        <v>111457500</v>
      </c>
      <c r="F198">
        <f t="shared" si="10"/>
        <v>313.14999999999998</v>
      </c>
      <c r="G198">
        <f t="shared" si="11"/>
        <v>659.07729179149192</v>
      </c>
    </row>
    <row r="199" spans="1:7" x14ac:dyDescent="0.35">
      <c r="A199">
        <v>1100</v>
      </c>
      <c r="B199">
        <v>50</v>
      </c>
      <c r="C199">
        <v>1687</v>
      </c>
      <c r="E199">
        <f t="shared" si="9"/>
        <v>111457500</v>
      </c>
      <c r="F199">
        <f t="shared" si="10"/>
        <v>323.14999999999998</v>
      </c>
      <c r="G199">
        <f t="shared" si="11"/>
        <v>652.04505038529931</v>
      </c>
    </row>
    <row r="200" spans="1:7" x14ac:dyDescent="0.35">
      <c r="A200">
        <v>1100</v>
      </c>
      <c r="B200">
        <v>60</v>
      </c>
      <c r="C200">
        <v>1709</v>
      </c>
      <c r="E200">
        <f t="shared" si="9"/>
        <v>111457500</v>
      </c>
      <c r="F200">
        <f t="shared" si="10"/>
        <v>333.15</v>
      </c>
      <c r="G200">
        <f t="shared" si="11"/>
        <v>643.65125804564082</v>
      </c>
    </row>
    <row r="201" spans="1:7" x14ac:dyDescent="0.35">
      <c r="A201">
        <v>1100</v>
      </c>
      <c r="B201">
        <v>70</v>
      </c>
      <c r="C201">
        <v>1735</v>
      </c>
      <c r="E201">
        <f t="shared" si="9"/>
        <v>111457500</v>
      </c>
      <c r="F201">
        <f t="shared" si="10"/>
        <v>343.15</v>
      </c>
      <c r="G201">
        <f t="shared" si="11"/>
        <v>634.00576368876091</v>
      </c>
    </row>
    <row r="202" spans="1:7" x14ac:dyDescent="0.35">
      <c r="A202">
        <v>1100</v>
      </c>
      <c r="B202">
        <v>80</v>
      </c>
      <c r="C202">
        <v>1764</v>
      </c>
      <c r="E202">
        <f t="shared" si="9"/>
        <v>111457500</v>
      </c>
      <c r="F202">
        <f t="shared" si="10"/>
        <v>353.15</v>
      </c>
      <c r="G202">
        <f t="shared" si="11"/>
        <v>623.58276643990928</v>
      </c>
    </row>
    <row r="203" spans="1:7" x14ac:dyDescent="0.35">
      <c r="A203">
        <v>1100</v>
      </c>
      <c r="B203">
        <v>90</v>
      </c>
      <c r="C203">
        <v>1793</v>
      </c>
      <c r="E203">
        <f t="shared" si="9"/>
        <v>111457500</v>
      </c>
      <c r="F203">
        <f t="shared" si="10"/>
        <v>363.15</v>
      </c>
      <c r="G203">
        <f t="shared" si="11"/>
        <v>613.49693251533745</v>
      </c>
    </row>
    <row r="204" spans="1:7" x14ac:dyDescent="0.35">
      <c r="A204">
        <v>1100</v>
      </c>
      <c r="B204">
        <v>100</v>
      </c>
      <c r="C204">
        <v>1824</v>
      </c>
      <c r="E204">
        <f t="shared" si="9"/>
        <v>111457500</v>
      </c>
      <c r="F204">
        <f t="shared" si="10"/>
        <v>373.15</v>
      </c>
      <c r="G204">
        <f t="shared" si="11"/>
        <v>603.07017543859638</v>
      </c>
    </row>
    <row r="205" spans="1:7" x14ac:dyDescent="0.35">
      <c r="A205">
        <v>1100</v>
      </c>
      <c r="B205">
        <v>110</v>
      </c>
      <c r="C205">
        <v>1857</v>
      </c>
      <c r="E205">
        <f t="shared" si="9"/>
        <v>111457500</v>
      </c>
      <c r="F205">
        <f t="shared" si="10"/>
        <v>383.15</v>
      </c>
      <c r="G205">
        <f t="shared" si="11"/>
        <v>592.35325794291862</v>
      </c>
    </row>
    <row r="206" spans="1:7" x14ac:dyDescent="0.35">
      <c r="A206">
        <v>1100</v>
      </c>
      <c r="B206">
        <v>120</v>
      </c>
      <c r="C206">
        <v>1891</v>
      </c>
      <c r="E206">
        <f t="shared" si="9"/>
        <v>111457500</v>
      </c>
      <c r="F206">
        <f t="shared" si="10"/>
        <v>393.15</v>
      </c>
      <c r="G206">
        <f t="shared" si="11"/>
        <v>581.70280274986783</v>
      </c>
    </row>
    <row r="207" spans="1:7" x14ac:dyDescent="0.35">
      <c r="A207">
        <v>1100</v>
      </c>
      <c r="B207">
        <v>130</v>
      </c>
      <c r="C207">
        <v>1926</v>
      </c>
      <c r="E207">
        <f t="shared" si="9"/>
        <v>111457500</v>
      </c>
      <c r="F207">
        <f t="shared" si="10"/>
        <v>403.15</v>
      </c>
      <c r="G207">
        <f t="shared" si="11"/>
        <v>571.13187954309444</v>
      </c>
    </row>
    <row r="208" spans="1:7" x14ac:dyDescent="0.35">
      <c r="A208">
        <v>1100</v>
      </c>
      <c r="B208">
        <v>140</v>
      </c>
      <c r="C208">
        <v>1960</v>
      </c>
      <c r="E208">
        <f t="shared" si="9"/>
        <v>111457500</v>
      </c>
      <c r="F208">
        <f t="shared" si="10"/>
        <v>413.15</v>
      </c>
      <c r="G208">
        <f t="shared" si="11"/>
        <v>561.22448979591843</v>
      </c>
    </row>
    <row r="209" spans="1:7" x14ac:dyDescent="0.35">
      <c r="A209">
        <v>1100</v>
      </c>
      <c r="B209">
        <v>150</v>
      </c>
      <c r="C209">
        <v>1996</v>
      </c>
      <c r="E209">
        <f t="shared" si="9"/>
        <v>111457500</v>
      </c>
      <c r="F209">
        <f t="shared" si="10"/>
        <v>423.15</v>
      </c>
      <c r="G209">
        <f t="shared" si="11"/>
        <v>551.10220440881756</v>
      </c>
    </row>
    <row r="210" spans="1:7" x14ac:dyDescent="0.35">
      <c r="A210">
        <v>1100</v>
      </c>
      <c r="B210">
        <v>160</v>
      </c>
      <c r="C210">
        <v>2032</v>
      </c>
      <c r="E210">
        <f t="shared" si="9"/>
        <v>111457500</v>
      </c>
      <c r="F210">
        <f t="shared" si="10"/>
        <v>433.15</v>
      </c>
      <c r="G210">
        <f t="shared" si="11"/>
        <v>541.33858267716539</v>
      </c>
    </row>
    <row r="211" spans="1:7" x14ac:dyDescent="0.35">
      <c r="A211">
        <v>1100</v>
      </c>
      <c r="B211">
        <v>170</v>
      </c>
      <c r="C211">
        <v>2069</v>
      </c>
      <c r="E211">
        <f t="shared" si="9"/>
        <v>111457500</v>
      </c>
      <c r="F211">
        <f t="shared" si="10"/>
        <v>443.15</v>
      </c>
      <c r="G211">
        <f t="shared" si="11"/>
        <v>531.6578057032383</v>
      </c>
    </row>
    <row r="212" spans="1:7" x14ac:dyDescent="0.35">
      <c r="A212">
        <v>1100</v>
      </c>
      <c r="B212">
        <v>180</v>
      </c>
      <c r="C212">
        <v>2108</v>
      </c>
      <c r="E212">
        <f t="shared" si="9"/>
        <v>111457500</v>
      </c>
      <c r="F212">
        <f t="shared" si="10"/>
        <v>453.15</v>
      </c>
      <c r="G212">
        <f t="shared" si="11"/>
        <v>521.82163187855781</v>
      </c>
    </row>
    <row r="213" spans="1:7" x14ac:dyDescent="0.35">
      <c r="A213">
        <v>1100</v>
      </c>
      <c r="B213">
        <v>190</v>
      </c>
      <c r="C213">
        <v>2147</v>
      </c>
      <c r="E213">
        <f t="shared" si="9"/>
        <v>111457500</v>
      </c>
      <c r="F213">
        <f t="shared" si="10"/>
        <v>463.15</v>
      </c>
      <c r="G213">
        <f t="shared" si="11"/>
        <v>512.34280391243601</v>
      </c>
    </row>
    <row r="214" spans="1:7" x14ac:dyDescent="0.35">
      <c r="A214">
        <v>1100</v>
      </c>
      <c r="B214">
        <v>200</v>
      </c>
      <c r="C214">
        <v>2186</v>
      </c>
      <c r="E214">
        <f t="shared" si="9"/>
        <v>111457500</v>
      </c>
      <c r="F214">
        <f t="shared" si="10"/>
        <v>473.15</v>
      </c>
      <c r="G214">
        <f t="shared" si="11"/>
        <v>503.20219579139984</v>
      </c>
    </row>
    <row r="215" spans="1:7" x14ac:dyDescent="0.35">
      <c r="A215">
        <v>1100</v>
      </c>
      <c r="B215">
        <v>210</v>
      </c>
      <c r="C215">
        <v>2225</v>
      </c>
      <c r="E215">
        <f t="shared" si="9"/>
        <v>111457500</v>
      </c>
      <c r="F215">
        <f t="shared" si="10"/>
        <v>483.15</v>
      </c>
      <c r="G215">
        <f t="shared" si="11"/>
        <v>494.38202247191009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B3D62-0C38-416B-93F1-BFA669B83CEE}">
  <dimension ref="A1:G148"/>
  <sheetViews>
    <sheetView workbookViewId="0">
      <selection activeCell="G2" sqref="G2"/>
    </sheetView>
  </sheetViews>
  <sheetFormatPr defaultRowHeight="14.5" x14ac:dyDescent="0.35"/>
  <cols>
    <col min="4" max="4" width="10" bestFit="1" customWidth="1"/>
    <col min="5" max="5" width="11.81640625" bestFit="1" customWidth="1"/>
  </cols>
  <sheetData>
    <row r="1" spans="1:7" x14ac:dyDescent="0.35">
      <c r="A1" t="s">
        <v>38</v>
      </c>
      <c r="B1" t="s">
        <v>4</v>
      </c>
      <c r="C1" t="s">
        <v>6</v>
      </c>
      <c r="E1" t="s">
        <v>0</v>
      </c>
      <c r="F1" t="s">
        <v>1</v>
      </c>
      <c r="G1" t="s">
        <v>2</v>
      </c>
    </row>
    <row r="2" spans="1:7" x14ac:dyDescent="0.35">
      <c r="A2">
        <v>1548</v>
      </c>
      <c r="B2">
        <v>29.84</v>
      </c>
      <c r="C2">
        <v>1.5</v>
      </c>
      <c r="E2">
        <f>A2/C2*101325</f>
        <v>104567400</v>
      </c>
      <c r="F2">
        <f>B2+273.15</f>
        <v>302.98999999999995</v>
      </c>
      <c r="G2">
        <f>1/C2*0.001*1000000</f>
        <v>666.66666666666663</v>
      </c>
    </row>
    <row r="3" spans="1:7" x14ac:dyDescent="0.35">
      <c r="A3">
        <v>1703.5</v>
      </c>
      <c r="B3">
        <v>34.86</v>
      </c>
      <c r="C3">
        <v>1.5</v>
      </c>
      <c r="E3">
        <f t="shared" ref="E3:E66" si="0">A3/C3*101325</f>
        <v>115071425.00000001</v>
      </c>
      <c r="F3">
        <f t="shared" ref="F3:F53" si="1">B3+273.15</f>
        <v>308.01</v>
      </c>
      <c r="G3">
        <f t="shared" ref="G3:G53" si="2">1/C3*0.001*1000000</f>
        <v>666.66666666666663</v>
      </c>
    </row>
    <row r="4" spans="1:7" x14ac:dyDescent="0.35">
      <c r="A4">
        <v>1013.2</v>
      </c>
      <c r="B4">
        <v>29.84</v>
      </c>
      <c r="C4">
        <v>1.55</v>
      </c>
      <c r="E4">
        <f t="shared" si="0"/>
        <v>66233864.516129039</v>
      </c>
      <c r="F4">
        <f t="shared" si="1"/>
        <v>302.98999999999995</v>
      </c>
      <c r="G4">
        <f t="shared" si="2"/>
        <v>645.16129032258061</v>
      </c>
    </row>
    <row r="5" spans="1:7" x14ac:dyDescent="0.35">
      <c r="A5">
        <v>1161</v>
      </c>
      <c r="B5">
        <v>34.86</v>
      </c>
      <c r="C5">
        <v>1.55</v>
      </c>
      <c r="E5">
        <f t="shared" si="0"/>
        <v>75895693.548387095</v>
      </c>
      <c r="F5">
        <f t="shared" si="1"/>
        <v>308.01</v>
      </c>
      <c r="G5">
        <f t="shared" si="2"/>
        <v>645.16129032258061</v>
      </c>
    </row>
    <row r="6" spans="1:7" x14ac:dyDescent="0.35">
      <c r="A6">
        <v>1327</v>
      </c>
      <c r="B6">
        <v>44.81</v>
      </c>
      <c r="C6">
        <v>1.55</v>
      </c>
      <c r="E6">
        <f t="shared" si="0"/>
        <v>86747274.193548381</v>
      </c>
      <c r="F6">
        <f t="shared" si="1"/>
        <v>317.95999999999998</v>
      </c>
      <c r="G6">
        <f t="shared" si="2"/>
        <v>645.16129032258061</v>
      </c>
    </row>
    <row r="7" spans="1:7" x14ac:dyDescent="0.35">
      <c r="A7">
        <v>1576</v>
      </c>
      <c r="B7">
        <v>49.83</v>
      </c>
      <c r="C7">
        <v>1.55</v>
      </c>
      <c r="E7">
        <f t="shared" si="0"/>
        <v>103024645.16129032</v>
      </c>
      <c r="F7">
        <f t="shared" si="1"/>
        <v>322.97999999999996</v>
      </c>
      <c r="G7">
        <f t="shared" si="2"/>
        <v>645.16129032258061</v>
      </c>
    </row>
    <row r="8" spans="1:7" x14ac:dyDescent="0.35">
      <c r="A8">
        <v>1604</v>
      </c>
      <c r="B8">
        <v>54.88</v>
      </c>
      <c r="C8">
        <v>1.55</v>
      </c>
      <c r="E8">
        <f t="shared" si="0"/>
        <v>104855032.25806451</v>
      </c>
      <c r="F8">
        <f t="shared" si="1"/>
        <v>328.03</v>
      </c>
      <c r="G8">
        <f t="shared" si="2"/>
        <v>645.16129032258061</v>
      </c>
    </row>
    <row r="9" spans="1:7" x14ac:dyDescent="0.35">
      <c r="A9">
        <v>547.20000000000005</v>
      </c>
      <c r="B9">
        <v>29.84</v>
      </c>
      <c r="C9">
        <v>1.6</v>
      </c>
      <c r="E9">
        <f t="shared" si="0"/>
        <v>34653150</v>
      </c>
      <c r="F9">
        <f t="shared" si="1"/>
        <v>302.98999999999995</v>
      </c>
      <c r="G9">
        <f t="shared" si="2"/>
        <v>625</v>
      </c>
    </row>
    <row r="10" spans="1:7" x14ac:dyDescent="0.35">
      <c r="A10">
        <v>681.5</v>
      </c>
      <c r="B10">
        <v>34.86</v>
      </c>
      <c r="C10">
        <v>1.6</v>
      </c>
      <c r="E10">
        <f t="shared" si="0"/>
        <v>43158117.1875</v>
      </c>
      <c r="F10">
        <f t="shared" si="1"/>
        <v>308.01</v>
      </c>
      <c r="G10">
        <f t="shared" si="2"/>
        <v>625</v>
      </c>
    </row>
    <row r="11" spans="1:7" x14ac:dyDescent="0.35">
      <c r="A11">
        <v>885</v>
      </c>
      <c r="B11">
        <v>44.81</v>
      </c>
      <c r="C11">
        <v>1.6</v>
      </c>
      <c r="E11">
        <f t="shared" si="0"/>
        <v>56045390.625</v>
      </c>
      <c r="F11">
        <f t="shared" si="1"/>
        <v>317.95999999999998</v>
      </c>
      <c r="G11">
        <f t="shared" si="2"/>
        <v>625</v>
      </c>
    </row>
    <row r="12" spans="1:7" x14ac:dyDescent="0.35">
      <c r="A12">
        <v>1106</v>
      </c>
      <c r="B12">
        <v>49.83</v>
      </c>
      <c r="C12">
        <v>1.6</v>
      </c>
      <c r="E12">
        <f t="shared" si="0"/>
        <v>70040906.25</v>
      </c>
      <c r="F12">
        <f t="shared" si="1"/>
        <v>322.97999999999996</v>
      </c>
      <c r="G12">
        <f t="shared" si="2"/>
        <v>625</v>
      </c>
    </row>
    <row r="13" spans="1:7" x14ac:dyDescent="0.35">
      <c r="A13">
        <v>1150</v>
      </c>
      <c r="B13">
        <v>54.88</v>
      </c>
      <c r="C13">
        <v>1.6</v>
      </c>
      <c r="E13">
        <f t="shared" si="0"/>
        <v>72827343.75</v>
      </c>
      <c r="F13">
        <f t="shared" si="1"/>
        <v>328.03</v>
      </c>
      <c r="G13">
        <f t="shared" si="2"/>
        <v>625</v>
      </c>
    </row>
    <row r="14" spans="1:7" x14ac:dyDescent="0.35">
      <c r="A14">
        <v>1371</v>
      </c>
      <c r="B14">
        <v>64.88</v>
      </c>
      <c r="C14">
        <v>1.6</v>
      </c>
      <c r="E14">
        <f t="shared" si="0"/>
        <v>86822859.375</v>
      </c>
      <c r="F14">
        <f t="shared" si="1"/>
        <v>338.03</v>
      </c>
      <c r="G14">
        <f t="shared" si="2"/>
        <v>625</v>
      </c>
    </row>
    <row r="15" spans="1:7" x14ac:dyDescent="0.35">
      <c r="A15">
        <v>1660</v>
      </c>
      <c r="B15">
        <v>75.064999999999998</v>
      </c>
      <c r="C15">
        <v>1.6</v>
      </c>
      <c r="E15">
        <f t="shared" si="0"/>
        <v>105124687.5</v>
      </c>
      <c r="F15">
        <f t="shared" si="1"/>
        <v>348.21499999999997</v>
      </c>
      <c r="G15">
        <f t="shared" si="2"/>
        <v>625</v>
      </c>
    </row>
    <row r="16" spans="1:7" x14ac:dyDescent="0.35">
      <c r="A16">
        <v>174</v>
      </c>
      <c r="B16">
        <v>29.84</v>
      </c>
      <c r="C16">
        <v>1.65</v>
      </c>
      <c r="E16">
        <f t="shared" si="0"/>
        <v>10685181.818181818</v>
      </c>
      <c r="F16">
        <f t="shared" si="1"/>
        <v>302.98999999999995</v>
      </c>
      <c r="G16">
        <f t="shared" si="2"/>
        <v>606.06060606060601</v>
      </c>
    </row>
    <row r="17" spans="1:7" x14ac:dyDescent="0.35">
      <c r="A17">
        <v>308.10000000000002</v>
      </c>
      <c r="B17">
        <v>34.86</v>
      </c>
      <c r="C17">
        <v>1.65</v>
      </c>
      <c r="E17">
        <f t="shared" si="0"/>
        <v>18920140.90909091</v>
      </c>
      <c r="F17">
        <f t="shared" si="1"/>
        <v>308.01</v>
      </c>
      <c r="G17">
        <f t="shared" si="2"/>
        <v>606.06060606060601</v>
      </c>
    </row>
    <row r="18" spans="1:7" x14ac:dyDescent="0.35">
      <c r="A18">
        <v>526</v>
      </c>
      <c r="B18">
        <v>44.81</v>
      </c>
      <c r="C18">
        <v>1.65</v>
      </c>
      <c r="E18">
        <f t="shared" si="0"/>
        <v>32301181.81818182</v>
      </c>
      <c r="F18">
        <f t="shared" si="1"/>
        <v>317.95999999999998</v>
      </c>
      <c r="G18">
        <f t="shared" si="2"/>
        <v>606.06060606060601</v>
      </c>
    </row>
    <row r="19" spans="1:7" x14ac:dyDescent="0.35">
      <c r="A19">
        <v>707.7</v>
      </c>
      <c r="B19">
        <v>49.83</v>
      </c>
      <c r="C19">
        <v>1.65</v>
      </c>
      <c r="E19">
        <f t="shared" si="0"/>
        <v>43459213.63636364</v>
      </c>
      <c r="F19">
        <f t="shared" si="1"/>
        <v>322.97999999999996</v>
      </c>
      <c r="G19">
        <f t="shared" si="2"/>
        <v>606.06060606060601</v>
      </c>
    </row>
    <row r="20" spans="1:7" x14ac:dyDescent="0.35">
      <c r="A20">
        <v>763</v>
      </c>
      <c r="B20">
        <v>54.88</v>
      </c>
      <c r="C20">
        <v>1.65</v>
      </c>
      <c r="E20">
        <f t="shared" si="0"/>
        <v>46855136.363636367</v>
      </c>
      <c r="F20">
        <f t="shared" si="1"/>
        <v>328.03</v>
      </c>
      <c r="G20">
        <f t="shared" si="2"/>
        <v>606.06060606060601</v>
      </c>
    </row>
    <row r="21" spans="1:7" x14ac:dyDescent="0.35">
      <c r="A21">
        <v>986</v>
      </c>
      <c r="B21">
        <v>64.88</v>
      </c>
      <c r="C21">
        <v>1.65</v>
      </c>
      <c r="E21">
        <f t="shared" si="0"/>
        <v>60549363.63636364</v>
      </c>
      <c r="F21">
        <f t="shared" si="1"/>
        <v>338.03</v>
      </c>
      <c r="G21">
        <f t="shared" si="2"/>
        <v>606.06060606060601</v>
      </c>
    </row>
    <row r="22" spans="1:7" x14ac:dyDescent="0.35">
      <c r="A22">
        <v>1263</v>
      </c>
      <c r="B22">
        <v>75.064999999999998</v>
      </c>
      <c r="C22">
        <v>1.65</v>
      </c>
      <c r="E22">
        <f t="shared" si="0"/>
        <v>77559681.818181828</v>
      </c>
      <c r="F22">
        <f t="shared" si="1"/>
        <v>348.21499999999997</v>
      </c>
      <c r="G22">
        <f t="shared" si="2"/>
        <v>606.06060606060601</v>
      </c>
    </row>
    <row r="23" spans="1:7" x14ac:dyDescent="0.35">
      <c r="A23">
        <v>1519.5</v>
      </c>
      <c r="B23">
        <v>85.21</v>
      </c>
      <c r="C23">
        <v>1.65</v>
      </c>
      <c r="E23">
        <f t="shared" si="0"/>
        <v>93311113.63636364</v>
      </c>
      <c r="F23">
        <f t="shared" si="1"/>
        <v>358.35999999999996</v>
      </c>
      <c r="G23">
        <f t="shared" si="2"/>
        <v>606.06060606060601</v>
      </c>
    </row>
    <row r="24" spans="1:7" x14ac:dyDescent="0.35">
      <c r="A24">
        <v>1768</v>
      </c>
      <c r="B24">
        <v>95.46</v>
      </c>
      <c r="C24">
        <v>1.65</v>
      </c>
      <c r="E24">
        <f t="shared" si="0"/>
        <v>108571272.72727272</v>
      </c>
      <c r="F24">
        <f t="shared" si="1"/>
        <v>368.60999999999996</v>
      </c>
      <c r="G24">
        <f t="shared" si="2"/>
        <v>606.06060606060601</v>
      </c>
    </row>
    <row r="25" spans="1:7" x14ac:dyDescent="0.35">
      <c r="A25">
        <v>1851</v>
      </c>
      <c r="B25">
        <v>100.306</v>
      </c>
      <c r="C25">
        <v>1.65</v>
      </c>
      <c r="E25">
        <f t="shared" si="0"/>
        <v>113668227.2727273</v>
      </c>
      <c r="F25">
        <f t="shared" si="1"/>
        <v>373.45599999999996</v>
      </c>
      <c r="G25">
        <f t="shared" si="2"/>
        <v>606.06060606060601</v>
      </c>
    </row>
    <row r="26" spans="1:7" x14ac:dyDescent="0.35">
      <c r="A26">
        <v>1947</v>
      </c>
      <c r="B26">
        <v>105.01</v>
      </c>
      <c r="C26">
        <v>1.65</v>
      </c>
      <c r="E26">
        <f t="shared" si="0"/>
        <v>119563500</v>
      </c>
      <c r="F26">
        <f t="shared" si="1"/>
        <v>378.15999999999997</v>
      </c>
      <c r="G26">
        <f t="shared" si="2"/>
        <v>606.06060606060601</v>
      </c>
    </row>
    <row r="27" spans="1:7" x14ac:dyDescent="0.35">
      <c r="A27">
        <v>31</v>
      </c>
      <c r="B27">
        <v>34.86</v>
      </c>
      <c r="C27">
        <v>1.7</v>
      </c>
      <c r="E27">
        <f t="shared" si="0"/>
        <v>1847691.1764705882</v>
      </c>
      <c r="F27">
        <f t="shared" si="1"/>
        <v>308.01</v>
      </c>
      <c r="G27">
        <f t="shared" si="2"/>
        <v>588.23529411764707</v>
      </c>
    </row>
    <row r="28" spans="1:7" x14ac:dyDescent="0.35">
      <c r="A28">
        <v>235</v>
      </c>
      <c r="B28">
        <v>44.81</v>
      </c>
      <c r="C28">
        <v>1.7</v>
      </c>
      <c r="E28">
        <f t="shared" si="0"/>
        <v>14006691.176470589</v>
      </c>
      <c r="F28">
        <f t="shared" si="1"/>
        <v>317.95999999999998</v>
      </c>
      <c r="G28">
        <f t="shared" si="2"/>
        <v>588.23529411764707</v>
      </c>
    </row>
    <row r="29" spans="1:7" x14ac:dyDescent="0.35">
      <c r="A29">
        <v>385</v>
      </c>
      <c r="B29">
        <v>49.83</v>
      </c>
      <c r="C29">
        <v>1.7</v>
      </c>
      <c r="E29">
        <f t="shared" si="0"/>
        <v>22947132.352941178</v>
      </c>
      <c r="F29">
        <f t="shared" si="1"/>
        <v>322.97999999999996</v>
      </c>
      <c r="G29">
        <f t="shared" si="2"/>
        <v>588.23529411764707</v>
      </c>
    </row>
    <row r="30" spans="1:7" x14ac:dyDescent="0.35">
      <c r="A30">
        <v>462.3</v>
      </c>
      <c r="B30">
        <v>54.88</v>
      </c>
      <c r="C30">
        <v>1.7</v>
      </c>
      <c r="E30">
        <f t="shared" si="0"/>
        <v>27554439.705882352</v>
      </c>
      <c r="F30">
        <f t="shared" si="1"/>
        <v>328.03</v>
      </c>
      <c r="G30">
        <f t="shared" si="2"/>
        <v>588.23529411764707</v>
      </c>
    </row>
    <row r="31" spans="1:7" x14ac:dyDescent="0.35">
      <c r="A31">
        <v>676</v>
      </c>
      <c r="B31">
        <v>64.88</v>
      </c>
      <c r="C31">
        <v>1.7</v>
      </c>
      <c r="E31">
        <f t="shared" si="0"/>
        <v>40291588.235294119</v>
      </c>
      <c r="F31">
        <f t="shared" si="1"/>
        <v>338.03</v>
      </c>
      <c r="G31">
        <f t="shared" si="2"/>
        <v>588.23529411764707</v>
      </c>
    </row>
    <row r="32" spans="1:7" x14ac:dyDescent="0.35">
      <c r="A32">
        <v>936</v>
      </c>
      <c r="B32">
        <v>75.064999999999998</v>
      </c>
      <c r="C32">
        <v>1.7</v>
      </c>
      <c r="E32">
        <f t="shared" si="0"/>
        <v>55788352.941176474</v>
      </c>
      <c r="F32">
        <f t="shared" si="1"/>
        <v>348.21499999999997</v>
      </c>
      <c r="G32">
        <f t="shared" si="2"/>
        <v>588.23529411764707</v>
      </c>
    </row>
    <row r="33" spans="1:7" x14ac:dyDescent="0.35">
      <c r="A33">
        <v>1176</v>
      </c>
      <c r="B33">
        <v>85.21</v>
      </c>
      <c r="C33">
        <v>1.7</v>
      </c>
      <c r="E33">
        <f t="shared" si="0"/>
        <v>70093058.823529407</v>
      </c>
      <c r="F33">
        <f t="shared" si="1"/>
        <v>358.35999999999996</v>
      </c>
      <c r="G33">
        <f t="shared" si="2"/>
        <v>588.23529411764707</v>
      </c>
    </row>
    <row r="34" spans="1:7" x14ac:dyDescent="0.35">
      <c r="A34">
        <v>1451</v>
      </c>
      <c r="B34">
        <v>95.46</v>
      </c>
      <c r="C34">
        <v>1.7</v>
      </c>
      <c r="E34">
        <f t="shared" si="0"/>
        <v>86483867.647058815</v>
      </c>
      <c r="F34">
        <f t="shared" si="1"/>
        <v>368.60999999999996</v>
      </c>
      <c r="G34">
        <f t="shared" si="2"/>
        <v>588.23529411764707</v>
      </c>
    </row>
    <row r="35" spans="1:7" x14ac:dyDescent="0.35">
      <c r="A35">
        <v>1537</v>
      </c>
      <c r="B35">
        <v>100.306</v>
      </c>
      <c r="C35">
        <v>1.7</v>
      </c>
      <c r="E35">
        <f t="shared" si="0"/>
        <v>91609720.588235289</v>
      </c>
      <c r="F35">
        <f t="shared" si="1"/>
        <v>373.45599999999996</v>
      </c>
      <c r="G35">
        <f t="shared" si="2"/>
        <v>588.23529411764707</v>
      </c>
    </row>
    <row r="36" spans="1:7" x14ac:dyDescent="0.35">
      <c r="A36">
        <v>1651</v>
      </c>
      <c r="B36">
        <v>105.01</v>
      </c>
      <c r="C36">
        <v>1.7</v>
      </c>
      <c r="E36">
        <f t="shared" si="0"/>
        <v>98404455.882352948</v>
      </c>
      <c r="F36">
        <f t="shared" si="1"/>
        <v>378.15999999999997</v>
      </c>
      <c r="G36">
        <f t="shared" si="2"/>
        <v>588.23529411764707</v>
      </c>
    </row>
    <row r="37" spans="1:7" x14ac:dyDescent="0.35">
      <c r="A37">
        <v>1884</v>
      </c>
      <c r="B37">
        <v>115.01</v>
      </c>
      <c r="C37">
        <v>1.7</v>
      </c>
      <c r="E37">
        <f t="shared" si="0"/>
        <v>112291941.17647059</v>
      </c>
      <c r="F37">
        <f t="shared" si="1"/>
        <v>388.15999999999997</v>
      </c>
      <c r="G37">
        <f t="shared" si="2"/>
        <v>588.23529411764707</v>
      </c>
    </row>
    <row r="38" spans="1:7" x14ac:dyDescent="0.35">
      <c r="A38">
        <v>139</v>
      </c>
      <c r="B38">
        <v>49.83</v>
      </c>
      <c r="C38">
        <v>1.75</v>
      </c>
      <c r="E38">
        <f t="shared" si="0"/>
        <v>8048100</v>
      </c>
      <c r="F38">
        <f t="shared" si="1"/>
        <v>322.97999999999996</v>
      </c>
      <c r="G38">
        <f t="shared" si="2"/>
        <v>571.42857142857133</v>
      </c>
    </row>
    <row r="39" spans="1:7" x14ac:dyDescent="0.35">
      <c r="A39">
        <v>228.5</v>
      </c>
      <c r="B39">
        <v>54.88</v>
      </c>
      <c r="C39">
        <v>1.75</v>
      </c>
      <c r="E39">
        <f t="shared" si="0"/>
        <v>13230150.000000002</v>
      </c>
      <c r="F39">
        <f t="shared" si="1"/>
        <v>328.03</v>
      </c>
      <c r="G39">
        <f t="shared" si="2"/>
        <v>571.42857142857133</v>
      </c>
    </row>
    <row r="40" spans="1:7" x14ac:dyDescent="0.35">
      <c r="A40">
        <v>424.5</v>
      </c>
      <c r="B40">
        <v>64.88</v>
      </c>
      <c r="C40">
        <v>1.75</v>
      </c>
      <c r="E40">
        <f t="shared" si="0"/>
        <v>24578550</v>
      </c>
      <c r="F40">
        <f t="shared" si="1"/>
        <v>338.03</v>
      </c>
      <c r="G40">
        <f t="shared" si="2"/>
        <v>571.42857142857133</v>
      </c>
    </row>
    <row r="41" spans="1:7" x14ac:dyDescent="0.35">
      <c r="A41">
        <v>671</v>
      </c>
      <c r="B41">
        <v>75.064999999999998</v>
      </c>
      <c r="C41">
        <v>1.75</v>
      </c>
      <c r="E41">
        <f t="shared" si="0"/>
        <v>38850900</v>
      </c>
      <c r="F41">
        <f t="shared" si="1"/>
        <v>348.21499999999997</v>
      </c>
      <c r="G41">
        <f t="shared" si="2"/>
        <v>571.42857142857133</v>
      </c>
    </row>
    <row r="42" spans="1:7" x14ac:dyDescent="0.35">
      <c r="A42">
        <v>895</v>
      </c>
      <c r="B42">
        <v>85.21</v>
      </c>
      <c r="C42">
        <v>1.75</v>
      </c>
      <c r="E42">
        <f t="shared" si="0"/>
        <v>51820500</v>
      </c>
      <c r="F42">
        <f t="shared" si="1"/>
        <v>358.35999999999996</v>
      </c>
      <c r="G42">
        <f t="shared" si="2"/>
        <v>571.42857142857133</v>
      </c>
    </row>
    <row r="43" spans="1:7" x14ac:dyDescent="0.35">
      <c r="A43">
        <v>1153</v>
      </c>
      <c r="B43">
        <v>95.46</v>
      </c>
      <c r="C43">
        <v>1.75</v>
      </c>
      <c r="E43">
        <f t="shared" si="0"/>
        <v>66758700</v>
      </c>
      <c r="F43">
        <f t="shared" si="1"/>
        <v>368.60999999999996</v>
      </c>
      <c r="G43">
        <f t="shared" si="2"/>
        <v>571.42857142857133</v>
      </c>
    </row>
    <row r="44" spans="1:7" x14ac:dyDescent="0.35">
      <c r="A44">
        <v>1245</v>
      </c>
      <c r="B44">
        <v>100.306</v>
      </c>
      <c r="C44">
        <v>1.75</v>
      </c>
      <c r="E44">
        <f t="shared" si="0"/>
        <v>72085500</v>
      </c>
      <c r="F44">
        <f t="shared" si="1"/>
        <v>373.45599999999996</v>
      </c>
      <c r="G44">
        <f t="shared" si="2"/>
        <v>571.42857142857133</v>
      </c>
    </row>
    <row r="45" spans="1:7" x14ac:dyDescent="0.35">
      <c r="A45">
        <v>1363</v>
      </c>
      <c r="B45">
        <v>105.01</v>
      </c>
      <c r="C45">
        <v>1.75</v>
      </c>
      <c r="E45">
        <f t="shared" si="0"/>
        <v>78917700</v>
      </c>
      <c r="F45">
        <f t="shared" si="1"/>
        <v>378.15999999999997</v>
      </c>
      <c r="G45">
        <f t="shared" si="2"/>
        <v>571.42857142857133</v>
      </c>
    </row>
    <row r="46" spans="1:7" x14ac:dyDescent="0.35">
      <c r="A46">
        <v>1610</v>
      </c>
      <c r="B46">
        <v>115.01</v>
      </c>
      <c r="C46">
        <v>1.75</v>
      </c>
      <c r="E46">
        <f t="shared" si="0"/>
        <v>93219000</v>
      </c>
      <c r="F46">
        <f t="shared" si="1"/>
        <v>388.15999999999997</v>
      </c>
      <c r="G46">
        <f t="shared" si="2"/>
        <v>571.42857142857133</v>
      </c>
    </row>
    <row r="47" spans="1:7" x14ac:dyDescent="0.35">
      <c r="A47">
        <v>1859</v>
      </c>
      <c r="B47">
        <v>129.86199999999999</v>
      </c>
      <c r="C47">
        <v>1.75</v>
      </c>
      <c r="E47">
        <f t="shared" si="0"/>
        <v>107636100</v>
      </c>
      <c r="F47">
        <f t="shared" si="1"/>
        <v>403.01199999999994</v>
      </c>
      <c r="G47">
        <f t="shared" si="2"/>
        <v>571.42857142857133</v>
      </c>
    </row>
    <row r="48" spans="1:7" x14ac:dyDescent="0.35">
      <c r="A48">
        <v>44.5</v>
      </c>
      <c r="B48">
        <v>54.88</v>
      </c>
      <c r="C48">
        <v>1.8</v>
      </c>
      <c r="E48">
        <f t="shared" si="0"/>
        <v>2504979.1666666665</v>
      </c>
      <c r="F48">
        <f t="shared" si="1"/>
        <v>328.03</v>
      </c>
      <c r="G48">
        <f t="shared" si="2"/>
        <v>555.55555555555554</v>
      </c>
    </row>
    <row r="49" spans="1:7" x14ac:dyDescent="0.35">
      <c r="A49">
        <v>222</v>
      </c>
      <c r="B49">
        <v>64.88</v>
      </c>
      <c r="C49">
        <v>1.8</v>
      </c>
      <c r="E49">
        <f t="shared" si="0"/>
        <v>12496750</v>
      </c>
      <c r="F49">
        <f t="shared" si="1"/>
        <v>338.03</v>
      </c>
      <c r="G49">
        <f t="shared" si="2"/>
        <v>555.55555555555554</v>
      </c>
    </row>
    <row r="50" spans="1:7" x14ac:dyDescent="0.35">
      <c r="A50">
        <v>453.5</v>
      </c>
      <c r="B50">
        <v>75.064999999999998</v>
      </c>
      <c r="C50">
        <v>1.8</v>
      </c>
      <c r="E50">
        <f t="shared" si="0"/>
        <v>25528270.833333332</v>
      </c>
      <c r="F50">
        <f t="shared" si="1"/>
        <v>348.21499999999997</v>
      </c>
      <c r="G50">
        <f t="shared" si="2"/>
        <v>555.55555555555554</v>
      </c>
    </row>
    <row r="51" spans="1:7" x14ac:dyDescent="0.35">
      <c r="A51">
        <v>670</v>
      </c>
      <c r="B51">
        <v>85.21</v>
      </c>
      <c r="C51">
        <v>1.8</v>
      </c>
      <c r="E51">
        <f t="shared" si="0"/>
        <v>37715416.666666664</v>
      </c>
      <c r="F51">
        <f t="shared" si="1"/>
        <v>358.35999999999996</v>
      </c>
      <c r="G51">
        <f t="shared" si="2"/>
        <v>555.55555555555554</v>
      </c>
    </row>
    <row r="52" spans="1:7" x14ac:dyDescent="0.35">
      <c r="A52">
        <v>904</v>
      </c>
      <c r="B52">
        <v>95.46</v>
      </c>
      <c r="C52">
        <v>1.8</v>
      </c>
      <c r="E52">
        <f t="shared" si="0"/>
        <v>50887666.666666664</v>
      </c>
      <c r="F52">
        <f t="shared" si="1"/>
        <v>368.60999999999996</v>
      </c>
      <c r="G52">
        <f t="shared" si="2"/>
        <v>555.55555555555554</v>
      </c>
    </row>
    <row r="53" spans="1:7" x14ac:dyDescent="0.35">
      <c r="A53">
        <v>991.2</v>
      </c>
      <c r="B53">
        <v>100.306</v>
      </c>
      <c r="C53">
        <v>1.8</v>
      </c>
      <c r="E53">
        <f t="shared" si="0"/>
        <v>55796299.999999993</v>
      </c>
      <c r="F53">
        <f t="shared" si="1"/>
        <v>373.45599999999996</v>
      </c>
      <c r="G53">
        <f t="shared" si="2"/>
        <v>555.55555555555554</v>
      </c>
    </row>
    <row r="54" spans="1:7" x14ac:dyDescent="0.35">
      <c r="A54">
        <v>1107</v>
      </c>
      <c r="B54">
        <v>105.01</v>
      </c>
      <c r="C54">
        <v>1.8</v>
      </c>
      <c r="E54">
        <f t="shared" si="0"/>
        <v>62314875</v>
      </c>
      <c r="F54">
        <f t="shared" ref="F54:F114" si="3">B54+273.15</f>
        <v>378.15999999999997</v>
      </c>
      <c r="G54">
        <f t="shared" ref="G54:G114" si="4">1/C54*0.001*1000000</f>
        <v>555.55555555555554</v>
      </c>
    </row>
    <row r="55" spans="1:7" x14ac:dyDescent="0.35">
      <c r="A55">
        <v>1345</v>
      </c>
      <c r="B55">
        <v>115.01</v>
      </c>
      <c r="C55">
        <v>1.8</v>
      </c>
      <c r="E55">
        <f t="shared" si="0"/>
        <v>75712291.666666657</v>
      </c>
      <c r="F55">
        <f t="shared" si="3"/>
        <v>388.15999999999997</v>
      </c>
      <c r="G55">
        <f t="shared" si="4"/>
        <v>555.55555555555554</v>
      </c>
    </row>
    <row r="56" spans="1:7" x14ac:dyDescent="0.35">
      <c r="A56">
        <v>1636</v>
      </c>
      <c r="B56">
        <v>129.86199999999999</v>
      </c>
      <c r="C56">
        <v>1.8</v>
      </c>
      <c r="E56">
        <f t="shared" si="0"/>
        <v>92093166.666666672</v>
      </c>
      <c r="F56">
        <f t="shared" si="3"/>
        <v>403.01199999999994</v>
      </c>
      <c r="G56">
        <f t="shared" si="4"/>
        <v>555.55555555555554</v>
      </c>
    </row>
    <row r="57" spans="1:7" x14ac:dyDescent="0.35">
      <c r="A57">
        <v>1818</v>
      </c>
      <c r="B57">
        <v>139.51</v>
      </c>
      <c r="C57">
        <v>1.8</v>
      </c>
      <c r="E57">
        <f t="shared" si="0"/>
        <v>102338250</v>
      </c>
      <c r="F57">
        <f t="shared" si="3"/>
        <v>412.65999999999997</v>
      </c>
      <c r="G57">
        <f t="shared" si="4"/>
        <v>555.55555555555554</v>
      </c>
    </row>
    <row r="58" spans="1:7" x14ac:dyDescent="0.35">
      <c r="A58">
        <v>64.5</v>
      </c>
      <c r="B58">
        <v>64.88</v>
      </c>
      <c r="C58">
        <v>1.85</v>
      </c>
      <c r="E58">
        <f t="shared" si="0"/>
        <v>3532682.4324324322</v>
      </c>
      <c r="F58">
        <f t="shared" si="3"/>
        <v>338.03</v>
      </c>
      <c r="G58">
        <f t="shared" si="4"/>
        <v>540.54054054054041</v>
      </c>
    </row>
    <row r="59" spans="1:7" x14ac:dyDescent="0.35">
      <c r="A59">
        <v>285.8</v>
      </c>
      <c r="B59">
        <v>75.064999999999998</v>
      </c>
      <c r="C59">
        <v>1.85</v>
      </c>
      <c r="E59">
        <f t="shared" si="0"/>
        <v>15653343.243243244</v>
      </c>
      <c r="F59">
        <f t="shared" si="3"/>
        <v>348.21499999999997</v>
      </c>
      <c r="G59">
        <f t="shared" si="4"/>
        <v>540.54054054054041</v>
      </c>
    </row>
    <row r="60" spans="1:7" x14ac:dyDescent="0.35">
      <c r="A60">
        <v>482.8</v>
      </c>
      <c r="B60">
        <v>85.21</v>
      </c>
      <c r="C60">
        <v>1.85</v>
      </c>
      <c r="E60">
        <f t="shared" si="0"/>
        <v>26443086.486486487</v>
      </c>
      <c r="F60">
        <f t="shared" si="3"/>
        <v>358.35999999999996</v>
      </c>
      <c r="G60">
        <f t="shared" si="4"/>
        <v>540.54054054054041</v>
      </c>
    </row>
    <row r="61" spans="1:7" x14ac:dyDescent="0.35">
      <c r="A61">
        <v>709.9</v>
      </c>
      <c r="B61">
        <v>95.46</v>
      </c>
      <c r="C61">
        <v>1.85</v>
      </c>
      <c r="E61">
        <f t="shared" si="0"/>
        <v>38881414.864864863</v>
      </c>
      <c r="F61">
        <f t="shared" si="3"/>
        <v>368.60999999999996</v>
      </c>
      <c r="G61">
        <f t="shared" si="4"/>
        <v>540.54054054054041</v>
      </c>
    </row>
    <row r="62" spans="1:7" x14ac:dyDescent="0.35">
      <c r="A62">
        <v>791</v>
      </c>
      <c r="B62">
        <v>100.306</v>
      </c>
      <c r="C62">
        <v>1.85</v>
      </c>
      <c r="E62">
        <f t="shared" si="0"/>
        <v>43323283.783783779</v>
      </c>
      <c r="F62">
        <f t="shared" si="3"/>
        <v>373.45599999999996</v>
      </c>
      <c r="G62">
        <f t="shared" si="4"/>
        <v>540.54054054054041</v>
      </c>
    </row>
    <row r="63" spans="1:7" x14ac:dyDescent="0.35">
      <c r="A63">
        <v>893.5</v>
      </c>
      <c r="B63">
        <v>105.01</v>
      </c>
      <c r="C63">
        <v>1.85</v>
      </c>
      <c r="E63">
        <f t="shared" si="0"/>
        <v>48937236.486486487</v>
      </c>
      <c r="F63">
        <f t="shared" si="3"/>
        <v>378.15999999999997</v>
      </c>
      <c r="G63">
        <f t="shared" si="4"/>
        <v>540.54054054054041</v>
      </c>
    </row>
    <row r="64" spans="1:7" x14ac:dyDescent="0.35">
      <c r="A64">
        <v>1122</v>
      </c>
      <c r="B64">
        <v>115.01</v>
      </c>
      <c r="C64">
        <v>1.85</v>
      </c>
      <c r="E64">
        <f t="shared" si="0"/>
        <v>61452243.24324324</v>
      </c>
      <c r="F64">
        <f t="shared" si="3"/>
        <v>388.15999999999997</v>
      </c>
      <c r="G64">
        <f t="shared" si="4"/>
        <v>540.54054054054041</v>
      </c>
    </row>
    <row r="65" spans="1:7" x14ac:dyDescent="0.35">
      <c r="A65">
        <v>1423</v>
      </c>
      <c r="B65">
        <v>129.86199999999999</v>
      </c>
      <c r="C65">
        <v>1.85</v>
      </c>
      <c r="E65">
        <f t="shared" si="0"/>
        <v>77938094.594594598</v>
      </c>
      <c r="F65">
        <f t="shared" si="3"/>
        <v>403.01199999999994</v>
      </c>
      <c r="G65">
        <f t="shared" si="4"/>
        <v>540.54054054054041</v>
      </c>
    </row>
    <row r="66" spans="1:7" x14ac:dyDescent="0.35">
      <c r="A66">
        <v>1609</v>
      </c>
      <c r="B66">
        <v>139.51</v>
      </c>
      <c r="C66">
        <v>1.85</v>
      </c>
      <c r="E66">
        <f t="shared" si="0"/>
        <v>88125364.864864856</v>
      </c>
      <c r="F66">
        <f t="shared" si="3"/>
        <v>412.65999999999997</v>
      </c>
      <c r="G66">
        <f t="shared" si="4"/>
        <v>540.54054054054041</v>
      </c>
    </row>
    <row r="67" spans="1:7" x14ac:dyDescent="0.35">
      <c r="A67">
        <v>148.5</v>
      </c>
      <c r="B67">
        <v>75.064999999999998</v>
      </c>
      <c r="C67">
        <v>1.9</v>
      </c>
      <c r="E67">
        <f t="shared" ref="E67:E130" si="5">A67/C67*101325</f>
        <v>7919348.6842105268</v>
      </c>
      <c r="F67">
        <f t="shared" si="3"/>
        <v>348.21499999999997</v>
      </c>
      <c r="G67">
        <f t="shared" si="4"/>
        <v>526.31578947368416</v>
      </c>
    </row>
    <row r="68" spans="1:7" x14ac:dyDescent="0.35">
      <c r="A68">
        <v>336.8</v>
      </c>
      <c r="B68">
        <v>85.21</v>
      </c>
      <c r="C68">
        <v>1.9</v>
      </c>
      <c r="E68">
        <f t="shared" si="5"/>
        <v>17961189.47368421</v>
      </c>
      <c r="F68">
        <f t="shared" si="3"/>
        <v>358.35999999999996</v>
      </c>
      <c r="G68">
        <f t="shared" si="4"/>
        <v>526.31578947368416</v>
      </c>
    </row>
    <row r="69" spans="1:7" x14ac:dyDescent="0.35">
      <c r="A69">
        <v>549</v>
      </c>
      <c r="B69">
        <v>95.46</v>
      </c>
      <c r="C69">
        <v>1.9</v>
      </c>
      <c r="E69">
        <f t="shared" si="5"/>
        <v>29277592.105263162</v>
      </c>
      <c r="F69">
        <f t="shared" si="3"/>
        <v>368.60999999999996</v>
      </c>
      <c r="G69">
        <f t="shared" si="4"/>
        <v>526.31578947368416</v>
      </c>
    </row>
    <row r="70" spans="1:7" x14ac:dyDescent="0.35">
      <c r="A70">
        <v>626</v>
      </c>
      <c r="B70">
        <v>100.306</v>
      </c>
      <c r="C70">
        <v>1.9</v>
      </c>
      <c r="E70">
        <f t="shared" si="5"/>
        <v>33383921.052631583</v>
      </c>
      <c r="F70">
        <f t="shared" si="3"/>
        <v>373.45599999999996</v>
      </c>
      <c r="G70">
        <f t="shared" si="4"/>
        <v>526.31578947368416</v>
      </c>
    </row>
    <row r="71" spans="1:7" x14ac:dyDescent="0.35">
      <c r="A71">
        <v>724</v>
      </c>
      <c r="B71">
        <v>105.01</v>
      </c>
      <c r="C71">
        <v>1.9</v>
      </c>
      <c r="E71">
        <f t="shared" si="5"/>
        <v>38610157.894736849</v>
      </c>
      <c r="F71">
        <f t="shared" si="3"/>
        <v>378.15999999999997</v>
      </c>
      <c r="G71">
        <f t="shared" si="4"/>
        <v>526.31578947368416</v>
      </c>
    </row>
    <row r="72" spans="1:7" x14ac:dyDescent="0.35">
      <c r="A72">
        <v>938</v>
      </c>
      <c r="B72">
        <v>115.01</v>
      </c>
      <c r="C72">
        <v>1.9</v>
      </c>
      <c r="E72">
        <f t="shared" si="5"/>
        <v>50022552.631578952</v>
      </c>
      <c r="F72">
        <f t="shared" si="3"/>
        <v>388.15999999999997</v>
      </c>
      <c r="G72">
        <f t="shared" si="4"/>
        <v>526.31578947368416</v>
      </c>
    </row>
    <row r="73" spans="1:7" x14ac:dyDescent="0.35">
      <c r="A73">
        <v>1227</v>
      </c>
      <c r="B73">
        <v>129.86199999999999</v>
      </c>
      <c r="C73">
        <v>1.9</v>
      </c>
      <c r="E73">
        <f t="shared" si="5"/>
        <v>65434618.421052627</v>
      </c>
      <c r="F73">
        <f t="shared" si="3"/>
        <v>403.01199999999994</v>
      </c>
      <c r="G73">
        <f t="shared" si="4"/>
        <v>526.31578947368416</v>
      </c>
    </row>
    <row r="74" spans="1:7" x14ac:dyDescent="0.35">
      <c r="A74">
        <v>1417</v>
      </c>
      <c r="B74">
        <v>139.51</v>
      </c>
      <c r="C74">
        <v>1.9</v>
      </c>
      <c r="E74">
        <f t="shared" si="5"/>
        <v>75567118.421052635</v>
      </c>
      <c r="F74">
        <f t="shared" si="3"/>
        <v>412.65999999999997</v>
      </c>
      <c r="G74">
        <f t="shared" si="4"/>
        <v>526.31578947368416</v>
      </c>
    </row>
    <row r="75" spans="1:7" x14ac:dyDescent="0.35">
      <c r="A75">
        <v>1792</v>
      </c>
      <c r="B75">
        <v>160.286</v>
      </c>
      <c r="C75">
        <v>1.9</v>
      </c>
      <c r="E75">
        <f t="shared" si="5"/>
        <v>95565473.684210539</v>
      </c>
      <c r="F75">
        <f t="shared" si="3"/>
        <v>433.43599999999998</v>
      </c>
      <c r="G75">
        <f t="shared" si="4"/>
        <v>526.31578947368416</v>
      </c>
    </row>
    <row r="76" spans="1:7" x14ac:dyDescent="0.35">
      <c r="A76">
        <v>2143</v>
      </c>
      <c r="B76">
        <v>180.709</v>
      </c>
      <c r="C76">
        <v>1.9</v>
      </c>
      <c r="E76">
        <f t="shared" si="5"/>
        <v>114283934.2105263</v>
      </c>
      <c r="F76">
        <f t="shared" si="3"/>
        <v>453.85899999999998</v>
      </c>
      <c r="G76">
        <f t="shared" si="4"/>
        <v>526.31578947368416</v>
      </c>
    </row>
    <row r="77" spans="1:7" x14ac:dyDescent="0.35">
      <c r="A77">
        <v>222</v>
      </c>
      <c r="B77">
        <v>85.21</v>
      </c>
      <c r="C77">
        <v>1.95</v>
      </c>
      <c r="E77">
        <f t="shared" si="5"/>
        <v>11535461.53846154</v>
      </c>
      <c r="F77">
        <f t="shared" si="3"/>
        <v>358.35999999999996</v>
      </c>
      <c r="G77">
        <f t="shared" si="4"/>
        <v>512.82051282051293</v>
      </c>
    </row>
    <row r="78" spans="1:7" x14ac:dyDescent="0.35">
      <c r="A78">
        <v>418</v>
      </c>
      <c r="B78">
        <v>95.46</v>
      </c>
      <c r="C78">
        <v>1.95</v>
      </c>
      <c r="E78">
        <f t="shared" si="5"/>
        <v>21719923.076923076</v>
      </c>
      <c r="F78">
        <f t="shared" si="3"/>
        <v>368.60999999999996</v>
      </c>
      <c r="G78">
        <f t="shared" si="4"/>
        <v>512.82051282051293</v>
      </c>
    </row>
    <row r="79" spans="1:7" x14ac:dyDescent="0.35">
      <c r="A79">
        <v>492.2</v>
      </c>
      <c r="B79">
        <v>100.306</v>
      </c>
      <c r="C79">
        <v>1.95</v>
      </c>
      <c r="E79">
        <f t="shared" si="5"/>
        <v>25575469.230769232</v>
      </c>
      <c r="F79">
        <f t="shared" si="3"/>
        <v>373.45599999999996</v>
      </c>
      <c r="G79">
        <f t="shared" si="4"/>
        <v>512.82051282051293</v>
      </c>
    </row>
    <row r="80" spans="1:7" x14ac:dyDescent="0.35">
      <c r="A80">
        <v>583</v>
      </c>
      <c r="B80">
        <v>105.01</v>
      </c>
      <c r="C80">
        <v>1.95</v>
      </c>
      <c r="E80">
        <f t="shared" si="5"/>
        <v>30293576.923076928</v>
      </c>
      <c r="F80">
        <f t="shared" si="3"/>
        <v>378.15999999999997</v>
      </c>
      <c r="G80">
        <f t="shared" si="4"/>
        <v>512.82051282051293</v>
      </c>
    </row>
    <row r="81" spans="1:7" x14ac:dyDescent="0.35">
      <c r="A81">
        <v>788</v>
      </c>
      <c r="B81">
        <v>115.01</v>
      </c>
      <c r="C81">
        <v>1.95</v>
      </c>
      <c r="E81">
        <f t="shared" si="5"/>
        <v>40945692.307692304</v>
      </c>
      <c r="F81">
        <f t="shared" si="3"/>
        <v>388.15999999999997</v>
      </c>
      <c r="G81">
        <f t="shared" si="4"/>
        <v>512.82051282051293</v>
      </c>
    </row>
    <row r="82" spans="1:7" x14ac:dyDescent="0.35">
      <c r="A82">
        <v>1060</v>
      </c>
      <c r="B82">
        <v>129.86199999999999</v>
      </c>
      <c r="C82">
        <v>1.95</v>
      </c>
      <c r="E82">
        <f t="shared" si="5"/>
        <v>55079230.769230776</v>
      </c>
      <c r="F82">
        <f t="shared" si="3"/>
        <v>403.01199999999994</v>
      </c>
      <c r="G82">
        <f t="shared" si="4"/>
        <v>512.82051282051293</v>
      </c>
    </row>
    <row r="83" spans="1:7" x14ac:dyDescent="0.35">
      <c r="A83">
        <v>1250</v>
      </c>
      <c r="B83">
        <v>139.51</v>
      </c>
      <c r="C83">
        <v>1.95</v>
      </c>
      <c r="E83">
        <f t="shared" si="5"/>
        <v>64951923.076923072</v>
      </c>
      <c r="F83">
        <f t="shared" si="3"/>
        <v>412.65999999999997</v>
      </c>
      <c r="G83">
        <f t="shared" si="4"/>
        <v>512.82051282051293</v>
      </c>
    </row>
    <row r="84" spans="1:7" x14ac:dyDescent="0.35">
      <c r="A84">
        <v>1619</v>
      </c>
      <c r="B84">
        <v>160.286</v>
      </c>
      <c r="C84">
        <v>1.95</v>
      </c>
      <c r="E84">
        <f t="shared" si="5"/>
        <v>84125730.769230768</v>
      </c>
      <c r="F84">
        <f t="shared" si="3"/>
        <v>433.43599999999998</v>
      </c>
      <c r="G84">
        <f t="shared" si="4"/>
        <v>512.82051282051293</v>
      </c>
    </row>
    <row r="85" spans="1:7" x14ac:dyDescent="0.35">
      <c r="A85">
        <v>1975</v>
      </c>
      <c r="B85">
        <v>180.709</v>
      </c>
      <c r="C85">
        <v>1.95</v>
      </c>
      <c r="E85">
        <f t="shared" si="5"/>
        <v>102624038.46153846</v>
      </c>
      <c r="F85">
        <f t="shared" si="3"/>
        <v>453.85899999999998</v>
      </c>
      <c r="G85">
        <f t="shared" si="4"/>
        <v>512.82051282051293</v>
      </c>
    </row>
    <row r="86" spans="1:7" x14ac:dyDescent="0.35">
      <c r="A86">
        <v>2294</v>
      </c>
      <c r="B86">
        <v>200.71</v>
      </c>
      <c r="C86">
        <v>1.95</v>
      </c>
      <c r="E86">
        <f t="shared" si="5"/>
        <v>119199769.23076923</v>
      </c>
      <c r="F86">
        <f t="shared" si="3"/>
        <v>473.86</v>
      </c>
      <c r="G86">
        <f t="shared" si="4"/>
        <v>512.82051282051293</v>
      </c>
    </row>
    <row r="87" spans="1:7" x14ac:dyDescent="0.35">
      <c r="A87">
        <v>126.5</v>
      </c>
      <c r="B87">
        <v>85.21</v>
      </c>
      <c r="C87">
        <v>2</v>
      </c>
      <c r="E87">
        <f t="shared" si="5"/>
        <v>6408806.25</v>
      </c>
      <c r="F87">
        <f t="shared" si="3"/>
        <v>358.35999999999996</v>
      </c>
      <c r="G87">
        <f t="shared" si="4"/>
        <v>500</v>
      </c>
    </row>
    <row r="88" spans="1:7" x14ac:dyDescent="0.35">
      <c r="A88">
        <v>309</v>
      </c>
      <c r="B88">
        <v>95.46</v>
      </c>
      <c r="C88">
        <v>2</v>
      </c>
      <c r="E88">
        <f t="shared" si="5"/>
        <v>15654712.5</v>
      </c>
      <c r="F88">
        <f t="shared" si="3"/>
        <v>368.60999999999996</v>
      </c>
      <c r="G88">
        <f t="shared" si="4"/>
        <v>500</v>
      </c>
    </row>
    <row r="89" spans="1:7" x14ac:dyDescent="0.35">
      <c r="A89">
        <v>384</v>
      </c>
      <c r="B89">
        <v>100.306</v>
      </c>
      <c r="C89">
        <v>2</v>
      </c>
      <c r="E89">
        <f t="shared" si="5"/>
        <v>19454400</v>
      </c>
      <c r="F89">
        <f t="shared" si="3"/>
        <v>373.45599999999996</v>
      </c>
      <c r="G89">
        <f t="shared" si="4"/>
        <v>500</v>
      </c>
    </row>
    <row r="90" spans="1:7" x14ac:dyDescent="0.35">
      <c r="A90">
        <v>472</v>
      </c>
      <c r="B90">
        <v>105.01</v>
      </c>
      <c r="C90">
        <v>2</v>
      </c>
      <c r="E90">
        <f t="shared" si="5"/>
        <v>23912700</v>
      </c>
      <c r="F90">
        <f t="shared" si="3"/>
        <v>378.15999999999997</v>
      </c>
      <c r="G90">
        <f t="shared" si="4"/>
        <v>500</v>
      </c>
    </row>
    <row r="91" spans="1:7" x14ac:dyDescent="0.35">
      <c r="A91">
        <v>661.2</v>
      </c>
      <c r="B91">
        <v>115.01</v>
      </c>
      <c r="C91">
        <v>2</v>
      </c>
      <c r="E91">
        <f t="shared" si="5"/>
        <v>33498045.000000004</v>
      </c>
      <c r="F91">
        <f t="shared" si="3"/>
        <v>388.15999999999997</v>
      </c>
      <c r="G91">
        <f t="shared" si="4"/>
        <v>500</v>
      </c>
    </row>
    <row r="92" spans="1:7" x14ac:dyDescent="0.35">
      <c r="A92">
        <v>918.2</v>
      </c>
      <c r="B92">
        <v>129.86199999999999</v>
      </c>
      <c r="C92">
        <v>2</v>
      </c>
      <c r="E92">
        <f t="shared" si="5"/>
        <v>46518307.5</v>
      </c>
      <c r="F92">
        <f t="shared" si="3"/>
        <v>403.01199999999994</v>
      </c>
      <c r="G92">
        <f t="shared" si="4"/>
        <v>500</v>
      </c>
    </row>
    <row r="93" spans="1:7" x14ac:dyDescent="0.35">
      <c r="A93">
        <v>1106</v>
      </c>
      <c r="B93">
        <v>139.51</v>
      </c>
      <c r="C93">
        <v>2</v>
      </c>
      <c r="E93">
        <f t="shared" si="5"/>
        <v>56032725</v>
      </c>
      <c r="F93">
        <f t="shared" si="3"/>
        <v>412.65999999999997</v>
      </c>
      <c r="G93">
        <f t="shared" si="4"/>
        <v>500</v>
      </c>
    </row>
    <row r="94" spans="1:7" x14ac:dyDescent="0.35">
      <c r="A94">
        <v>1466</v>
      </c>
      <c r="B94">
        <v>160.286</v>
      </c>
      <c r="C94">
        <v>2</v>
      </c>
      <c r="E94">
        <f t="shared" si="5"/>
        <v>74271225</v>
      </c>
      <c r="F94">
        <f t="shared" si="3"/>
        <v>433.43599999999998</v>
      </c>
      <c r="G94">
        <f t="shared" si="4"/>
        <v>500</v>
      </c>
    </row>
    <row r="95" spans="1:7" x14ac:dyDescent="0.35">
      <c r="A95">
        <v>1819</v>
      </c>
      <c r="B95">
        <v>180.709</v>
      </c>
      <c r="C95">
        <v>2</v>
      </c>
      <c r="E95">
        <f t="shared" si="5"/>
        <v>92155087.5</v>
      </c>
      <c r="F95">
        <f t="shared" si="3"/>
        <v>453.85899999999998</v>
      </c>
      <c r="G95">
        <f t="shared" si="4"/>
        <v>500</v>
      </c>
    </row>
    <row r="96" spans="1:7" x14ac:dyDescent="0.35">
      <c r="A96">
        <v>2140</v>
      </c>
      <c r="B96">
        <v>200.71</v>
      </c>
      <c r="C96">
        <v>2</v>
      </c>
      <c r="E96">
        <f t="shared" si="5"/>
        <v>108417750</v>
      </c>
      <c r="F96">
        <f t="shared" si="3"/>
        <v>473.86</v>
      </c>
      <c r="G96">
        <f t="shared" si="4"/>
        <v>500</v>
      </c>
    </row>
    <row r="97" spans="1:7" x14ac:dyDescent="0.35">
      <c r="A97">
        <v>219</v>
      </c>
      <c r="B97">
        <v>95.46</v>
      </c>
      <c r="C97">
        <v>2.0499999999999998</v>
      </c>
      <c r="E97">
        <f t="shared" si="5"/>
        <v>10824475.609756099</v>
      </c>
      <c r="F97">
        <f t="shared" si="3"/>
        <v>368.60999999999996</v>
      </c>
      <c r="G97">
        <f t="shared" si="4"/>
        <v>487.80487804878055</v>
      </c>
    </row>
    <row r="98" spans="1:7" x14ac:dyDescent="0.35">
      <c r="A98">
        <v>297</v>
      </c>
      <c r="B98">
        <v>100.306</v>
      </c>
      <c r="C98">
        <v>2.0499999999999998</v>
      </c>
      <c r="E98">
        <f t="shared" si="5"/>
        <v>14679768.292682929</v>
      </c>
      <c r="F98">
        <f t="shared" si="3"/>
        <v>373.45599999999996</v>
      </c>
      <c r="G98">
        <f t="shared" si="4"/>
        <v>487.80487804878055</v>
      </c>
    </row>
    <row r="99" spans="1:7" x14ac:dyDescent="0.35">
      <c r="A99">
        <v>382</v>
      </c>
      <c r="B99">
        <v>105.01</v>
      </c>
      <c r="C99">
        <v>2.0499999999999998</v>
      </c>
      <c r="E99">
        <f t="shared" si="5"/>
        <v>18881048.780487806</v>
      </c>
      <c r="F99">
        <f t="shared" si="3"/>
        <v>378.15999999999997</v>
      </c>
      <c r="G99">
        <f t="shared" si="4"/>
        <v>487.80487804878055</v>
      </c>
    </row>
    <row r="100" spans="1:7" x14ac:dyDescent="0.35">
      <c r="A100">
        <v>557.70000000000005</v>
      </c>
      <c r="B100">
        <v>115.01</v>
      </c>
      <c r="C100">
        <v>2.0499999999999998</v>
      </c>
      <c r="E100">
        <f t="shared" si="5"/>
        <v>27565342.682926837</v>
      </c>
      <c r="F100">
        <f t="shared" si="3"/>
        <v>388.15999999999997</v>
      </c>
      <c r="G100">
        <f t="shared" si="4"/>
        <v>487.80487804878055</v>
      </c>
    </row>
    <row r="101" spans="1:7" x14ac:dyDescent="0.35">
      <c r="A101">
        <v>802.5</v>
      </c>
      <c r="B101">
        <v>129.86199999999999</v>
      </c>
      <c r="C101">
        <v>2.0499999999999998</v>
      </c>
      <c r="E101">
        <f t="shared" si="5"/>
        <v>39665030.487804882</v>
      </c>
      <c r="F101">
        <f t="shared" si="3"/>
        <v>403.01199999999994</v>
      </c>
      <c r="G101">
        <f t="shared" si="4"/>
        <v>487.80487804878055</v>
      </c>
    </row>
    <row r="102" spans="1:7" x14ac:dyDescent="0.35">
      <c r="A102">
        <v>985</v>
      </c>
      <c r="B102">
        <v>139.51</v>
      </c>
      <c r="C102">
        <v>2.0499999999999998</v>
      </c>
      <c r="E102">
        <f t="shared" si="5"/>
        <v>48685426.829268299</v>
      </c>
      <c r="F102">
        <f t="shared" si="3"/>
        <v>412.65999999999997</v>
      </c>
      <c r="G102">
        <f t="shared" si="4"/>
        <v>487.80487804878055</v>
      </c>
    </row>
    <row r="103" spans="1:7" x14ac:dyDescent="0.35">
      <c r="A103">
        <v>1338</v>
      </c>
      <c r="B103">
        <v>160.286</v>
      </c>
      <c r="C103">
        <v>2.0499999999999998</v>
      </c>
      <c r="E103">
        <f t="shared" si="5"/>
        <v>66133097.560975619</v>
      </c>
      <c r="F103">
        <f t="shared" si="3"/>
        <v>433.43599999999998</v>
      </c>
      <c r="G103">
        <f t="shared" si="4"/>
        <v>487.80487804878055</v>
      </c>
    </row>
    <row r="104" spans="1:7" x14ac:dyDescent="0.35">
      <c r="A104">
        <v>1682</v>
      </c>
      <c r="B104">
        <v>180.709</v>
      </c>
      <c r="C104">
        <v>2.0499999999999998</v>
      </c>
      <c r="E104">
        <f t="shared" si="5"/>
        <v>83135926.829268306</v>
      </c>
      <c r="F104">
        <f t="shared" si="3"/>
        <v>453.85899999999998</v>
      </c>
      <c r="G104">
        <f t="shared" si="4"/>
        <v>487.80487804878055</v>
      </c>
    </row>
    <row r="105" spans="1:7" x14ac:dyDescent="0.35">
      <c r="A105">
        <v>2002</v>
      </c>
      <c r="B105">
        <v>200.70099999999999</v>
      </c>
      <c r="C105">
        <v>2.0499999999999998</v>
      </c>
      <c r="E105">
        <f t="shared" si="5"/>
        <v>98952512.195121959</v>
      </c>
      <c r="F105">
        <f t="shared" si="3"/>
        <v>473.851</v>
      </c>
      <c r="G105">
        <f t="shared" si="4"/>
        <v>487.80487804878055</v>
      </c>
    </row>
    <row r="106" spans="1:7" x14ac:dyDescent="0.35">
      <c r="A106">
        <v>144.5</v>
      </c>
      <c r="B106">
        <v>95.46</v>
      </c>
      <c r="C106">
        <v>2.1</v>
      </c>
      <c r="E106">
        <f t="shared" si="5"/>
        <v>6972125</v>
      </c>
      <c r="F106">
        <f t="shared" si="3"/>
        <v>368.60999999999996</v>
      </c>
      <c r="G106">
        <f t="shared" si="4"/>
        <v>476.1904761904762</v>
      </c>
    </row>
    <row r="107" spans="1:7" x14ac:dyDescent="0.35">
      <c r="A107">
        <v>224.5</v>
      </c>
      <c r="B107">
        <v>100.306</v>
      </c>
      <c r="C107">
        <v>2.1</v>
      </c>
      <c r="E107">
        <f t="shared" si="5"/>
        <v>10832125</v>
      </c>
      <c r="F107">
        <f t="shared" si="3"/>
        <v>373.45599999999996</v>
      </c>
      <c r="G107">
        <f t="shared" si="4"/>
        <v>476.1904761904762</v>
      </c>
    </row>
    <row r="108" spans="1:7" x14ac:dyDescent="0.35">
      <c r="A108">
        <v>310</v>
      </c>
      <c r="B108">
        <v>105.01</v>
      </c>
      <c r="C108">
        <v>2.1</v>
      </c>
      <c r="E108">
        <f t="shared" si="5"/>
        <v>14957500</v>
      </c>
      <c r="F108">
        <f t="shared" si="3"/>
        <v>378.15999999999997</v>
      </c>
      <c r="G108">
        <f t="shared" si="4"/>
        <v>476.1904761904762</v>
      </c>
    </row>
    <row r="109" spans="1:7" x14ac:dyDescent="0.35">
      <c r="A109">
        <v>474.4</v>
      </c>
      <c r="B109">
        <v>115.01</v>
      </c>
      <c r="C109">
        <v>2.1</v>
      </c>
      <c r="E109">
        <f t="shared" si="5"/>
        <v>22889800</v>
      </c>
      <c r="F109">
        <f t="shared" si="3"/>
        <v>388.15999999999997</v>
      </c>
      <c r="G109">
        <f t="shared" si="4"/>
        <v>476.1904761904762</v>
      </c>
    </row>
    <row r="110" spans="1:7" x14ac:dyDescent="0.35">
      <c r="A110">
        <v>708</v>
      </c>
      <c r="B110">
        <v>129.86199999999999</v>
      </c>
      <c r="C110">
        <v>2.1</v>
      </c>
      <c r="E110">
        <f t="shared" si="5"/>
        <v>34161000</v>
      </c>
      <c r="F110">
        <f t="shared" si="3"/>
        <v>403.01199999999994</v>
      </c>
      <c r="G110">
        <f t="shared" si="4"/>
        <v>476.1904761904762</v>
      </c>
    </row>
    <row r="111" spans="1:7" x14ac:dyDescent="0.35">
      <c r="A111">
        <v>884</v>
      </c>
      <c r="B111">
        <v>139.51</v>
      </c>
      <c r="C111">
        <v>2.1</v>
      </c>
      <c r="E111">
        <f t="shared" si="5"/>
        <v>42652999.999999993</v>
      </c>
      <c r="F111">
        <f t="shared" si="3"/>
        <v>412.65999999999997</v>
      </c>
      <c r="G111">
        <f t="shared" si="4"/>
        <v>476.1904761904762</v>
      </c>
    </row>
    <row r="112" spans="1:7" x14ac:dyDescent="0.35">
      <c r="A112">
        <v>1227</v>
      </c>
      <c r="B112">
        <v>160.286</v>
      </c>
      <c r="C112">
        <v>2.1</v>
      </c>
      <c r="E112">
        <f t="shared" si="5"/>
        <v>59202749.999999993</v>
      </c>
      <c r="F112">
        <f t="shared" si="3"/>
        <v>433.43599999999998</v>
      </c>
      <c r="G112">
        <f t="shared" si="4"/>
        <v>476.1904761904762</v>
      </c>
    </row>
    <row r="113" spans="1:7" x14ac:dyDescent="0.35">
      <c r="A113">
        <v>1566</v>
      </c>
      <c r="B113">
        <v>180.709</v>
      </c>
      <c r="C113">
        <v>2.1</v>
      </c>
      <c r="E113">
        <f t="shared" si="5"/>
        <v>75559500</v>
      </c>
      <c r="F113">
        <f t="shared" si="3"/>
        <v>453.85899999999998</v>
      </c>
      <c r="G113">
        <f t="shared" si="4"/>
        <v>476.1904761904762</v>
      </c>
    </row>
    <row r="114" spans="1:7" x14ac:dyDescent="0.35">
      <c r="A114">
        <v>1877</v>
      </c>
      <c r="B114">
        <v>200.70099999999999</v>
      </c>
      <c r="C114">
        <v>2.1</v>
      </c>
      <c r="E114">
        <f t="shared" si="5"/>
        <v>90565250</v>
      </c>
      <c r="F114">
        <f t="shared" si="3"/>
        <v>473.851</v>
      </c>
      <c r="G114">
        <f t="shared" si="4"/>
        <v>476.1904761904762</v>
      </c>
    </row>
    <row r="115" spans="1:7" x14ac:dyDescent="0.35">
      <c r="A115">
        <v>372</v>
      </c>
      <c r="B115">
        <v>129.86199999999999</v>
      </c>
      <c r="C115">
        <v>2.5</v>
      </c>
      <c r="E115">
        <f t="shared" si="5"/>
        <v>15077160.000000002</v>
      </c>
      <c r="F115">
        <f t="shared" ref="F115:F148" si="6">B115+273.15</f>
        <v>403.01199999999994</v>
      </c>
      <c r="G115">
        <f t="shared" ref="G115:G148" si="7">1/C115*0.001*1000000</f>
        <v>400</v>
      </c>
    </row>
    <row r="116" spans="1:7" x14ac:dyDescent="0.35">
      <c r="A116">
        <v>493</v>
      </c>
      <c r="B116">
        <v>139.51</v>
      </c>
      <c r="C116">
        <v>2.5</v>
      </c>
      <c r="E116">
        <f t="shared" si="5"/>
        <v>19981290</v>
      </c>
      <c r="F116">
        <f t="shared" si="6"/>
        <v>412.65999999999997</v>
      </c>
      <c r="G116">
        <f t="shared" si="7"/>
        <v>400</v>
      </c>
    </row>
    <row r="117" spans="1:7" x14ac:dyDescent="0.35">
      <c r="A117">
        <v>760.5</v>
      </c>
      <c r="B117">
        <v>160.286</v>
      </c>
      <c r="C117">
        <v>2.5</v>
      </c>
      <c r="E117">
        <f t="shared" si="5"/>
        <v>30823065</v>
      </c>
      <c r="F117">
        <f t="shared" si="6"/>
        <v>433.43599999999998</v>
      </c>
      <c r="G117">
        <f t="shared" si="7"/>
        <v>400</v>
      </c>
    </row>
    <row r="118" spans="1:7" x14ac:dyDescent="0.35">
      <c r="A118">
        <v>1032</v>
      </c>
      <c r="B118">
        <v>180.709</v>
      </c>
      <c r="C118">
        <v>2.5</v>
      </c>
      <c r="E118">
        <f t="shared" si="5"/>
        <v>41826960</v>
      </c>
      <c r="F118">
        <f t="shared" si="6"/>
        <v>453.85899999999998</v>
      </c>
      <c r="G118">
        <f t="shared" si="7"/>
        <v>400</v>
      </c>
    </row>
    <row r="119" spans="1:7" x14ac:dyDescent="0.35">
      <c r="A119">
        <v>1302</v>
      </c>
      <c r="B119">
        <v>200.70099999999999</v>
      </c>
      <c r="C119">
        <v>2.5</v>
      </c>
      <c r="E119">
        <f t="shared" si="5"/>
        <v>52770059.999999993</v>
      </c>
      <c r="F119">
        <f t="shared" si="6"/>
        <v>473.851</v>
      </c>
      <c r="G119">
        <f t="shared" si="7"/>
        <v>400</v>
      </c>
    </row>
    <row r="120" spans="1:7" x14ac:dyDescent="0.35">
      <c r="A120">
        <v>326</v>
      </c>
      <c r="B120">
        <v>129.86199999999999</v>
      </c>
      <c r="C120">
        <v>3</v>
      </c>
      <c r="E120">
        <f t="shared" si="5"/>
        <v>11010650</v>
      </c>
      <c r="F120">
        <f t="shared" si="6"/>
        <v>403.01199999999994</v>
      </c>
      <c r="G120">
        <f t="shared" si="7"/>
        <v>333.33333333333331</v>
      </c>
    </row>
    <row r="121" spans="1:7" x14ac:dyDescent="0.35">
      <c r="A121">
        <v>428.3</v>
      </c>
      <c r="B121">
        <v>139.51</v>
      </c>
      <c r="C121">
        <v>3</v>
      </c>
      <c r="E121">
        <f t="shared" si="5"/>
        <v>14465832.500000002</v>
      </c>
      <c r="F121">
        <f t="shared" si="6"/>
        <v>412.65999999999997</v>
      </c>
      <c r="G121">
        <f t="shared" si="7"/>
        <v>333.33333333333331</v>
      </c>
    </row>
    <row r="122" spans="1:7" x14ac:dyDescent="0.35">
      <c r="A122">
        <v>646.79999999999995</v>
      </c>
      <c r="B122">
        <v>160.286</v>
      </c>
      <c r="C122">
        <v>3</v>
      </c>
      <c r="E122">
        <f t="shared" si="5"/>
        <v>21845670</v>
      </c>
      <c r="F122">
        <f t="shared" si="6"/>
        <v>433.43599999999998</v>
      </c>
      <c r="G122">
        <f t="shared" si="7"/>
        <v>333.33333333333331</v>
      </c>
    </row>
    <row r="123" spans="1:7" x14ac:dyDescent="0.35">
      <c r="A123">
        <v>870.2</v>
      </c>
      <c r="B123">
        <v>180.709</v>
      </c>
      <c r="C123">
        <v>3</v>
      </c>
      <c r="E123">
        <f t="shared" si="5"/>
        <v>29391005</v>
      </c>
      <c r="F123">
        <f t="shared" si="6"/>
        <v>453.85899999999998</v>
      </c>
      <c r="G123">
        <f t="shared" si="7"/>
        <v>333.33333333333331</v>
      </c>
    </row>
    <row r="124" spans="1:7" x14ac:dyDescent="0.35">
      <c r="A124">
        <v>1095</v>
      </c>
      <c r="B124">
        <v>200.70099999999999</v>
      </c>
      <c r="C124">
        <v>3</v>
      </c>
      <c r="E124">
        <f t="shared" si="5"/>
        <v>36983625</v>
      </c>
      <c r="F124">
        <f t="shared" si="6"/>
        <v>473.851</v>
      </c>
      <c r="G124">
        <f t="shared" si="7"/>
        <v>333.33333333333331</v>
      </c>
    </row>
    <row r="125" spans="1:7" x14ac:dyDescent="0.35">
      <c r="A125">
        <v>453.2</v>
      </c>
      <c r="B125">
        <v>139.51</v>
      </c>
      <c r="C125">
        <v>3.5</v>
      </c>
      <c r="E125">
        <f t="shared" si="5"/>
        <v>13120140</v>
      </c>
      <c r="F125">
        <f t="shared" si="6"/>
        <v>412.65999999999997</v>
      </c>
      <c r="G125">
        <f t="shared" si="7"/>
        <v>285.71428571428567</v>
      </c>
    </row>
    <row r="126" spans="1:7" x14ac:dyDescent="0.35">
      <c r="A126">
        <v>650</v>
      </c>
      <c r="B126">
        <v>160.286</v>
      </c>
      <c r="C126">
        <v>3.5</v>
      </c>
      <c r="E126">
        <f t="shared" si="5"/>
        <v>18817500</v>
      </c>
      <c r="F126">
        <f t="shared" si="6"/>
        <v>433.43599999999998</v>
      </c>
      <c r="G126">
        <f t="shared" si="7"/>
        <v>285.71428571428567</v>
      </c>
    </row>
    <row r="127" spans="1:7" x14ac:dyDescent="0.35">
      <c r="A127">
        <v>851.5</v>
      </c>
      <c r="B127">
        <v>180.709</v>
      </c>
      <c r="C127">
        <v>3.5</v>
      </c>
      <c r="E127">
        <f t="shared" si="5"/>
        <v>24650925</v>
      </c>
      <c r="F127">
        <f t="shared" si="6"/>
        <v>453.85899999999998</v>
      </c>
      <c r="G127">
        <f t="shared" si="7"/>
        <v>285.71428571428567</v>
      </c>
    </row>
    <row r="128" spans="1:7" x14ac:dyDescent="0.35">
      <c r="A128">
        <v>1055</v>
      </c>
      <c r="B128">
        <v>200.70099999999999</v>
      </c>
      <c r="C128">
        <v>3.5</v>
      </c>
      <c r="E128">
        <f t="shared" si="5"/>
        <v>30542250</v>
      </c>
      <c r="F128">
        <f t="shared" si="6"/>
        <v>473.851</v>
      </c>
      <c r="G128">
        <f t="shared" si="7"/>
        <v>285.71428571428567</v>
      </c>
    </row>
    <row r="129" spans="1:7" x14ac:dyDescent="0.35">
      <c r="A129">
        <v>508.8</v>
      </c>
      <c r="B129">
        <v>139.51</v>
      </c>
      <c r="C129">
        <v>4</v>
      </c>
      <c r="E129">
        <f t="shared" si="5"/>
        <v>12888540</v>
      </c>
      <c r="F129">
        <f t="shared" si="6"/>
        <v>412.65999999999997</v>
      </c>
      <c r="G129">
        <f t="shared" si="7"/>
        <v>250</v>
      </c>
    </row>
    <row r="130" spans="1:7" x14ac:dyDescent="0.35">
      <c r="A130">
        <v>697.5</v>
      </c>
      <c r="B130">
        <v>160.286</v>
      </c>
      <c r="C130">
        <v>4</v>
      </c>
      <c r="E130">
        <f t="shared" si="5"/>
        <v>17668546.875</v>
      </c>
      <c r="F130">
        <f t="shared" si="6"/>
        <v>433.43599999999998</v>
      </c>
      <c r="G130">
        <f t="shared" si="7"/>
        <v>250</v>
      </c>
    </row>
    <row r="131" spans="1:7" x14ac:dyDescent="0.35">
      <c r="A131">
        <v>885</v>
      </c>
      <c r="B131">
        <v>180.709</v>
      </c>
      <c r="C131">
        <v>4</v>
      </c>
      <c r="E131">
        <f t="shared" ref="E131:E148" si="8">A131/C131*101325</f>
        <v>22418156.25</v>
      </c>
      <c r="F131">
        <f t="shared" si="6"/>
        <v>453.85899999999998</v>
      </c>
      <c r="G131">
        <f t="shared" si="7"/>
        <v>250</v>
      </c>
    </row>
    <row r="132" spans="1:7" x14ac:dyDescent="0.35">
      <c r="A132">
        <v>1074</v>
      </c>
      <c r="B132">
        <v>200.70099999999999</v>
      </c>
      <c r="C132">
        <v>4</v>
      </c>
      <c r="E132">
        <f t="shared" si="8"/>
        <v>27205762.5</v>
      </c>
      <c r="F132">
        <f t="shared" si="6"/>
        <v>473.851</v>
      </c>
      <c r="G132">
        <f t="shared" si="7"/>
        <v>250</v>
      </c>
    </row>
    <row r="133" spans="1:7" x14ac:dyDescent="0.35">
      <c r="A133">
        <v>564.20000000000005</v>
      </c>
      <c r="B133">
        <v>139.51</v>
      </c>
      <c r="C133">
        <v>4.5</v>
      </c>
      <c r="E133">
        <f t="shared" si="8"/>
        <v>12703903.333333336</v>
      </c>
      <c r="F133">
        <f t="shared" si="6"/>
        <v>412.65999999999997</v>
      </c>
      <c r="G133">
        <f t="shared" si="7"/>
        <v>222.2222222222222</v>
      </c>
    </row>
    <row r="134" spans="1:7" x14ac:dyDescent="0.35">
      <c r="A134">
        <v>748.5</v>
      </c>
      <c r="B134">
        <v>160.286</v>
      </c>
      <c r="C134">
        <v>4.5</v>
      </c>
      <c r="E134">
        <f t="shared" si="8"/>
        <v>16853725</v>
      </c>
      <c r="F134">
        <f t="shared" si="6"/>
        <v>433.43599999999998</v>
      </c>
      <c r="G134">
        <f t="shared" si="7"/>
        <v>222.2222222222222</v>
      </c>
    </row>
    <row r="135" spans="1:7" x14ac:dyDescent="0.35">
      <c r="A135">
        <v>932.2</v>
      </c>
      <c r="B135">
        <v>180.709</v>
      </c>
      <c r="C135">
        <v>4.5</v>
      </c>
      <c r="E135">
        <f t="shared" si="8"/>
        <v>20990036.666666668</v>
      </c>
      <c r="F135">
        <f t="shared" si="6"/>
        <v>453.85899999999998</v>
      </c>
      <c r="G135">
        <f t="shared" si="7"/>
        <v>222.2222222222222</v>
      </c>
    </row>
    <row r="136" spans="1:7" x14ac:dyDescent="0.35">
      <c r="A136">
        <v>1112</v>
      </c>
      <c r="B136">
        <v>200.70099999999999</v>
      </c>
      <c r="C136">
        <v>4.5</v>
      </c>
      <c r="E136">
        <f t="shared" si="8"/>
        <v>25038533.333333332</v>
      </c>
      <c r="F136">
        <f t="shared" si="6"/>
        <v>473.851</v>
      </c>
      <c r="G136">
        <f t="shared" si="7"/>
        <v>222.2222222222222</v>
      </c>
    </row>
    <row r="137" spans="1:7" x14ac:dyDescent="0.35">
      <c r="A137">
        <v>620</v>
      </c>
      <c r="B137">
        <v>139.51</v>
      </c>
      <c r="C137">
        <v>5</v>
      </c>
      <c r="E137">
        <f t="shared" si="8"/>
        <v>12564300</v>
      </c>
      <c r="F137">
        <f t="shared" si="6"/>
        <v>412.65999999999997</v>
      </c>
      <c r="G137">
        <f t="shared" si="7"/>
        <v>200</v>
      </c>
    </row>
    <row r="138" spans="1:7" x14ac:dyDescent="0.35">
      <c r="A138">
        <v>804</v>
      </c>
      <c r="B138">
        <v>160.286</v>
      </c>
      <c r="C138">
        <v>5</v>
      </c>
      <c r="E138">
        <f t="shared" si="8"/>
        <v>16293060.000000002</v>
      </c>
      <c r="F138">
        <f t="shared" si="6"/>
        <v>433.43599999999998</v>
      </c>
      <c r="G138">
        <f t="shared" si="7"/>
        <v>200</v>
      </c>
    </row>
    <row r="139" spans="1:7" x14ac:dyDescent="0.35">
      <c r="A139">
        <v>982</v>
      </c>
      <c r="B139">
        <v>180.709</v>
      </c>
      <c r="C139">
        <v>5</v>
      </c>
      <c r="E139">
        <f t="shared" si="8"/>
        <v>19900230</v>
      </c>
      <c r="F139">
        <f t="shared" si="6"/>
        <v>453.85899999999998</v>
      </c>
      <c r="G139">
        <f t="shared" si="7"/>
        <v>200</v>
      </c>
    </row>
    <row r="140" spans="1:7" x14ac:dyDescent="0.35">
      <c r="A140">
        <v>1158</v>
      </c>
      <c r="B140">
        <v>200.70099999999999</v>
      </c>
      <c r="C140">
        <v>5</v>
      </c>
      <c r="E140">
        <f t="shared" si="8"/>
        <v>23466870</v>
      </c>
      <c r="F140">
        <f t="shared" si="6"/>
        <v>473.851</v>
      </c>
      <c r="G140">
        <f t="shared" si="7"/>
        <v>200</v>
      </c>
    </row>
    <row r="141" spans="1:7" x14ac:dyDescent="0.35">
      <c r="A141">
        <v>676</v>
      </c>
      <c r="B141">
        <v>139.51</v>
      </c>
      <c r="C141">
        <v>5.5</v>
      </c>
      <c r="E141">
        <f t="shared" si="8"/>
        <v>12453763.636363637</v>
      </c>
      <c r="F141">
        <f t="shared" si="6"/>
        <v>412.65999999999997</v>
      </c>
      <c r="G141">
        <f t="shared" si="7"/>
        <v>181.81818181818184</v>
      </c>
    </row>
    <row r="142" spans="1:7" x14ac:dyDescent="0.35">
      <c r="A142">
        <v>860</v>
      </c>
      <c r="B142">
        <v>160.286</v>
      </c>
      <c r="C142">
        <v>5.5</v>
      </c>
      <c r="E142">
        <f t="shared" si="8"/>
        <v>15843545.454545455</v>
      </c>
      <c r="F142">
        <f t="shared" si="6"/>
        <v>433.43599999999998</v>
      </c>
      <c r="G142">
        <f t="shared" si="7"/>
        <v>181.81818181818184</v>
      </c>
    </row>
    <row r="143" spans="1:7" x14ac:dyDescent="0.35">
      <c r="A143">
        <v>1032</v>
      </c>
      <c r="B143">
        <v>180.709</v>
      </c>
      <c r="C143">
        <v>5.5</v>
      </c>
      <c r="E143">
        <f t="shared" si="8"/>
        <v>19012254.545454543</v>
      </c>
      <c r="F143">
        <f t="shared" si="6"/>
        <v>453.85899999999998</v>
      </c>
      <c r="G143">
        <f t="shared" si="7"/>
        <v>181.81818181818184</v>
      </c>
    </row>
    <row r="144" spans="1:7" x14ac:dyDescent="0.35">
      <c r="A144">
        <v>1206</v>
      </c>
      <c r="B144">
        <v>200.70099999999999</v>
      </c>
      <c r="C144">
        <v>5.5</v>
      </c>
      <c r="E144">
        <f t="shared" si="8"/>
        <v>22217809.09090909</v>
      </c>
      <c r="F144">
        <f t="shared" si="6"/>
        <v>473.851</v>
      </c>
      <c r="G144">
        <f t="shared" si="7"/>
        <v>181.81818181818184</v>
      </c>
    </row>
    <row r="145" spans="1:7" x14ac:dyDescent="0.35">
      <c r="A145">
        <v>731.8</v>
      </c>
      <c r="B145">
        <v>139.51</v>
      </c>
      <c r="C145">
        <v>6</v>
      </c>
      <c r="E145">
        <f t="shared" si="8"/>
        <v>12358272.499999998</v>
      </c>
      <c r="F145">
        <f t="shared" si="6"/>
        <v>412.65999999999997</v>
      </c>
      <c r="G145">
        <f t="shared" si="7"/>
        <v>166.66666666666666</v>
      </c>
    </row>
    <row r="146" spans="1:7" x14ac:dyDescent="0.35">
      <c r="A146">
        <v>913.2</v>
      </c>
      <c r="B146">
        <v>160.286</v>
      </c>
      <c r="C146">
        <v>6</v>
      </c>
      <c r="E146">
        <f t="shared" si="8"/>
        <v>15421665.000000002</v>
      </c>
      <c r="F146">
        <f t="shared" si="6"/>
        <v>433.43599999999998</v>
      </c>
      <c r="G146">
        <f t="shared" si="7"/>
        <v>166.66666666666666</v>
      </c>
    </row>
    <row r="147" spans="1:7" x14ac:dyDescent="0.35">
      <c r="A147">
        <v>1082</v>
      </c>
      <c r="B147">
        <v>180.709</v>
      </c>
      <c r="C147">
        <v>6</v>
      </c>
      <c r="E147">
        <f t="shared" si="8"/>
        <v>18272275</v>
      </c>
      <c r="F147">
        <f t="shared" si="6"/>
        <v>453.85899999999998</v>
      </c>
      <c r="G147">
        <f t="shared" si="7"/>
        <v>166.66666666666666</v>
      </c>
    </row>
    <row r="148" spans="1:7" x14ac:dyDescent="0.35">
      <c r="A148">
        <v>1254</v>
      </c>
      <c r="B148">
        <v>200.70099999999999</v>
      </c>
      <c r="C148">
        <v>6</v>
      </c>
      <c r="E148">
        <f t="shared" si="8"/>
        <v>21176925</v>
      </c>
      <c r="F148">
        <f t="shared" si="6"/>
        <v>473.851</v>
      </c>
      <c r="G148">
        <f t="shared" si="7"/>
        <v>166.66666666666666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4441D-37E1-4852-9D2C-B3B05980C9E4}">
  <dimension ref="A1:G203"/>
  <sheetViews>
    <sheetView topLeftCell="A141" workbookViewId="0">
      <selection activeCell="A164" sqref="A164"/>
    </sheetView>
  </sheetViews>
  <sheetFormatPr defaultRowHeight="14.5" x14ac:dyDescent="0.35"/>
  <sheetData>
    <row r="1" spans="1:7" x14ac:dyDescent="0.35">
      <c r="A1" t="s">
        <v>19</v>
      </c>
      <c r="B1" t="s">
        <v>8</v>
      </c>
      <c r="C1" t="s">
        <v>9</v>
      </c>
      <c r="E1" t="s">
        <v>0</v>
      </c>
      <c r="F1" t="s">
        <v>1</v>
      </c>
      <c r="G1" t="s">
        <v>2</v>
      </c>
    </row>
    <row r="2" spans="1:7" x14ac:dyDescent="0.35">
      <c r="A2">
        <v>17</v>
      </c>
      <c r="B2">
        <v>310</v>
      </c>
      <c r="C2">
        <v>601.08000000000004</v>
      </c>
      <c r="E2">
        <f t="shared" ref="E2:E65" si="0">A2*1000000</f>
        <v>17000000</v>
      </c>
      <c r="F2">
        <f>B2</f>
        <v>310</v>
      </c>
      <c r="G2">
        <f>C2</f>
        <v>601.08000000000004</v>
      </c>
    </row>
    <row r="3" spans="1:7" x14ac:dyDescent="0.35">
      <c r="A3">
        <v>16</v>
      </c>
      <c r="B3">
        <v>310</v>
      </c>
      <c r="C3">
        <v>600.16999999999996</v>
      </c>
      <c r="E3">
        <f t="shared" si="0"/>
        <v>16000000</v>
      </c>
      <c r="F3">
        <f t="shared" ref="F3:F66" si="1">B3</f>
        <v>310</v>
      </c>
      <c r="G3">
        <f t="shared" ref="G3:G66" si="2">C3</f>
        <v>600.16999999999996</v>
      </c>
    </row>
    <row r="4" spans="1:7" x14ac:dyDescent="0.35">
      <c r="A4">
        <v>15</v>
      </c>
      <c r="B4">
        <v>310</v>
      </c>
      <c r="C4">
        <v>599.22</v>
      </c>
      <c r="E4">
        <f t="shared" si="0"/>
        <v>15000000</v>
      </c>
      <c r="F4">
        <f t="shared" si="1"/>
        <v>310</v>
      </c>
      <c r="G4">
        <f t="shared" si="2"/>
        <v>599.22</v>
      </c>
    </row>
    <row r="5" spans="1:7" x14ac:dyDescent="0.35">
      <c r="A5">
        <v>14</v>
      </c>
      <c r="B5">
        <v>310</v>
      </c>
      <c r="C5">
        <v>598.28</v>
      </c>
      <c r="E5">
        <f t="shared" si="0"/>
        <v>14000000</v>
      </c>
      <c r="F5">
        <f t="shared" si="1"/>
        <v>310</v>
      </c>
      <c r="G5">
        <f t="shared" si="2"/>
        <v>598.28</v>
      </c>
    </row>
    <row r="6" spans="1:7" x14ac:dyDescent="0.35">
      <c r="A6">
        <v>13</v>
      </c>
      <c r="B6">
        <v>310</v>
      </c>
      <c r="C6">
        <v>597.29999999999995</v>
      </c>
      <c r="E6">
        <f t="shared" si="0"/>
        <v>13000000</v>
      </c>
      <c r="F6">
        <f t="shared" si="1"/>
        <v>310</v>
      </c>
      <c r="G6">
        <f t="shared" si="2"/>
        <v>597.29999999999995</v>
      </c>
    </row>
    <row r="7" spans="1:7" x14ac:dyDescent="0.35">
      <c r="A7">
        <v>12</v>
      </c>
      <c r="B7">
        <v>310</v>
      </c>
      <c r="C7">
        <v>596.33000000000004</v>
      </c>
      <c r="E7">
        <f t="shared" si="0"/>
        <v>12000000</v>
      </c>
      <c r="F7">
        <f t="shared" si="1"/>
        <v>310</v>
      </c>
      <c r="G7">
        <f t="shared" si="2"/>
        <v>596.33000000000004</v>
      </c>
    </row>
    <row r="8" spans="1:7" x14ac:dyDescent="0.35">
      <c r="A8">
        <v>11</v>
      </c>
      <c r="B8">
        <v>310</v>
      </c>
      <c r="C8">
        <v>595.34</v>
      </c>
      <c r="E8">
        <f t="shared" si="0"/>
        <v>11000000</v>
      </c>
      <c r="F8">
        <f t="shared" si="1"/>
        <v>310</v>
      </c>
      <c r="G8">
        <f t="shared" si="2"/>
        <v>595.34</v>
      </c>
    </row>
    <row r="9" spans="1:7" x14ac:dyDescent="0.35">
      <c r="A9">
        <v>10</v>
      </c>
      <c r="B9">
        <v>310</v>
      </c>
      <c r="C9">
        <v>594.29999999999995</v>
      </c>
      <c r="E9">
        <f t="shared" si="0"/>
        <v>10000000</v>
      </c>
      <c r="F9">
        <f t="shared" si="1"/>
        <v>310</v>
      </c>
      <c r="G9">
        <f t="shared" si="2"/>
        <v>594.29999999999995</v>
      </c>
    </row>
    <row r="10" spans="1:7" x14ac:dyDescent="0.35">
      <c r="A10">
        <v>9</v>
      </c>
      <c r="B10">
        <v>310</v>
      </c>
      <c r="C10">
        <v>593.37</v>
      </c>
      <c r="E10">
        <f t="shared" si="0"/>
        <v>9000000</v>
      </c>
      <c r="F10">
        <f t="shared" si="1"/>
        <v>310</v>
      </c>
      <c r="G10">
        <f t="shared" si="2"/>
        <v>593.37</v>
      </c>
    </row>
    <row r="11" spans="1:7" x14ac:dyDescent="0.35">
      <c r="A11">
        <v>8</v>
      </c>
      <c r="B11">
        <v>310</v>
      </c>
      <c r="C11">
        <v>592.39</v>
      </c>
      <c r="E11">
        <f t="shared" si="0"/>
        <v>8000000</v>
      </c>
      <c r="F11">
        <f t="shared" si="1"/>
        <v>310</v>
      </c>
      <c r="G11">
        <f t="shared" si="2"/>
        <v>592.39</v>
      </c>
    </row>
    <row r="12" spans="1:7" x14ac:dyDescent="0.35">
      <c r="A12">
        <v>7</v>
      </c>
      <c r="B12">
        <v>310</v>
      </c>
      <c r="C12">
        <v>591.32000000000005</v>
      </c>
      <c r="E12">
        <f t="shared" si="0"/>
        <v>7000000</v>
      </c>
      <c r="F12">
        <f t="shared" si="1"/>
        <v>310</v>
      </c>
      <c r="G12">
        <f t="shared" si="2"/>
        <v>591.32000000000005</v>
      </c>
    </row>
    <row r="13" spans="1:7" x14ac:dyDescent="0.35">
      <c r="A13">
        <v>6</v>
      </c>
      <c r="B13">
        <v>310</v>
      </c>
      <c r="C13">
        <v>590.19000000000005</v>
      </c>
      <c r="E13">
        <f t="shared" si="0"/>
        <v>6000000</v>
      </c>
      <c r="F13">
        <f t="shared" si="1"/>
        <v>310</v>
      </c>
      <c r="G13">
        <f t="shared" si="2"/>
        <v>590.19000000000005</v>
      </c>
    </row>
    <row r="14" spans="1:7" x14ac:dyDescent="0.35">
      <c r="A14">
        <v>5</v>
      </c>
      <c r="B14">
        <v>310</v>
      </c>
      <c r="C14">
        <v>589.09</v>
      </c>
      <c r="E14">
        <f t="shared" si="0"/>
        <v>5000000</v>
      </c>
      <c r="F14">
        <f t="shared" si="1"/>
        <v>310</v>
      </c>
      <c r="G14">
        <f t="shared" si="2"/>
        <v>589.09</v>
      </c>
    </row>
    <row r="15" spans="1:7" x14ac:dyDescent="0.35">
      <c r="A15">
        <v>4</v>
      </c>
      <c r="B15">
        <v>310</v>
      </c>
      <c r="C15">
        <v>588.02</v>
      </c>
      <c r="E15">
        <f t="shared" si="0"/>
        <v>4000000</v>
      </c>
      <c r="F15">
        <f t="shared" si="1"/>
        <v>310</v>
      </c>
      <c r="G15">
        <f t="shared" si="2"/>
        <v>588.02</v>
      </c>
    </row>
    <row r="16" spans="1:7" x14ac:dyDescent="0.35">
      <c r="A16">
        <v>3</v>
      </c>
      <c r="B16">
        <v>310</v>
      </c>
      <c r="C16">
        <v>586.91999999999996</v>
      </c>
      <c r="E16">
        <f t="shared" si="0"/>
        <v>3000000</v>
      </c>
      <c r="F16">
        <f t="shared" si="1"/>
        <v>310</v>
      </c>
      <c r="G16">
        <f t="shared" si="2"/>
        <v>586.91999999999996</v>
      </c>
    </row>
    <row r="17" spans="1:7" x14ac:dyDescent="0.35">
      <c r="A17">
        <v>2</v>
      </c>
      <c r="B17">
        <v>310</v>
      </c>
      <c r="C17">
        <v>585.76</v>
      </c>
      <c r="E17">
        <f t="shared" si="0"/>
        <v>2000000</v>
      </c>
      <c r="F17">
        <f t="shared" si="1"/>
        <v>310</v>
      </c>
      <c r="G17">
        <f t="shared" si="2"/>
        <v>585.76</v>
      </c>
    </row>
    <row r="18" spans="1:7" x14ac:dyDescent="0.35">
      <c r="A18">
        <v>17</v>
      </c>
      <c r="B18">
        <v>320</v>
      </c>
      <c r="C18">
        <v>586.09</v>
      </c>
      <c r="E18">
        <f t="shared" si="0"/>
        <v>17000000</v>
      </c>
      <c r="F18">
        <f t="shared" si="1"/>
        <v>320</v>
      </c>
      <c r="G18">
        <f t="shared" si="2"/>
        <v>586.09</v>
      </c>
    </row>
    <row r="19" spans="1:7" x14ac:dyDescent="0.35">
      <c r="A19">
        <v>16</v>
      </c>
      <c r="B19">
        <v>320</v>
      </c>
      <c r="C19">
        <v>585.05999999999995</v>
      </c>
      <c r="E19">
        <f t="shared" si="0"/>
        <v>16000000</v>
      </c>
      <c r="F19">
        <f t="shared" si="1"/>
        <v>320</v>
      </c>
      <c r="G19">
        <f t="shared" si="2"/>
        <v>585.05999999999995</v>
      </c>
    </row>
    <row r="20" spans="1:7" x14ac:dyDescent="0.35">
      <c r="A20">
        <v>15</v>
      </c>
      <c r="B20">
        <v>320</v>
      </c>
      <c r="C20">
        <v>584.02</v>
      </c>
      <c r="E20">
        <f t="shared" si="0"/>
        <v>15000000</v>
      </c>
      <c r="F20">
        <f t="shared" si="1"/>
        <v>320</v>
      </c>
      <c r="G20">
        <f t="shared" si="2"/>
        <v>584.02</v>
      </c>
    </row>
    <row r="21" spans="1:7" x14ac:dyDescent="0.35">
      <c r="A21">
        <v>14</v>
      </c>
      <c r="B21">
        <v>320</v>
      </c>
      <c r="C21">
        <v>582.99</v>
      </c>
      <c r="E21">
        <f t="shared" si="0"/>
        <v>14000000</v>
      </c>
      <c r="F21">
        <f t="shared" si="1"/>
        <v>320</v>
      </c>
      <c r="G21">
        <f t="shared" si="2"/>
        <v>582.99</v>
      </c>
    </row>
    <row r="22" spans="1:7" x14ac:dyDescent="0.35">
      <c r="A22">
        <v>13</v>
      </c>
      <c r="B22">
        <v>320</v>
      </c>
      <c r="C22">
        <v>581.91999999999996</v>
      </c>
      <c r="E22">
        <f t="shared" si="0"/>
        <v>13000000</v>
      </c>
      <c r="F22">
        <f t="shared" si="1"/>
        <v>320</v>
      </c>
      <c r="G22">
        <f t="shared" si="2"/>
        <v>581.91999999999996</v>
      </c>
    </row>
    <row r="23" spans="1:7" x14ac:dyDescent="0.35">
      <c r="A23">
        <v>12</v>
      </c>
      <c r="B23">
        <v>320</v>
      </c>
      <c r="C23">
        <v>580.84</v>
      </c>
      <c r="E23">
        <f t="shared" si="0"/>
        <v>12000000</v>
      </c>
      <c r="F23">
        <f t="shared" si="1"/>
        <v>320</v>
      </c>
      <c r="G23">
        <f t="shared" si="2"/>
        <v>580.84</v>
      </c>
    </row>
    <row r="24" spans="1:7" x14ac:dyDescent="0.35">
      <c r="A24">
        <v>11</v>
      </c>
      <c r="B24">
        <v>320</v>
      </c>
      <c r="C24">
        <v>579.69000000000005</v>
      </c>
      <c r="E24">
        <f t="shared" si="0"/>
        <v>11000000</v>
      </c>
      <c r="F24">
        <f t="shared" si="1"/>
        <v>320</v>
      </c>
      <c r="G24">
        <f t="shared" si="2"/>
        <v>579.69000000000005</v>
      </c>
    </row>
    <row r="25" spans="1:7" x14ac:dyDescent="0.35">
      <c r="A25">
        <v>10</v>
      </c>
      <c r="B25">
        <v>320</v>
      </c>
      <c r="C25">
        <v>578.5</v>
      </c>
      <c r="E25">
        <f t="shared" si="0"/>
        <v>10000000</v>
      </c>
      <c r="F25">
        <f t="shared" si="1"/>
        <v>320</v>
      </c>
      <c r="G25">
        <f t="shared" si="2"/>
        <v>578.5</v>
      </c>
    </row>
    <row r="26" spans="1:7" x14ac:dyDescent="0.35">
      <c r="A26">
        <v>9</v>
      </c>
      <c r="B26">
        <v>320</v>
      </c>
      <c r="C26">
        <v>577.4</v>
      </c>
      <c r="E26">
        <f t="shared" si="0"/>
        <v>9000000</v>
      </c>
      <c r="F26">
        <f t="shared" si="1"/>
        <v>320</v>
      </c>
      <c r="G26">
        <f t="shared" si="2"/>
        <v>577.4</v>
      </c>
    </row>
    <row r="27" spans="1:7" x14ac:dyDescent="0.35">
      <c r="A27">
        <v>8</v>
      </c>
      <c r="B27">
        <v>320</v>
      </c>
      <c r="C27">
        <v>576.24</v>
      </c>
      <c r="E27">
        <f t="shared" si="0"/>
        <v>8000000</v>
      </c>
      <c r="F27">
        <f t="shared" si="1"/>
        <v>320</v>
      </c>
      <c r="G27">
        <f t="shared" si="2"/>
        <v>576.24</v>
      </c>
    </row>
    <row r="28" spans="1:7" x14ac:dyDescent="0.35">
      <c r="A28">
        <v>7</v>
      </c>
      <c r="B28">
        <v>320</v>
      </c>
      <c r="C28">
        <v>575.02</v>
      </c>
      <c r="E28">
        <f t="shared" si="0"/>
        <v>7000000</v>
      </c>
      <c r="F28">
        <f t="shared" si="1"/>
        <v>320</v>
      </c>
      <c r="G28">
        <f t="shared" si="2"/>
        <v>575.02</v>
      </c>
    </row>
    <row r="29" spans="1:7" x14ac:dyDescent="0.35">
      <c r="A29">
        <v>6</v>
      </c>
      <c r="B29">
        <v>320</v>
      </c>
      <c r="C29">
        <v>573.76</v>
      </c>
      <c r="E29">
        <f t="shared" si="0"/>
        <v>6000000</v>
      </c>
      <c r="F29">
        <f t="shared" si="1"/>
        <v>320</v>
      </c>
      <c r="G29">
        <f t="shared" si="2"/>
        <v>573.76</v>
      </c>
    </row>
    <row r="30" spans="1:7" x14ac:dyDescent="0.35">
      <c r="A30">
        <v>5</v>
      </c>
      <c r="B30">
        <v>320</v>
      </c>
      <c r="C30">
        <v>572.53</v>
      </c>
      <c r="E30">
        <f t="shared" si="0"/>
        <v>5000000</v>
      </c>
      <c r="F30">
        <f t="shared" si="1"/>
        <v>320</v>
      </c>
      <c r="G30">
        <f t="shared" si="2"/>
        <v>572.53</v>
      </c>
    </row>
    <row r="31" spans="1:7" x14ac:dyDescent="0.35">
      <c r="A31">
        <v>4</v>
      </c>
      <c r="B31">
        <v>320</v>
      </c>
      <c r="C31">
        <v>571.25</v>
      </c>
      <c r="E31">
        <f t="shared" si="0"/>
        <v>4000000</v>
      </c>
      <c r="F31">
        <f t="shared" si="1"/>
        <v>320</v>
      </c>
      <c r="G31">
        <f t="shared" si="2"/>
        <v>571.25</v>
      </c>
    </row>
    <row r="32" spans="1:7" x14ac:dyDescent="0.35">
      <c r="A32">
        <v>2.99</v>
      </c>
      <c r="B32">
        <v>320</v>
      </c>
      <c r="C32">
        <v>569.95000000000005</v>
      </c>
      <c r="E32">
        <f t="shared" si="0"/>
        <v>2990000</v>
      </c>
      <c r="F32">
        <f t="shared" si="1"/>
        <v>320</v>
      </c>
      <c r="G32">
        <f t="shared" si="2"/>
        <v>569.95000000000005</v>
      </c>
    </row>
    <row r="33" spans="1:7" x14ac:dyDescent="0.35">
      <c r="A33">
        <v>2</v>
      </c>
      <c r="B33">
        <v>320</v>
      </c>
      <c r="C33">
        <v>568.62</v>
      </c>
      <c r="E33">
        <f t="shared" si="0"/>
        <v>2000000</v>
      </c>
      <c r="F33">
        <f t="shared" si="1"/>
        <v>320</v>
      </c>
      <c r="G33">
        <f t="shared" si="2"/>
        <v>568.62</v>
      </c>
    </row>
    <row r="34" spans="1:7" x14ac:dyDescent="0.35">
      <c r="A34">
        <v>17</v>
      </c>
      <c r="B34">
        <v>330</v>
      </c>
      <c r="C34">
        <v>570.6</v>
      </c>
      <c r="E34">
        <f t="shared" si="0"/>
        <v>17000000</v>
      </c>
      <c r="F34">
        <f t="shared" si="1"/>
        <v>330</v>
      </c>
      <c r="G34">
        <f t="shared" si="2"/>
        <v>570.6</v>
      </c>
    </row>
    <row r="35" spans="1:7" x14ac:dyDescent="0.35">
      <c r="A35">
        <v>16</v>
      </c>
      <c r="B35">
        <v>330</v>
      </c>
      <c r="C35">
        <v>569.42999999999995</v>
      </c>
      <c r="E35">
        <f t="shared" si="0"/>
        <v>16000000</v>
      </c>
      <c r="F35">
        <f t="shared" si="1"/>
        <v>330</v>
      </c>
      <c r="G35">
        <f t="shared" si="2"/>
        <v>569.42999999999995</v>
      </c>
    </row>
    <row r="36" spans="1:7" x14ac:dyDescent="0.35">
      <c r="A36">
        <v>15</v>
      </c>
      <c r="B36">
        <v>330</v>
      </c>
      <c r="C36">
        <v>568.21</v>
      </c>
      <c r="E36">
        <f t="shared" si="0"/>
        <v>15000000</v>
      </c>
      <c r="F36">
        <f t="shared" si="1"/>
        <v>330</v>
      </c>
      <c r="G36">
        <f t="shared" si="2"/>
        <v>568.21</v>
      </c>
    </row>
    <row r="37" spans="1:7" x14ac:dyDescent="0.35">
      <c r="A37">
        <v>14</v>
      </c>
      <c r="B37">
        <v>330</v>
      </c>
      <c r="C37">
        <v>567.01</v>
      </c>
      <c r="E37">
        <f t="shared" si="0"/>
        <v>14000000</v>
      </c>
      <c r="F37">
        <f t="shared" si="1"/>
        <v>330</v>
      </c>
      <c r="G37">
        <f t="shared" si="2"/>
        <v>567.01</v>
      </c>
    </row>
    <row r="38" spans="1:7" x14ac:dyDescent="0.35">
      <c r="A38">
        <v>13</v>
      </c>
      <c r="B38">
        <v>330</v>
      </c>
      <c r="C38">
        <v>565.78</v>
      </c>
      <c r="E38">
        <f t="shared" si="0"/>
        <v>13000000</v>
      </c>
      <c r="F38">
        <f t="shared" si="1"/>
        <v>330</v>
      </c>
      <c r="G38">
        <f t="shared" si="2"/>
        <v>565.78</v>
      </c>
    </row>
    <row r="39" spans="1:7" x14ac:dyDescent="0.35">
      <c r="A39">
        <v>12</v>
      </c>
      <c r="B39">
        <v>330</v>
      </c>
      <c r="C39">
        <v>564.5</v>
      </c>
      <c r="E39">
        <f t="shared" si="0"/>
        <v>12000000</v>
      </c>
      <c r="F39">
        <f t="shared" si="1"/>
        <v>330</v>
      </c>
      <c r="G39">
        <f t="shared" si="2"/>
        <v>564.5</v>
      </c>
    </row>
    <row r="40" spans="1:7" x14ac:dyDescent="0.35">
      <c r="A40">
        <v>11</v>
      </c>
      <c r="B40">
        <v>330</v>
      </c>
      <c r="C40">
        <v>563.19000000000005</v>
      </c>
      <c r="E40">
        <f t="shared" si="0"/>
        <v>11000000</v>
      </c>
      <c r="F40">
        <f t="shared" si="1"/>
        <v>330</v>
      </c>
      <c r="G40">
        <f t="shared" si="2"/>
        <v>563.19000000000005</v>
      </c>
    </row>
    <row r="41" spans="1:7" x14ac:dyDescent="0.35">
      <c r="A41">
        <v>10</v>
      </c>
      <c r="B41">
        <v>330</v>
      </c>
      <c r="C41">
        <v>561.88</v>
      </c>
      <c r="E41">
        <f t="shared" si="0"/>
        <v>10000000</v>
      </c>
      <c r="F41">
        <f t="shared" si="1"/>
        <v>330</v>
      </c>
      <c r="G41">
        <f t="shared" si="2"/>
        <v>561.88</v>
      </c>
    </row>
    <row r="42" spans="1:7" x14ac:dyDescent="0.35">
      <c r="A42">
        <v>9</v>
      </c>
      <c r="B42">
        <v>330</v>
      </c>
      <c r="C42">
        <v>560.52</v>
      </c>
      <c r="E42">
        <f t="shared" si="0"/>
        <v>9000000</v>
      </c>
      <c r="F42">
        <f t="shared" si="1"/>
        <v>330</v>
      </c>
      <c r="G42">
        <f t="shared" si="2"/>
        <v>560.52</v>
      </c>
    </row>
    <row r="43" spans="1:7" x14ac:dyDescent="0.35">
      <c r="A43">
        <v>8</v>
      </c>
      <c r="B43">
        <v>330</v>
      </c>
      <c r="C43">
        <v>559.11</v>
      </c>
      <c r="E43">
        <f t="shared" si="0"/>
        <v>8000000</v>
      </c>
      <c r="F43">
        <f t="shared" si="1"/>
        <v>330</v>
      </c>
      <c r="G43">
        <f t="shared" si="2"/>
        <v>559.11</v>
      </c>
    </row>
    <row r="44" spans="1:7" x14ac:dyDescent="0.35">
      <c r="A44">
        <v>7</v>
      </c>
      <c r="B44">
        <v>330</v>
      </c>
      <c r="C44">
        <v>557.71</v>
      </c>
      <c r="E44">
        <f t="shared" si="0"/>
        <v>7000000</v>
      </c>
      <c r="F44">
        <f t="shared" si="1"/>
        <v>330</v>
      </c>
      <c r="G44">
        <f t="shared" si="2"/>
        <v>557.71</v>
      </c>
    </row>
    <row r="45" spans="1:7" x14ac:dyDescent="0.35">
      <c r="A45">
        <v>6</v>
      </c>
      <c r="B45">
        <v>330</v>
      </c>
      <c r="C45">
        <v>556.32000000000005</v>
      </c>
      <c r="E45">
        <f t="shared" si="0"/>
        <v>6000000</v>
      </c>
      <c r="F45">
        <f t="shared" si="1"/>
        <v>330</v>
      </c>
      <c r="G45">
        <f t="shared" si="2"/>
        <v>556.32000000000005</v>
      </c>
    </row>
    <row r="46" spans="1:7" x14ac:dyDescent="0.35">
      <c r="A46">
        <v>5</v>
      </c>
      <c r="B46">
        <v>330</v>
      </c>
      <c r="C46">
        <v>554.89</v>
      </c>
      <c r="E46">
        <f t="shared" si="0"/>
        <v>5000000</v>
      </c>
      <c r="F46">
        <f t="shared" si="1"/>
        <v>330</v>
      </c>
      <c r="G46">
        <f t="shared" si="2"/>
        <v>554.89</v>
      </c>
    </row>
    <row r="47" spans="1:7" x14ac:dyDescent="0.35">
      <c r="A47">
        <v>4</v>
      </c>
      <c r="B47">
        <v>330</v>
      </c>
      <c r="C47">
        <v>553.38</v>
      </c>
      <c r="E47">
        <f t="shared" si="0"/>
        <v>4000000</v>
      </c>
      <c r="F47">
        <f t="shared" si="1"/>
        <v>330</v>
      </c>
      <c r="G47">
        <f t="shared" si="2"/>
        <v>553.38</v>
      </c>
    </row>
    <row r="48" spans="1:7" x14ac:dyDescent="0.35">
      <c r="A48">
        <v>3</v>
      </c>
      <c r="B48">
        <v>330</v>
      </c>
      <c r="C48">
        <v>551.86</v>
      </c>
      <c r="E48">
        <f t="shared" si="0"/>
        <v>3000000</v>
      </c>
      <c r="F48">
        <f t="shared" si="1"/>
        <v>330</v>
      </c>
      <c r="G48">
        <f t="shared" si="2"/>
        <v>551.86</v>
      </c>
    </row>
    <row r="49" spans="1:7" x14ac:dyDescent="0.35">
      <c r="A49">
        <v>17</v>
      </c>
      <c r="B49">
        <v>340</v>
      </c>
      <c r="C49">
        <v>554.45000000000005</v>
      </c>
      <c r="E49">
        <f t="shared" si="0"/>
        <v>17000000</v>
      </c>
      <c r="F49">
        <f t="shared" si="1"/>
        <v>340</v>
      </c>
      <c r="G49">
        <f t="shared" si="2"/>
        <v>554.45000000000005</v>
      </c>
    </row>
    <row r="50" spans="1:7" x14ac:dyDescent="0.35">
      <c r="A50">
        <v>16</v>
      </c>
      <c r="B50">
        <v>340</v>
      </c>
      <c r="C50">
        <v>553.12</v>
      </c>
      <c r="E50">
        <f t="shared" si="0"/>
        <v>16000000</v>
      </c>
      <c r="F50">
        <f t="shared" si="1"/>
        <v>340</v>
      </c>
      <c r="G50">
        <f t="shared" si="2"/>
        <v>553.12</v>
      </c>
    </row>
    <row r="51" spans="1:7" x14ac:dyDescent="0.35">
      <c r="A51">
        <v>15</v>
      </c>
      <c r="B51">
        <v>340</v>
      </c>
      <c r="C51">
        <v>551.72</v>
      </c>
      <c r="E51">
        <f t="shared" si="0"/>
        <v>15000000</v>
      </c>
      <c r="F51">
        <f t="shared" si="1"/>
        <v>340</v>
      </c>
      <c r="G51">
        <f t="shared" si="2"/>
        <v>551.72</v>
      </c>
    </row>
    <row r="52" spans="1:7" x14ac:dyDescent="0.35">
      <c r="A52">
        <v>14</v>
      </c>
      <c r="B52">
        <v>340</v>
      </c>
      <c r="C52">
        <v>550.28</v>
      </c>
      <c r="E52">
        <f t="shared" si="0"/>
        <v>14000000</v>
      </c>
      <c r="F52">
        <f t="shared" si="1"/>
        <v>340</v>
      </c>
      <c r="G52">
        <f t="shared" si="2"/>
        <v>550.28</v>
      </c>
    </row>
    <row r="53" spans="1:7" x14ac:dyDescent="0.35">
      <c r="A53">
        <v>13</v>
      </c>
      <c r="B53">
        <v>340</v>
      </c>
      <c r="C53">
        <v>548.82000000000005</v>
      </c>
      <c r="E53">
        <f t="shared" si="0"/>
        <v>13000000</v>
      </c>
      <c r="F53">
        <f t="shared" si="1"/>
        <v>340</v>
      </c>
      <c r="G53">
        <f t="shared" si="2"/>
        <v>548.82000000000005</v>
      </c>
    </row>
    <row r="54" spans="1:7" x14ac:dyDescent="0.35">
      <c r="A54">
        <v>12</v>
      </c>
      <c r="B54">
        <v>340</v>
      </c>
      <c r="C54">
        <v>547.33000000000004</v>
      </c>
      <c r="E54">
        <f t="shared" si="0"/>
        <v>12000000</v>
      </c>
      <c r="F54">
        <f t="shared" si="1"/>
        <v>340</v>
      </c>
      <c r="G54">
        <f t="shared" si="2"/>
        <v>547.33000000000004</v>
      </c>
    </row>
    <row r="55" spans="1:7" x14ac:dyDescent="0.35">
      <c r="A55">
        <v>11</v>
      </c>
      <c r="B55">
        <v>340</v>
      </c>
      <c r="C55">
        <v>545.79</v>
      </c>
      <c r="E55">
        <f t="shared" si="0"/>
        <v>11000000</v>
      </c>
      <c r="F55">
        <f t="shared" si="1"/>
        <v>340</v>
      </c>
      <c r="G55">
        <f t="shared" si="2"/>
        <v>545.79</v>
      </c>
    </row>
    <row r="56" spans="1:7" x14ac:dyDescent="0.35">
      <c r="A56">
        <v>10</v>
      </c>
      <c r="B56">
        <v>340</v>
      </c>
      <c r="C56">
        <v>544.22</v>
      </c>
      <c r="E56">
        <f t="shared" si="0"/>
        <v>10000000</v>
      </c>
      <c r="F56">
        <f t="shared" si="1"/>
        <v>340</v>
      </c>
      <c r="G56">
        <f t="shared" si="2"/>
        <v>544.22</v>
      </c>
    </row>
    <row r="57" spans="1:7" x14ac:dyDescent="0.35">
      <c r="A57">
        <v>9</v>
      </c>
      <c r="B57">
        <v>340</v>
      </c>
      <c r="C57">
        <v>542.70000000000005</v>
      </c>
      <c r="E57">
        <f t="shared" si="0"/>
        <v>9000000</v>
      </c>
      <c r="F57">
        <f t="shared" si="1"/>
        <v>340</v>
      </c>
      <c r="G57">
        <f t="shared" si="2"/>
        <v>542.70000000000005</v>
      </c>
    </row>
    <row r="58" spans="1:7" x14ac:dyDescent="0.35">
      <c r="A58">
        <v>8</v>
      </c>
      <c r="B58">
        <v>340</v>
      </c>
      <c r="C58">
        <v>541.09</v>
      </c>
      <c r="E58">
        <f t="shared" si="0"/>
        <v>8000000</v>
      </c>
      <c r="F58">
        <f t="shared" si="1"/>
        <v>340</v>
      </c>
      <c r="G58">
        <f t="shared" si="2"/>
        <v>541.09</v>
      </c>
    </row>
    <row r="59" spans="1:7" x14ac:dyDescent="0.35">
      <c r="A59">
        <v>7</v>
      </c>
      <c r="B59">
        <v>340</v>
      </c>
      <c r="C59">
        <v>539.41</v>
      </c>
      <c r="E59">
        <f t="shared" si="0"/>
        <v>7000000</v>
      </c>
      <c r="F59">
        <f t="shared" si="1"/>
        <v>340</v>
      </c>
      <c r="G59">
        <f t="shared" si="2"/>
        <v>539.41</v>
      </c>
    </row>
    <row r="60" spans="1:7" x14ac:dyDescent="0.35">
      <c r="A60">
        <v>6</v>
      </c>
      <c r="B60">
        <v>340</v>
      </c>
      <c r="C60">
        <v>537.69000000000005</v>
      </c>
      <c r="E60">
        <f t="shared" si="0"/>
        <v>6000000</v>
      </c>
      <c r="F60">
        <f t="shared" si="1"/>
        <v>340</v>
      </c>
      <c r="G60">
        <f t="shared" si="2"/>
        <v>537.69000000000005</v>
      </c>
    </row>
    <row r="61" spans="1:7" x14ac:dyDescent="0.35">
      <c r="A61">
        <v>5</v>
      </c>
      <c r="B61">
        <v>340</v>
      </c>
      <c r="C61">
        <v>535.9</v>
      </c>
      <c r="E61">
        <f t="shared" si="0"/>
        <v>5000000</v>
      </c>
      <c r="F61">
        <f t="shared" si="1"/>
        <v>340</v>
      </c>
      <c r="G61">
        <f t="shared" si="2"/>
        <v>535.9</v>
      </c>
    </row>
    <row r="62" spans="1:7" x14ac:dyDescent="0.35">
      <c r="A62">
        <v>4</v>
      </c>
      <c r="B62">
        <v>340</v>
      </c>
      <c r="C62">
        <v>534.1</v>
      </c>
      <c r="E62">
        <f t="shared" si="0"/>
        <v>4000000</v>
      </c>
      <c r="F62">
        <f t="shared" si="1"/>
        <v>340</v>
      </c>
      <c r="G62">
        <f t="shared" si="2"/>
        <v>534.1</v>
      </c>
    </row>
    <row r="63" spans="1:7" x14ac:dyDescent="0.35">
      <c r="A63">
        <v>15</v>
      </c>
      <c r="B63">
        <v>340</v>
      </c>
      <c r="C63">
        <v>551.30999999999995</v>
      </c>
      <c r="E63">
        <f t="shared" si="0"/>
        <v>15000000</v>
      </c>
      <c r="F63">
        <f t="shared" si="1"/>
        <v>340</v>
      </c>
      <c r="G63">
        <f t="shared" si="2"/>
        <v>551.30999999999995</v>
      </c>
    </row>
    <row r="64" spans="1:7" x14ac:dyDescent="0.35">
      <c r="A64">
        <v>10</v>
      </c>
      <c r="B64">
        <v>340</v>
      </c>
      <c r="C64">
        <v>543.94000000000005</v>
      </c>
      <c r="E64">
        <f t="shared" si="0"/>
        <v>10000000</v>
      </c>
      <c r="F64">
        <f t="shared" si="1"/>
        <v>340</v>
      </c>
      <c r="G64">
        <f t="shared" si="2"/>
        <v>543.94000000000005</v>
      </c>
    </row>
    <row r="65" spans="1:7" x14ac:dyDescent="0.35">
      <c r="A65">
        <v>5</v>
      </c>
      <c r="B65">
        <v>340</v>
      </c>
      <c r="C65">
        <v>535.49</v>
      </c>
      <c r="E65">
        <f t="shared" si="0"/>
        <v>5000000</v>
      </c>
      <c r="F65">
        <f t="shared" si="1"/>
        <v>340</v>
      </c>
      <c r="G65">
        <f t="shared" si="2"/>
        <v>535.49</v>
      </c>
    </row>
    <row r="66" spans="1:7" x14ac:dyDescent="0.35">
      <c r="A66">
        <v>4</v>
      </c>
      <c r="B66">
        <v>340</v>
      </c>
      <c r="C66">
        <v>534.1</v>
      </c>
      <c r="E66">
        <f t="shared" ref="E66:E129" si="3">A66*1000000</f>
        <v>4000000</v>
      </c>
      <c r="F66">
        <f t="shared" si="1"/>
        <v>340</v>
      </c>
      <c r="G66">
        <f t="shared" si="2"/>
        <v>534.1</v>
      </c>
    </row>
    <row r="67" spans="1:7" x14ac:dyDescent="0.35">
      <c r="A67">
        <v>10</v>
      </c>
      <c r="B67">
        <v>340</v>
      </c>
      <c r="C67">
        <v>543.98</v>
      </c>
      <c r="E67">
        <f t="shared" si="3"/>
        <v>10000000</v>
      </c>
      <c r="F67">
        <f t="shared" ref="F67:F130" si="4">B67</f>
        <v>340</v>
      </c>
      <c r="G67">
        <f t="shared" ref="G67:G130" si="5">C67</f>
        <v>543.98</v>
      </c>
    </row>
    <row r="68" spans="1:7" x14ac:dyDescent="0.35">
      <c r="A68">
        <v>5</v>
      </c>
      <c r="B68">
        <v>340</v>
      </c>
      <c r="C68">
        <v>535.58000000000004</v>
      </c>
      <c r="E68">
        <f t="shared" si="3"/>
        <v>5000000</v>
      </c>
      <c r="F68">
        <f t="shared" si="4"/>
        <v>340</v>
      </c>
      <c r="G68">
        <f t="shared" si="5"/>
        <v>535.58000000000004</v>
      </c>
    </row>
    <row r="69" spans="1:7" x14ac:dyDescent="0.35">
      <c r="A69">
        <v>17</v>
      </c>
      <c r="B69">
        <v>350</v>
      </c>
      <c r="C69">
        <v>536.96</v>
      </c>
      <c r="E69">
        <f t="shared" si="3"/>
        <v>17000000</v>
      </c>
      <c r="F69">
        <f t="shared" si="4"/>
        <v>350</v>
      </c>
      <c r="G69">
        <f t="shared" si="5"/>
        <v>536.96</v>
      </c>
    </row>
    <row r="70" spans="1:7" x14ac:dyDescent="0.35">
      <c r="A70">
        <v>16</v>
      </c>
      <c r="B70">
        <v>350</v>
      </c>
      <c r="C70">
        <v>535.42999999999995</v>
      </c>
      <c r="E70">
        <f t="shared" si="3"/>
        <v>16000000</v>
      </c>
      <c r="F70">
        <f t="shared" si="4"/>
        <v>350</v>
      </c>
      <c r="G70">
        <f t="shared" si="5"/>
        <v>535.42999999999995</v>
      </c>
    </row>
    <row r="71" spans="1:7" x14ac:dyDescent="0.35">
      <c r="A71">
        <v>15</v>
      </c>
      <c r="B71">
        <v>350</v>
      </c>
      <c r="C71">
        <v>533.79</v>
      </c>
      <c r="E71">
        <f t="shared" si="3"/>
        <v>15000000</v>
      </c>
      <c r="F71">
        <f t="shared" si="4"/>
        <v>350</v>
      </c>
      <c r="G71">
        <f t="shared" si="5"/>
        <v>533.79</v>
      </c>
    </row>
    <row r="72" spans="1:7" x14ac:dyDescent="0.35">
      <c r="A72">
        <v>14</v>
      </c>
      <c r="B72">
        <v>350</v>
      </c>
      <c r="C72">
        <v>532.09</v>
      </c>
      <c r="E72">
        <f t="shared" si="3"/>
        <v>14000000</v>
      </c>
      <c r="F72">
        <f t="shared" si="4"/>
        <v>350</v>
      </c>
      <c r="G72">
        <f t="shared" si="5"/>
        <v>532.09</v>
      </c>
    </row>
    <row r="73" spans="1:7" x14ac:dyDescent="0.35">
      <c r="A73">
        <v>13</v>
      </c>
      <c r="B73">
        <v>350</v>
      </c>
      <c r="C73">
        <v>530.39</v>
      </c>
      <c r="E73">
        <f t="shared" si="3"/>
        <v>13000000</v>
      </c>
      <c r="F73">
        <f t="shared" si="4"/>
        <v>350</v>
      </c>
      <c r="G73">
        <f t="shared" si="5"/>
        <v>530.39</v>
      </c>
    </row>
    <row r="74" spans="1:7" x14ac:dyDescent="0.35">
      <c r="A74">
        <v>12</v>
      </c>
      <c r="B74">
        <v>350</v>
      </c>
      <c r="C74">
        <v>528.59</v>
      </c>
      <c r="E74">
        <f t="shared" si="3"/>
        <v>12000000</v>
      </c>
      <c r="F74">
        <f t="shared" si="4"/>
        <v>350</v>
      </c>
      <c r="G74">
        <f t="shared" si="5"/>
        <v>528.59</v>
      </c>
    </row>
    <row r="75" spans="1:7" x14ac:dyDescent="0.35">
      <c r="A75">
        <v>11</v>
      </c>
      <c r="B75">
        <v>350</v>
      </c>
      <c r="C75">
        <v>526.77</v>
      </c>
      <c r="E75">
        <f t="shared" si="3"/>
        <v>11000000</v>
      </c>
      <c r="F75">
        <f t="shared" si="4"/>
        <v>350</v>
      </c>
      <c r="G75">
        <f t="shared" si="5"/>
        <v>526.77</v>
      </c>
    </row>
    <row r="76" spans="1:7" x14ac:dyDescent="0.35">
      <c r="A76">
        <v>10</v>
      </c>
      <c r="B76">
        <v>350</v>
      </c>
      <c r="C76">
        <v>524.88</v>
      </c>
      <c r="E76">
        <f t="shared" si="3"/>
        <v>10000000</v>
      </c>
      <c r="F76">
        <f t="shared" si="4"/>
        <v>350</v>
      </c>
      <c r="G76">
        <f t="shared" si="5"/>
        <v>524.88</v>
      </c>
    </row>
    <row r="77" spans="1:7" x14ac:dyDescent="0.35">
      <c r="A77">
        <v>9</v>
      </c>
      <c r="B77">
        <v>350</v>
      </c>
      <c r="C77">
        <v>522.91999999999996</v>
      </c>
      <c r="E77">
        <f t="shared" si="3"/>
        <v>9000000</v>
      </c>
      <c r="F77">
        <f t="shared" si="4"/>
        <v>350</v>
      </c>
      <c r="G77">
        <f t="shared" si="5"/>
        <v>522.91999999999996</v>
      </c>
    </row>
    <row r="78" spans="1:7" x14ac:dyDescent="0.35">
      <c r="A78">
        <v>8</v>
      </c>
      <c r="B78">
        <v>350</v>
      </c>
      <c r="C78">
        <v>520.92999999999995</v>
      </c>
      <c r="E78">
        <f t="shared" si="3"/>
        <v>8000000</v>
      </c>
      <c r="F78">
        <f t="shared" si="4"/>
        <v>350</v>
      </c>
      <c r="G78">
        <f t="shared" si="5"/>
        <v>520.92999999999995</v>
      </c>
    </row>
    <row r="79" spans="1:7" x14ac:dyDescent="0.35">
      <c r="A79">
        <v>7</v>
      </c>
      <c r="B79">
        <v>350</v>
      </c>
      <c r="C79">
        <v>518.83000000000004</v>
      </c>
      <c r="E79">
        <f t="shared" si="3"/>
        <v>7000000</v>
      </c>
      <c r="F79">
        <f t="shared" si="4"/>
        <v>350</v>
      </c>
      <c r="G79">
        <f t="shared" si="5"/>
        <v>518.83000000000004</v>
      </c>
    </row>
    <row r="80" spans="1:7" x14ac:dyDescent="0.35">
      <c r="A80">
        <v>6</v>
      </c>
      <c r="B80">
        <v>350</v>
      </c>
      <c r="C80">
        <v>516.66999999999996</v>
      </c>
      <c r="E80">
        <f t="shared" si="3"/>
        <v>6000000</v>
      </c>
      <c r="F80">
        <f t="shared" si="4"/>
        <v>350</v>
      </c>
      <c r="G80">
        <f t="shared" si="5"/>
        <v>516.66999999999996</v>
      </c>
    </row>
    <row r="81" spans="1:7" x14ac:dyDescent="0.35">
      <c r="A81">
        <v>5</v>
      </c>
      <c r="B81">
        <v>350</v>
      </c>
      <c r="C81">
        <v>514.38</v>
      </c>
      <c r="E81">
        <f t="shared" si="3"/>
        <v>5000000</v>
      </c>
      <c r="F81">
        <f t="shared" si="4"/>
        <v>350</v>
      </c>
      <c r="G81">
        <f t="shared" si="5"/>
        <v>514.38</v>
      </c>
    </row>
    <row r="82" spans="1:7" x14ac:dyDescent="0.35">
      <c r="A82">
        <v>4</v>
      </c>
      <c r="B82">
        <v>350</v>
      </c>
      <c r="C82">
        <v>512.07000000000005</v>
      </c>
      <c r="E82">
        <f t="shared" si="3"/>
        <v>4000000</v>
      </c>
      <c r="F82">
        <f t="shared" si="4"/>
        <v>350</v>
      </c>
      <c r="G82">
        <f t="shared" si="5"/>
        <v>512.07000000000005</v>
      </c>
    </row>
    <row r="83" spans="1:7" x14ac:dyDescent="0.35">
      <c r="A83">
        <v>17</v>
      </c>
      <c r="B83">
        <v>350</v>
      </c>
      <c r="C83">
        <v>537.05999999999995</v>
      </c>
      <c r="E83">
        <f t="shared" si="3"/>
        <v>17000000</v>
      </c>
      <c r="F83">
        <f t="shared" si="4"/>
        <v>350</v>
      </c>
      <c r="G83">
        <f t="shared" si="5"/>
        <v>537.05999999999995</v>
      </c>
    </row>
    <row r="84" spans="1:7" x14ac:dyDescent="0.35">
      <c r="A84">
        <v>16</v>
      </c>
      <c r="B84">
        <v>350</v>
      </c>
      <c r="C84">
        <v>535.47</v>
      </c>
      <c r="E84">
        <f t="shared" si="3"/>
        <v>16000000</v>
      </c>
      <c r="F84">
        <f t="shared" si="4"/>
        <v>350</v>
      </c>
      <c r="G84">
        <f t="shared" si="5"/>
        <v>535.47</v>
      </c>
    </row>
    <row r="85" spans="1:7" x14ac:dyDescent="0.35">
      <c r="A85">
        <v>15</v>
      </c>
      <c r="B85">
        <v>350</v>
      </c>
      <c r="C85">
        <v>533.83000000000004</v>
      </c>
      <c r="E85">
        <f t="shared" si="3"/>
        <v>15000000</v>
      </c>
      <c r="F85">
        <f t="shared" si="4"/>
        <v>350</v>
      </c>
      <c r="G85">
        <f t="shared" si="5"/>
        <v>533.83000000000004</v>
      </c>
    </row>
    <row r="86" spans="1:7" x14ac:dyDescent="0.35">
      <c r="A86">
        <v>14</v>
      </c>
      <c r="B86">
        <v>350</v>
      </c>
      <c r="C86">
        <v>532.17999999999995</v>
      </c>
      <c r="E86">
        <f t="shared" si="3"/>
        <v>14000000</v>
      </c>
      <c r="F86">
        <f t="shared" si="4"/>
        <v>350</v>
      </c>
      <c r="G86">
        <f t="shared" si="5"/>
        <v>532.17999999999995</v>
      </c>
    </row>
    <row r="87" spans="1:7" x14ac:dyDescent="0.35">
      <c r="A87">
        <v>13</v>
      </c>
      <c r="B87">
        <v>350</v>
      </c>
      <c r="C87">
        <v>530.42999999999995</v>
      </c>
      <c r="E87">
        <f t="shared" si="3"/>
        <v>13000000</v>
      </c>
      <c r="F87">
        <f t="shared" si="4"/>
        <v>350</v>
      </c>
      <c r="G87">
        <f t="shared" si="5"/>
        <v>530.42999999999995</v>
      </c>
    </row>
    <row r="88" spans="1:7" x14ac:dyDescent="0.35">
      <c r="A88">
        <v>12</v>
      </c>
      <c r="B88">
        <v>350</v>
      </c>
      <c r="C88">
        <v>528.66</v>
      </c>
      <c r="E88">
        <f t="shared" si="3"/>
        <v>12000000</v>
      </c>
      <c r="F88">
        <f t="shared" si="4"/>
        <v>350</v>
      </c>
      <c r="G88">
        <f t="shared" si="5"/>
        <v>528.66</v>
      </c>
    </row>
    <row r="89" spans="1:7" x14ac:dyDescent="0.35">
      <c r="A89">
        <v>11</v>
      </c>
      <c r="B89">
        <v>350</v>
      </c>
      <c r="C89">
        <v>526.85</v>
      </c>
      <c r="E89">
        <f t="shared" si="3"/>
        <v>11000000</v>
      </c>
      <c r="F89">
        <f t="shared" si="4"/>
        <v>350</v>
      </c>
      <c r="G89">
        <f t="shared" si="5"/>
        <v>526.85</v>
      </c>
    </row>
    <row r="90" spans="1:7" x14ac:dyDescent="0.35">
      <c r="A90">
        <v>10</v>
      </c>
      <c r="B90">
        <v>350</v>
      </c>
      <c r="C90">
        <v>524.95000000000005</v>
      </c>
      <c r="E90">
        <f t="shared" si="3"/>
        <v>10000000</v>
      </c>
      <c r="F90">
        <f t="shared" si="4"/>
        <v>350</v>
      </c>
      <c r="G90">
        <f t="shared" si="5"/>
        <v>524.95000000000005</v>
      </c>
    </row>
    <row r="91" spans="1:7" x14ac:dyDescent="0.35">
      <c r="A91">
        <v>9</v>
      </c>
      <c r="B91">
        <v>350</v>
      </c>
      <c r="C91">
        <v>522.98</v>
      </c>
      <c r="E91">
        <f t="shared" si="3"/>
        <v>9000000</v>
      </c>
      <c r="F91">
        <f t="shared" si="4"/>
        <v>350</v>
      </c>
      <c r="G91">
        <f t="shared" si="5"/>
        <v>522.98</v>
      </c>
    </row>
    <row r="92" spans="1:7" x14ac:dyDescent="0.35">
      <c r="A92">
        <v>8</v>
      </c>
      <c r="B92">
        <v>350</v>
      </c>
      <c r="C92">
        <v>520.99</v>
      </c>
      <c r="E92">
        <f t="shared" si="3"/>
        <v>8000000</v>
      </c>
      <c r="F92">
        <f t="shared" si="4"/>
        <v>350</v>
      </c>
      <c r="G92">
        <f t="shared" si="5"/>
        <v>520.99</v>
      </c>
    </row>
    <row r="93" spans="1:7" x14ac:dyDescent="0.35">
      <c r="A93">
        <v>7</v>
      </c>
      <c r="B93">
        <v>350</v>
      </c>
      <c r="C93">
        <v>518.9</v>
      </c>
      <c r="E93">
        <f t="shared" si="3"/>
        <v>7000000</v>
      </c>
      <c r="F93">
        <f t="shared" si="4"/>
        <v>350</v>
      </c>
      <c r="G93">
        <f t="shared" si="5"/>
        <v>518.9</v>
      </c>
    </row>
    <row r="94" spans="1:7" x14ac:dyDescent="0.35">
      <c r="A94">
        <v>6</v>
      </c>
      <c r="B94">
        <v>350</v>
      </c>
      <c r="C94">
        <v>516.76</v>
      </c>
      <c r="E94">
        <f t="shared" si="3"/>
        <v>6000000</v>
      </c>
      <c r="F94">
        <f t="shared" si="4"/>
        <v>350</v>
      </c>
      <c r="G94">
        <f t="shared" si="5"/>
        <v>516.76</v>
      </c>
    </row>
    <row r="95" spans="1:7" x14ac:dyDescent="0.35">
      <c r="A95">
        <v>5</v>
      </c>
      <c r="B95">
        <v>350</v>
      </c>
      <c r="C95">
        <v>514.54999999999995</v>
      </c>
      <c r="E95">
        <f t="shared" si="3"/>
        <v>5000000</v>
      </c>
      <c r="F95">
        <f t="shared" si="4"/>
        <v>350</v>
      </c>
      <c r="G95">
        <f t="shared" si="5"/>
        <v>514.54999999999995</v>
      </c>
    </row>
    <row r="96" spans="1:7" x14ac:dyDescent="0.35">
      <c r="A96">
        <v>4</v>
      </c>
      <c r="B96">
        <v>350</v>
      </c>
      <c r="C96">
        <v>512.21</v>
      </c>
      <c r="E96">
        <f t="shared" si="3"/>
        <v>4000000</v>
      </c>
      <c r="F96">
        <f t="shared" si="4"/>
        <v>350</v>
      </c>
      <c r="G96">
        <f t="shared" si="5"/>
        <v>512.21</v>
      </c>
    </row>
    <row r="97" spans="1:7" x14ac:dyDescent="0.35">
      <c r="A97">
        <v>17</v>
      </c>
      <c r="B97">
        <v>360</v>
      </c>
      <c r="C97">
        <v>518.70000000000005</v>
      </c>
      <c r="E97">
        <f t="shared" si="3"/>
        <v>17000000</v>
      </c>
      <c r="F97">
        <f t="shared" si="4"/>
        <v>360</v>
      </c>
      <c r="G97">
        <f t="shared" si="5"/>
        <v>518.70000000000005</v>
      </c>
    </row>
    <row r="98" spans="1:7" x14ac:dyDescent="0.35">
      <c r="A98">
        <v>16</v>
      </c>
      <c r="B98">
        <v>360</v>
      </c>
      <c r="C98">
        <v>516.79</v>
      </c>
      <c r="E98">
        <f t="shared" si="3"/>
        <v>16000000</v>
      </c>
      <c r="F98">
        <f t="shared" si="4"/>
        <v>360</v>
      </c>
      <c r="G98">
        <f t="shared" si="5"/>
        <v>516.79</v>
      </c>
    </row>
    <row r="99" spans="1:7" x14ac:dyDescent="0.35">
      <c r="A99">
        <v>15</v>
      </c>
      <c r="B99">
        <v>360</v>
      </c>
      <c r="C99">
        <v>514.84</v>
      </c>
      <c r="E99">
        <f t="shared" si="3"/>
        <v>15000000</v>
      </c>
      <c r="F99">
        <f t="shared" si="4"/>
        <v>360</v>
      </c>
      <c r="G99">
        <f t="shared" si="5"/>
        <v>514.84</v>
      </c>
    </row>
    <row r="100" spans="1:7" x14ac:dyDescent="0.35">
      <c r="A100">
        <v>14</v>
      </c>
      <c r="B100">
        <v>360</v>
      </c>
      <c r="C100">
        <v>512.83000000000004</v>
      </c>
      <c r="E100">
        <f t="shared" si="3"/>
        <v>14000000</v>
      </c>
      <c r="F100">
        <f t="shared" si="4"/>
        <v>360</v>
      </c>
      <c r="G100">
        <f t="shared" si="5"/>
        <v>512.83000000000004</v>
      </c>
    </row>
    <row r="101" spans="1:7" x14ac:dyDescent="0.35">
      <c r="A101">
        <v>13</v>
      </c>
      <c r="B101">
        <v>360</v>
      </c>
      <c r="C101">
        <v>510.68</v>
      </c>
      <c r="E101">
        <f t="shared" si="3"/>
        <v>13000000</v>
      </c>
      <c r="F101">
        <f t="shared" si="4"/>
        <v>360</v>
      </c>
      <c r="G101">
        <f t="shared" si="5"/>
        <v>510.68</v>
      </c>
    </row>
    <row r="102" spans="1:7" x14ac:dyDescent="0.35">
      <c r="A102">
        <v>12</v>
      </c>
      <c r="B102">
        <v>360</v>
      </c>
      <c r="C102">
        <v>508.52</v>
      </c>
      <c r="E102">
        <f t="shared" si="3"/>
        <v>12000000</v>
      </c>
      <c r="F102">
        <f t="shared" si="4"/>
        <v>360</v>
      </c>
      <c r="G102">
        <f t="shared" si="5"/>
        <v>508.52</v>
      </c>
    </row>
    <row r="103" spans="1:7" x14ac:dyDescent="0.35">
      <c r="A103">
        <v>11</v>
      </c>
      <c r="B103">
        <v>360</v>
      </c>
      <c r="C103">
        <v>506.27</v>
      </c>
      <c r="E103">
        <f t="shared" si="3"/>
        <v>11000000</v>
      </c>
      <c r="F103">
        <f t="shared" si="4"/>
        <v>360</v>
      </c>
      <c r="G103">
        <f t="shared" si="5"/>
        <v>506.27</v>
      </c>
    </row>
    <row r="104" spans="1:7" x14ac:dyDescent="0.35">
      <c r="A104">
        <v>10</v>
      </c>
      <c r="B104">
        <v>360</v>
      </c>
      <c r="C104">
        <v>503.94</v>
      </c>
      <c r="E104">
        <f t="shared" si="3"/>
        <v>10000000</v>
      </c>
      <c r="F104">
        <f t="shared" si="4"/>
        <v>360</v>
      </c>
      <c r="G104">
        <f t="shared" si="5"/>
        <v>503.94</v>
      </c>
    </row>
    <row r="105" spans="1:7" x14ac:dyDescent="0.35">
      <c r="A105">
        <v>9</v>
      </c>
      <c r="B105">
        <v>360</v>
      </c>
      <c r="C105">
        <v>501.46</v>
      </c>
      <c r="E105">
        <f t="shared" si="3"/>
        <v>9000000</v>
      </c>
      <c r="F105">
        <f t="shared" si="4"/>
        <v>360</v>
      </c>
      <c r="G105">
        <f t="shared" si="5"/>
        <v>501.46</v>
      </c>
    </row>
    <row r="106" spans="1:7" x14ac:dyDescent="0.35">
      <c r="A106">
        <v>8</v>
      </c>
      <c r="B106">
        <v>360</v>
      </c>
      <c r="C106">
        <v>498.91</v>
      </c>
      <c r="E106">
        <f t="shared" si="3"/>
        <v>8000000</v>
      </c>
      <c r="F106">
        <f t="shared" si="4"/>
        <v>360</v>
      </c>
      <c r="G106">
        <f t="shared" si="5"/>
        <v>498.91</v>
      </c>
    </row>
    <row r="107" spans="1:7" x14ac:dyDescent="0.35">
      <c r="A107">
        <v>7</v>
      </c>
      <c r="B107">
        <v>360</v>
      </c>
      <c r="C107">
        <v>496.22</v>
      </c>
      <c r="E107">
        <f t="shared" si="3"/>
        <v>7000000</v>
      </c>
      <c r="F107">
        <f t="shared" si="4"/>
        <v>360</v>
      </c>
      <c r="G107">
        <f t="shared" si="5"/>
        <v>496.22</v>
      </c>
    </row>
    <row r="108" spans="1:7" x14ac:dyDescent="0.35">
      <c r="A108">
        <v>6</v>
      </c>
      <c r="B108">
        <v>360</v>
      </c>
      <c r="C108">
        <v>493.36</v>
      </c>
      <c r="E108">
        <f t="shared" si="3"/>
        <v>6000000</v>
      </c>
      <c r="F108">
        <f t="shared" si="4"/>
        <v>360</v>
      </c>
      <c r="G108">
        <f t="shared" si="5"/>
        <v>493.36</v>
      </c>
    </row>
    <row r="109" spans="1:7" x14ac:dyDescent="0.35">
      <c r="A109">
        <v>5</v>
      </c>
      <c r="B109">
        <v>360</v>
      </c>
      <c r="C109">
        <v>490.32</v>
      </c>
      <c r="E109">
        <f t="shared" si="3"/>
        <v>5000000</v>
      </c>
      <c r="F109">
        <f t="shared" si="4"/>
        <v>360</v>
      </c>
      <c r="G109">
        <f t="shared" si="5"/>
        <v>490.32</v>
      </c>
    </row>
    <row r="110" spans="1:7" x14ac:dyDescent="0.35">
      <c r="A110">
        <v>17</v>
      </c>
      <c r="B110">
        <v>360</v>
      </c>
      <c r="C110">
        <v>518.71</v>
      </c>
      <c r="E110">
        <f t="shared" si="3"/>
        <v>17000000</v>
      </c>
      <c r="F110">
        <f t="shared" si="4"/>
        <v>360</v>
      </c>
      <c r="G110">
        <f t="shared" si="5"/>
        <v>518.71</v>
      </c>
    </row>
    <row r="111" spans="1:7" x14ac:dyDescent="0.35">
      <c r="A111">
        <v>16</v>
      </c>
      <c r="B111">
        <v>360</v>
      </c>
      <c r="C111">
        <v>516.79999999999995</v>
      </c>
      <c r="E111">
        <f t="shared" si="3"/>
        <v>16000000</v>
      </c>
      <c r="F111">
        <f t="shared" si="4"/>
        <v>360</v>
      </c>
      <c r="G111">
        <f t="shared" si="5"/>
        <v>516.79999999999995</v>
      </c>
    </row>
    <row r="112" spans="1:7" x14ac:dyDescent="0.35">
      <c r="A112">
        <v>15</v>
      </c>
      <c r="B112">
        <v>360</v>
      </c>
      <c r="C112">
        <v>514.84</v>
      </c>
      <c r="E112">
        <f t="shared" si="3"/>
        <v>15000000</v>
      </c>
      <c r="F112">
        <f t="shared" si="4"/>
        <v>360</v>
      </c>
      <c r="G112">
        <f t="shared" si="5"/>
        <v>514.84</v>
      </c>
    </row>
    <row r="113" spans="1:7" x14ac:dyDescent="0.35">
      <c r="A113">
        <v>14</v>
      </c>
      <c r="B113">
        <v>360</v>
      </c>
      <c r="C113">
        <v>512.83000000000004</v>
      </c>
      <c r="E113">
        <f t="shared" si="3"/>
        <v>14000000</v>
      </c>
      <c r="F113">
        <f t="shared" si="4"/>
        <v>360</v>
      </c>
      <c r="G113">
        <f t="shared" si="5"/>
        <v>512.83000000000004</v>
      </c>
    </row>
    <row r="114" spans="1:7" x14ac:dyDescent="0.35">
      <c r="A114">
        <v>13</v>
      </c>
      <c r="B114">
        <v>360</v>
      </c>
      <c r="C114">
        <v>510.73</v>
      </c>
      <c r="E114">
        <f t="shared" si="3"/>
        <v>13000000</v>
      </c>
      <c r="F114">
        <f t="shared" si="4"/>
        <v>360</v>
      </c>
      <c r="G114">
        <f t="shared" si="5"/>
        <v>510.73</v>
      </c>
    </row>
    <row r="115" spans="1:7" x14ac:dyDescent="0.35">
      <c r="A115">
        <v>12</v>
      </c>
      <c r="B115">
        <v>360</v>
      </c>
      <c r="C115">
        <v>508.61</v>
      </c>
      <c r="E115">
        <f t="shared" si="3"/>
        <v>12000000</v>
      </c>
      <c r="F115">
        <f t="shared" si="4"/>
        <v>360</v>
      </c>
      <c r="G115">
        <f t="shared" si="5"/>
        <v>508.61</v>
      </c>
    </row>
    <row r="116" spans="1:7" x14ac:dyDescent="0.35">
      <c r="A116">
        <v>11</v>
      </c>
      <c r="B116">
        <v>360</v>
      </c>
      <c r="C116">
        <v>506.28</v>
      </c>
      <c r="E116">
        <f t="shared" si="3"/>
        <v>11000000</v>
      </c>
      <c r="F116">
        <f t="shared" si="4"/>
        <v>360</v>
      </c>
      <c r="G116">
        <f t="shared" si="5"/>
        <v>506.28</v>
      </c>
    </row>
    <row r="117" spans="1:7" x14ac:dyDescent="0.35">
      <c r="A117">
        <v>10</v>
      </c>
      <c r="B117">
        <v>360</v>
      </c>
      <c r="C117">
        <v>503.95</v>
      </c>
      <c r="E117">
        <f t="shared" si="3"/>
        <v>10000000</v>
      </c>
      <c r="F117">
        <f t="shared" si="4"/>
        <v>360</v>
      </c>
      <c r="G117">
        <f t="shared" si="5"/>
        <v>503.95</v>
      </c>
    </row>
    <row r="118" spans="1:7" x14ac:dyDescent="0.35">
      <c r="A118">
        <v>9</v>
      </c>
      <c r="B118">
        <v>360</v>
      </c>
      <c r="C118">
        <v>501.47</v>
      </c>
      <c r="E118">
        <f t="shared" si="3"/>
        <v>9000000</v>
      </c>
      <c r="F118">
        <f t="shared" si="4"/>
        <v>360</v>
      </c>
      <c r="G118">
        <f t="shared" si="5"/>
        <v>501.47</v>
      </c>
    </row>
    <row r="119" spans="1:7" x14ac:dyDescent="0.35">
      <c r="A119">
        <v>8</v>
      </c>
      <c r="B119">
        <v>360</v>
      </c>
      <c r="C119">
        <v>498.92</v>
      </c>
      <c r="E119">
        <f t="shared" si="3"/>
        <v>8000000</v>
      </c>
      <c r="F119">
        <f t="shared" si="4"/>
        <v>360</v>
      </c>
      <c r="G119">
        <f t="shared" si="5"/>
        <v>498.92</v>
      </c>
    </row>
    <row r="120" spans="1:7" x14ac:dyDescent="0.35">
      <c r="A120">
        <v>7</v>
      </c>
      <c r="B120">
        <v>360</v>
      </c>
      <c r="C120">
        <v>496.21</v>
      </c>
      <c r="E120">
        <f t="shared" si="3"/>
        <v>7000000</v>
      </c>
      <c r="F120">
        <f t="shared" si="4"/>
        <v>360</v>
      </c>
      <c r="G120">
        <f t="shared" si="5"/>
        <v>496.21</v>
      </c>
    </row>
    <row r="121" spans="1:7" x14ac:dyDescent="0.35">
      <c r="A121">
        <v>6</v>
      </c>
      <c r="B121">
        <v>360</v>
      </c>
      <c r="C121">
        <v>493.35</v>
      </c>
      <c r="E121">
        <f t="shared" si="3"/>
        <v>6000000</v>
      </c>
      <c r="F121">
        <f t="shared" si="4"/>
        <v>360</v>
      </c>
      <c r="G121">
        <f t="shared" si="5"/>
        <v>493.35</v>
      </c>
    </row>
    <row r="122" spans="1:7" x14ac:dyDescent="0.35">
      <c r="A122">
        <v>5</v>
      </c>
      <c r="B122">
        <v>360</v>
      </c>
      <c r="C122">
        <v>490.34</v>
      </c>
      <c r="E122">
        <f t="shared" si="3"/>
        <v>5000000</v>
      </c>
      <c r="F122">
        <f t="shared" si="4"/>
        <v>360</v>
      </c>
      <c r="G122">
        <f t="shared" si="5"/>
        <v>490.34</v>
      </c>
    </row>
    <row r="123" spans="1:7" x14ac:dyDescent="0.35">
      <c r="A123">
        <v>17</v>
      </c>
      <c r="B123">
        <v>370</v>
      </c>
      <c r="C123">
        <v>498.94</v>
      </c>
      <c r="E123">
        <f t="shared" si="3"/>
        <v>17000000</v>
      </c>
      <c r="F123">
        <f t="shared" si="4"/>
        <v>370</v>
      </c>
      <c r="G123">
        <f t="shared" si="5"/>
        <v>498.94</v>
      </c>
    </row>
    <row r="124" spans="1:7" x14ac:dyDescent="0.35">
      <c r="A124">
        <v>16</v>
      </c>
      <c r="B124">
        <v>370</v>
      </c>
      <c r="C124">
        <v>496.58</v>
      </c>
      <c r="E124">
        <f t="shared" si="3"/>
        <v>16000000</v>
      </c>
      <c r="F124">
        <f t="shared" si="4"/>
        <v>370</v>
      </c>
      <c r="G124">
        <f t="shared" si="5"/>
        <v>496.58</v>
      </c>
    </row>
    <row r="125" spans="1:7" x14ac:dyDescent="0.35">
      <c r="A125">
        <v>15</v>
      </c>
      <c r="B125">
        <v>370</v>
      </c>
      <c r="C125">
        <v>494.18</v>
      </c>
      <c r="E125">
        <f t="shared" si="3"/>
        <v>15000000</v>
      </c>
      <c r="F125">
        <f t="shared" si="4"/>
        <v>370</v>
      </c>
      <c r="G125">
        <f t="shared" si="5"/>
        <v>494.18</v>
      </c>
    </row>
    <row r="126" spans="1:7" x14ac:dyDescent="0.35">
      <c r="A126">
        <v>14</v>
      </c>
      <c r="B126">
        <v>370</v>
      </c>
      <c r="C126">
        <v>491.62</v>
      </c>
      <c r="E126">
        <f t="shared" si="3"/>
        <v>14000000</v>
      </c>
      <c r="F126">
        <f t="shared" si="4"/>
        <v>370</v>
      </c>
      <c r="G126">
        <f t="shared" si="5"/>
        <v>491.62</v>
      </c>
    </row>
    <row r="127" spans="1:7" x14ac:dyDescent="0.35">
      <c r="A127">
        <v>13</v>
      </c>
      <c r="B127">
        <v>370</v>
      </c>
      <c r="C127">
        <v>488.97</v>
      </c>
      <c r="E127">
        <f t="shared" si="3"/>
        <v>13000000</v>
      </c>
      <c r="F127">
        <f t="shared" si="4"/>
        <v>370</v>
      </c>
      <c r="G127">
        <f t="shared" si="5"/>
        <v>488.97</v>
      </c>
    </row>
    <row r="128" spans="1:7" x14ac:dyDescent="0.35">
      <c r="A128">
        <v>12</v>
      </c>
      <c r="B128">
        <v>370</v>
      </c>
      <c r="C128">
        <v>486.18</v>
      </c>
      <c r="E128">
        <f t="shared" si="3"/>
        <v>12000000</v>
      </c>
      <c r="F128">
        <f t="shared" si="4"/>
        <v>370</v>
      </c>
      <c r="G128">
        <f t="shared" si="5"/>
        <v>486.18</v>
      </c>
    </row>
    <row r="129" spans="1:7" x14ac:dyDescent="0.35">
      <c r="A129">
        <v>11</v>
      </c>
      <c r="B129">
        <v>370</v>
      </c>
      <c r="C129">
        <v>483.3</v>
      </c>
      <c r="E129">
        <f t="shared" si="3"/>
        <v>11000000</v>
      </c>
      <c r="F129">
        <f t="shared" si="4"/>
        <v>370</v>
      </c>
      <c r="G129">
        <f t="shared" si="5"/>
        <v>483.3</v>
      </c>
    </row>
    <row r="130" spans="1:7" x14ac:dyDescent="0.35">
      <c r="A130">
        <v>10</v>
      </c>
      <c r="B130">
        <v>370</v>
      </c>
      <c r="C130">
        <v>480.18</v>
      </c>
      <c r="E130">
        <f t="shared" ref="E130:E193" si="6">A130*1000000</f>
        <v>10000000</v>
      </c>
      <c r="F130">
        <f t="shared" si="4"/>
        <v>370</v>
      </c>
      <c r="G130">
        <f t="shared" si="5"/>
        <v>480.18</v>
      </c>
    </row>
    <row r="131" spans="1:7" x14ac:dyDescent="0.35">
      <c r="A131">
        <v>9</v>
      </c>
      <c r="B131">
        <v>370</v>
      </c>
      <c r="C131">
        <v>476.9</v>
      </c>
      <c r="E131">
        <f t="shared" si="6"/>
        <v>9000000</v>
      </c>
      <c r="F131">
        <f t="shared" ref="F131:F194" si="7">B131</f>
        <v>370</v>
      </c>
      <c r="G131">
        <f t="shared" ref="G131:G194" si="8">C131</f>
        <v>476.9</v>
      </c>
    </row>
    <row r="132" spans="1:7" x14ac:dyDescent="0.35">
      <c r="A132">
        <v>8</v>
      </c>
      <c r="B132">
        <v>370</v>
      </c>
      <c r="C132">
        <v>473.37</v>
      </c>
      <c r="E132">
        <f t="shared" si="6"/>
        <v>8000000</v>
      </c>
      <c r="F132">
        <f t="shared" si="7"/>
        <v>370</v>
      </c>
      <c r="G132">
        <f t="shared" si="8"/>
        <v>473.37</v>
      </c>
    </row>
    <row r="133" spans="1:7" x14ac:dyDescent="0.35">
      <c r="A133">
        <v>7</v>
      </c>
      <c r="B133">
        <v>370</v>
      </c>
      <c r="C133">
        <v>469.55</v>
      </c>
      <c r="E133">
        <f t="shared" si="6"/>
        <v>7000000</v>
      </c>
      <c r="F133">
        <f t="shared" si="7"/>
        <v>370</v>
      </c>
      <c r="G133">
        <f t="shared" si="8"/>
        <v>469.55</v>
      </c>
    </row>
    <row r="134" spans="1:7" x14ac:dyDescent="0.35">
      <c r="A134">
        <v>6</v>
      </c>
      <c r="B134">
        <v>370</v>
      </c>
      <c r="C134">
        <v>465.43</v>
      </c>
      <c r="E134">
        <f t="shared" si="6"/>
        <v>6000000</v>
      </c>
      <c r="F134">
        <f t="shared" si="7"/>
        <v>370</v>
      </c>
      <c r="G134">
        <f t="shared" si="8"/>
        <v>465.43</v>
      </c>
    </row>
    <row r="135" spans="1:7" x14ac:dyDescent="0.35">
      <c r="A135">
        <v>17</v>
      </c>
      <c r="B135">
        <v>370</v>
      </c>
      <c r="C135">
        <v>498.93</v>
      </c>
      <c r="E135">
        <f t="shared" si="6"/>
        <v>17000000</v>
      </c>
      <c r="F135">
        <f t="shared" si="7"/>
        <v>370</v>
      </c>
      <c r="G135">
        <f t="shared" si="8"/>
        <v>498.93</v>
      </c>
    </row>
    <row r="136" spans="1:7" x14ac:dyDescent="0.35">
      <c r="A136">
        <v>16</v>
      </c>
      <c r="B136">
        <v>370</v>
      </c>
      <c r="C136">
        <v>496.59</v>
      </c>
      <c r="E136">
        <f t="shared" si="6"/>
        <v>16000000</v>
      </c>
      <c r="F136">
        <f t="shared" si="7"/>
        <v>370</v>
      </c>
      <c r="G136">
        <f t="shared" si="8"/>
        <v>496.59</v>
      </c>
    </row>
    <row r="137" spans="1:7" x14ac:dyDescent="0.35">
      <c r="A137">
        <v>15</v>
      </c>
      <c r="B137">
        <v>370</v>
      </c>
      <c r="C137">
        <v>494.17</v>
      </c>
      <c r="E137">
        <f t="shared" si="6"/>
        <v>15000000</v>
      </c>
      <c r="F137">
        <f t="shared" si="7"/>
        <v>370</v>
      </c>
      <c r="G137">
        <f t="shared" si="8"/>
        <v>494.17</v>
      </c>
    </row>
    <row r="138" spans="1:7" x14ac:dyDescent="0.35">
      <c r="A138">
        <v>14</v>
      </c>
      <c r="B138">
        <v>370</v>
      </c>
      <c r="C138">
        <v>491.66</v>
      </c>
      <c r="E138">
        <f t="shared" si="6"/>
        <v>14000000</v>
      </c>
      <c r="F138">
        <f t="shared" si="7"/>
        <v>370</v>
      </c>
      <c r="G138">
        <f t="shared" si="8"/>
        <v>491.66</v>
      </c>
    </row>
    <row r="139" spans="1:7" x14ac:dyDescent="0.35">
      <c r="A139">
        <v>13</v>
      </c>
      <c r="B139">
        <v>370</v>
      </c>
      <c r="C139">
        <v>488.97</v>
      </c>
      <c r="E139">
        <f t="shared" si="6"/>
        <v>13000000</v>
      </c>
      <c r="F139">
        <f t="shared" si="7"/>
        <v>370</v>
      </c>
      <c r="G139">
        <f t="shared" si="8"/>
        <v>488.97</v>
      </c>
    </row>
    <row r="140" spans="1:7" x14ac:dyDescent="0.35">
      <c r="A140">
        <v>12</v>
      </c>
      <c r="B140">
        <v>370</v>
      </c>
      <c r="C140">
        <v>486.21</v>
      </c>
      <c r="E140">
        <f t="shared" si="6"/>
        <v>12000000</v>
      </c>
      <c r="F140">
        <f t="shared" si="7"/>
        <v>370</v>
      </c>
      <c r="G140">
        <f t="shared" si="8"/>
        <v>486.21</v>
      </c>
    </row>
    <row r="141" spans="1:7" x14ac:dyDescent="0.35">
      <c r="A141">
        <v>11</v>
      </c>
      <c r="B141">
        <v>370</v>
      </c>
      <c r="C141">
        <v>483.27</v>
      </c>
      <c r="E141">
        <f t="shared" si="6"/>
        <v>11000000</v>
      </c>
      <c r="F141">
        <f t="shared" si="7"/>
        <v>370</v>
      </c>
      <c r="G141">
        <f t="shared" si="8"/>
        <v>483.27</v>
      </c>
    </row>
    <row r="142" spans="1:7" x14ac:dyDescent="0.35">
      <c r="A142">
        <v>10</v>
      </c>
      <c r="B142">
        <v>370</v>
      </c>
      <c r="C142">
        <v>480.16</v>
      </c>
      <c r="E142">
        <f t="shared" si="6"/>
        <v>10000000</v>
      </c>
      <c r="F142">
        <f t="shared" si="7"/>
        <v>370</v>
      </c>
      <c r="G142">
        <f t="shared" si="8"/>
        <v>480.16</v>
      </c>
    </row>
    <row r="143" spans="1:7" x14ac:dyDescent="0.35">
      <c r="A143">
        <v>9</v>
      </c>
      <c r="B143">
        <v>370</v>
      </c>
      <c r="C143">
        <v>476.85</v>
      </c>
      <c r="E143">
        <f t="shared" si="6"/>
        <v>9000000</v>
      </c>
      <c r="F143">
        <f t="shared" si="7"/>
        <v>370</v>
      </c>
      <c r="G143">
        <f t="shared" si="8"/>
        <v>476.85</v>
      </c>
    </row>
    <row r="144" spans="1:7" x14ac:dyDescent="0.35">
      <c r="A144">
        <v>8</v>
      </c>
      <c r="B144">
        <v>370</v>
      </c>
      <c r="C144">
        <v>473.29</v>
      </c>
      <c r="E144">
        <f t="shared" si="6"/>
        <v>8000000</v>
      </c>
      <c r="F144">
        <f t="shared" si="7"/>
        <v>370</v>
      </c>
      <c r="G144">
        <f t="shared" si="8"/>
        <v>473.29</v>
      </c>
    </row>
    <row r="145" spans="1:7" x14ac:dyDescent="0.35">
      <c r="A145">
        <v>7</v>
      </c>
      <c r="B145">
        <v>370</v>
      </c>
      <c r="C145">
        <v>469.51</v>
      </c>
      <c r="E145">
        <f t="shared" si="6"/>
        <v>7000000</v>
      </c>
      <c r="F145">
        <f t="shared" si="7"/>
        <v>370</v>
      </c>
      <c r="G145">
        <f t="shared" si="8"/>
        <v>469.51</v>
      </c>
    </row>
    <row r="146" spans="1:7" x14ac:dyDescent="0.35">
      <c r="A146">
        <v>6</v>
      </c>
      <c r="B146">
        <v>370</v>
      </c>
      <c r="C146">
        <v>465.42</v>
      </c>
      <c r="E146">
        <f t="shared" si="6"/>
        <v>6000000</v>
      </c>
      <c r="F146">
        <f t="shared" si="7"/>
        <v>370</v>
      </c>
      <c r="G146">
        <f t="shared" si="8"/>
        <v>465.42</v>
      </c>
    </row>
    <row r="147" spans="1:7" x14ac:dyDescent="0.35">
      <c r="A147">
        <v>17</v>
      </c>
      <c r="B147">
        <v>380</v>
      </c>
      <c r="C147">
        <v>477.07</v>
      </c>
      <c r="E147">
        <f t="shared" si="6"/>
        <v>17000000</v>
      </c>
      <c r="F147">
        <f t="shared" si="7"/>
        <v>380</v>
      </c>
      <c r="G147">
        <f t="shared" si="8"/>
        <v>477.07</v>
      </c>
    </row>
    <row r="148" spans="1:7" x14ac:dyDescent="0.35">
      <c r="A148">
        <v>16</v>
      </c>
      <c r="B148">
        <v>380</v>
      </c>
      <c r="C148">
        <v>474.1</v>
      </c>
      <c r="E148">
        <f t="shared" si="6"/>
        <v>16000000</v>
      </c>
      <c r="F148">
        <f t="shared" si="7"/>
        <v>380</v>
      </c>
      <c r="G148">
        <f t="shared" si="8"/>
        <v>474.1</v>
      </c>
    </row>
    <row r="149" spans="1:7" x14ac:dyDescent="0.35">
      <c r="A149">
        <v>15</v>
      </c>
      <c r="B149">
        <v>380</v>
      </c>
      <c r="C149">
        <v>470.95</v>
      </c>
      <c r="E149">
        <f t="shared" si="6"/>
        <v>15000000</v>
      </c>
      <c r="F149">
        <f t="shared" si="7"/>
        <v>380</v>
      </c>
      <c r="G149">
        <f t="shared" si="8"/>
        <v>470.95</v>
      </c>
    </row>
    <row r="150" spans="1:7" x14ac:dyDescent="0.35">
      <c r="A150">
        <v>14</v>
      </c>
      <c r="B150">
        <v>380</v>
      </c>
      <c r="C150">
        <v>467.59</v>
      </c>
      <c r="E150">
        <f t="shared" si="6"/>
        <v>14000000</v>
      </c>
      <c r="F150">
        <f t="shared" si="7"/>
        <v>380</v>
      </c>
      <c r="G150">
        <f t="shared" si="8"/>
        <v>467.59</v>
      </c>
    </row>
    <row r="151" spans="1:7" x14ac:dyDescent="0.35">
      <c r="A151">
        <v>13</v>
      </c>
      <c r="B151">
        <v>380</v>
      </c>
      <c r="C151">
        <v>464.09</v>
      </c>
      <c r="E151">
        <f t="shared" si="6"/>
        <v>13000000</v>
      </c>
      <c r="F151">
        <f t="shared" si="7"/>
        <v>380</v>
      </c>
      <c r="G151">
        <f t="shared" si="8"/>
        <v>464.09</v>
      </c>
    </row>
    <row r="152" spans="1:7" x14ac:dyDescent="0.35">
      <c r="A152">
        <v>12</v>
      </c>
      <c r="B152">
        <v>380</v>
      </c>
      <c r="C152">
        <v>460.3</v>
      </c>
      <c r="E152">
        <f t="shared" si="6"/>
        <v>12000000</v>
      </c>
      <c r="F152">
        <f t="shared" si="7"/>
        <v>380</v>
      </c>
      <c r="G152">
        <f t="shared" si="8"/>
        <v>460.3</v>
      </c>
    </row>
    <row r="153" spans="1:7" x14ac:dyDescent="0.35">
      <c r="A153">
        <v>11</v>
      </c>
      <c r="B153">
        <v>380</v>
      </c>
      <c r="C153">
        <v>456.2</v>
      </c>
      <c r="E153">
        <f t="shared" si="6"/>
        <v>11000000</v>
      </c>
      <c r="F153">
        <f t="shared" si="7"/>
        <v>380</v>
      </c>
      <c r="G153">
        <f t="shared" si="8"/>
        <v>456.2</v>
      </c>
    </row>
    <row r="154" spans="1:7" x14ac:dyDescent="0.35">
      <c r="A154">
        <v>10</v>
      </c>
      <c r="B154">
        <v>380</v>
      </c>
      <c r="C154">
        <v>451.74</v>
      </c>
      <c r="E154">
        <f t="shared" si="6"/>
        <v>10000000</v>
      </c>
      <c r="F154">
        <f t="shared" si="7"/>
        <v>380</v>
      </c>
      <c r="G154">
        <f t="shared" si="8"/>
        <v>451.74</v>
      </c>
    </row>
    <row r="155" spans="1:7" x14ac:dyDescent="0.35">
      <c r="A155">
        <v>9</v>
      </c>
      <c r="B155">
        <v>380</v>
      </c>
      <c r="C155">
        <v>446.86</v>
      </c>
      <c r="E155">
        <f t="shared" si="6"/>
        <v>9000000</v>
      </c>
      <c r="F155">
        <f t="shared" si="7"/>
        <v>380</v>
      </c>
      <c r="G155">
        <f t="shared" si="8"/>
        <v>446.86</v>
      </c>
    </row>
    <row r="156" spans="1:7" x14ac:dyDescent="0.35">
      <c r="A156">
        <v>8</v>
      </c>
      <c r="B156">
        <v>380</v>
      </c>
      <c r="C156">
        <v>441.37</v>
      </c>
      <c r="E156">
        <f t="shared" si="6"/>
        <v>8000000</v>
      </c>
      <c r="F156">
        <f t="shared" si="7"/>
        <v>380</v>
      </c>
      <c r="G156">
        <f t="shared" si="8"/>
        <v>441.37</v>
      </c>
    </row>
    <row r="157" spans="1:7" x14ac:dyDescent="0.35">
      <c r="A157">
        <v>17</v>
      </c>
      <c r="B157">
        <v>380</v>
      </c>
      <c r="C157">
        <v>477.05</v>
      </c>
      <c r="E157">
        <f t="shared" si="6"/>
        <v>17000000</v>
      </c>
      <c r="F157">
        <f t="shared" si="7"/>
        <v>380</v>
      </c>
      <c r="G157">
        <f t="shared" si="8"/>
        <v>477.05</v>
      </c>
    </row>
    <row r="158" spans="1:7" x14ac:dyDescent="0.35">
      <c r="A158">
        <v>16</v>
      </c>
      <c r="B158">
        <v>380</v>
      </c>
      <c r="C158">
        <v>474.09</v>
      </c>
      <c r="E158">
        <f t="shared" si="6"/>
        <v>16000000</v>
      </c>
      <c r="F158">
        <f t="shared" si="7"/>
        <v>380</v>
      </c>
      <c r="G158">
        <f t="shared" si="8"/>
        <v>474.09</v>
      </c>
    </row>
    <row r="159" spans="1:7" x14ac:dyDescent="0.35">
      <c r="A159">
        <v>15</v>
      </c>
      <c r="B159">
        <v>380</v>
      </c>
      <c r="C159">
        <v>470.91</v>
      </c>
      <c r="E159">
        <f t="shared" si="6"/>
        <v>15000000</v>
      </c>
      <c r="F159">
        <f t="shared" si="7"/>
        <v>380</v>
      </c>
      <c r="G159">
        <f t="shared" si="8"/>
        <v>470.91</v>
      </c>
    </row>
    <row r="160" spans="1:7" x14ac:dyDescent="0.35">
      <c r="A160">
        <v>14</v>
      </c>
      <c r="B160">
        <v>380</v>
      </c>
      <c r="C160">
        <v>467.61</v>
      </c>
      <c r="E160">
        <f t="shared" si="6"/>
        <v>14000000</v>
      </c>
      <c r="F160">
        <f t="shared" si="7"/>
        <v>380</v>
      </c>
      <c r="G160">
        <f t="shared" si="8"/>
        <v>467.61</v>
      </c>
    </row>
    <row r="161" spans="1:7" x14ac:dyDescent="0.35">
      <c r="A161">
        <v>13</v>
      </c>
      <c r="B161">
        <v>380</v>
      </c>
      <c r="C161">
        <v>464.04</v>
      </c>
      <c r="E161">
        <f t="shared" si="6"/>
        <v>13000000</v>
      </c>
      <c r="F161">
        <f t="shared" si="7"/>
        <v>380</v>
      </c>
      <c r="G161">
        <f t="shared" si="8"/>
        <v>464.04</v>
      </c>
    </row>
    <row r="162" spans="1:7" x14ac:dyDescent="0.35">
      <c r="A162">
        <v>12</v>
      </c>
      <c r="B162">
        <v>380</v>
      </c>
      <c r="C162">
        <v>460.26</v>
      </c>
      <c r="E162">
        <f t="shared" si="6"/>
        <v>12000000</v>
      </c>
      <c r="F162">
        <f t="shared" si="7"/>
        <v>380</v>
      </c>
      <c r="G162">
        <f t="shared" si="8"/>
        <v>460.26</v>
      </c>
    </row>
    <row r="163" spans="1:7" x14ac:dyDescent="0.35">
      <c r="A163">
        <v>11</v>
      </c>
      <c r="B163">
        <v>380</v>
      </c>
      <c r="C163">
        <v>456.21</v>
      </c>
      <c r="E163">
        <f t="shared" si="6"/>
        <v>11000000</v>
      </c>
      <c r="F163">
        <f t="shared" si="7"/>
        <v>380</v>
      </c>
      <c r="G163">
        <f t="shared" si="8"/>
        <v>456.21</v>
      </c>
    </row>
    <row r="164" spans="1:7" x14ac:dyDescent="0.35">
      <c r="A164">
        <v>10</v>
      </c>
      <c r="B164">
        <v>380</v>
      </c>
      <c r="C164">
        <v>451.76</v>
      </c>
      <c r="E164">
        <f t="shared" si="6"/>
        <v>10000000</v>
      </c>
      <c r="F164">
        <f t="shared" si="7"/>
        <v>380</v>
      </c>
      <c r="G164">
        <f t="shared" si="8"/>
        <v>451.76</v>
      </c>
    </row>
    <row r="165" spans="1:7" x14ac:dyDescent="0.35">
      <c r="A165">
        <v>9.5</v>
      </c>
      <c r="B165">
        <v>380</v>
      </c>
      <c r="C165">
        <v>449.38</v>
      </c>
      <c r="E165">
        <f t="shared" si="6"/>
        <v>9500000</v>
      </c>
      <c r="F165">
        <f t="shared" si="7"/>
        <v>380</v>
      </c>
      <c r="G165">
        <f t="shared" si="8"/>
        <v>449.38</v>
      </c>
    </row>
    <row r="166" spans="1:7" x14ac:dyDescent="0.35">
      <c r="A166">
        <v>9</v>
      </c>
      <c r="B166">
        <v>380</v>
      </c>
      <c r="C166">
        <v>446.83</v>
      </c>
      <c r="E166">
        <f t="shared" si="6"/>
        <v>9000000</v>
      </c>
      <c r="F166">
        <f t="shared" si="7"/>
        <v>380</v>
      </c>
      <c r="G166">
        <f t="shared" si="8"/>
        <v>446.83</v>
      </c>
    </row>
    <row r="167" spans="1:7" x14ac:dyDescent="0.35">
      <c r="A167">
        <v>8.5</v>
      </c>
      <c r="B167">
        <v>380</v>
      </c>
      <c r="C167">
        <v>444.1</v>
      </c>
      <c r="E167">
        <f t="shared" si="6"/>
        <v>8500000</v>
      </c>
      <c r="F167">
        <f t="shared" si="7"/>
        <v>380</v>
      </c>
      <c r="G167">
        <f t="shared" si="8"/>
        <v>444.1</v>
      </c>
    </row>
    <row r="168" spans="1:7" x14ac:dyDescent="0.35">
      <c r="A168">
        <v>8</v>
      </c>
      <c r="B168">
        <v>380</v>
      </c>
      <c r="C168">
        <v>441.24</v>
      </c>
      <c r="E168">
        <f t="shared" si="6"/>
        <v>8000000</v>
      </c>
      <c r="F168">
        <f t="shared" si="7"/>
        <v>380</v>
      </c>
      <c r="G168">
        <f t="shared" si="8"/>
        <v>441.24</v>
      </c>
    </row>
    <row r="169" spans="1:7" x14ac:dyDescent="0.35">
      <c r="A169">
        <v>7.5</v>
      </c>
      <c r="B169">
        <v>380</v>
      </c>
      <c r="C169">
        <v>438.18</v>
      </c>
      <c r="E169">
        <f t="shared" si="6"/>
        <v>7500000</v>
      </c>
      <c r="F169">
        <f t="shared" si="7"/>
        <v>380</v>
      </c>
      <c r="G169">
        <f t="shared" si="8"/>
        <v>438.18</v>
      </c>
    </row>
    <row r="170" spans="1:7" x14ac:dyDescent="0.35">
      <c r="A170">
        <v>7.2</v>
      </c>
      <c r="B170">
        <v>380</v>
      </c>
      <c r="C170">
        <v>436.23</v>
      </c>
      <c r="E170">
        <f t="shared" si="6"/>
        <v>7200000</v>
      </c>
      <c r="F170">
        <f t="shared" si="7"/>
        <v>380</v>
      </c>
      <c r="G170">
        <f t="shared" si="8"/>
        <v>436.23</v>
      </c>
    </row>
    <row r="171" spans="1:7" x14ac:dyDescent="0.35">
      <c r="A171">
        <v>17</v>
      </c>
      <c r="B171">
        <v>390</v>
      </c>
      <c r="C171">
        <v>452.35</v>
      </c>
      <c r="E171">
        <f t="shared" si="6"/>
        <v>17000000</v>
      </c>
      <c r="F171">
        <f t="shared" si="7"/>
        <v>390</v>
      </c>
      <c r="G171">
        <f t="shared" si="8"/>
        <v>452.35</v>
      </c>
    </row>
    <row r="172" spans="1:7" x14ac:dyDescent="0.35">
      <c r="A172">
        <v>16</v>
      </c>
      <c r="B172">
        <v>390</v>
      </c>
      <c r="C172">
        <v>448.4</v>
      </c>
      <c r="E172">
        <f t="shared" si="6"/>
        <v>16000000</v>
      </c>
      <c r="F172">
        <f t="shared" si="7"/>
        <v>390</v>
      </c>
      <c r="G172">
        <f t="shared" si="8"/>
        <v>448.4</v>
      </c>
    </row>
    <row r="173" spans="1:7" x14ac:dyDescent="0.35">
      <c r="A173">
        <v>15</v>
      </c>
      <c r="B173">
        <v>390</v>
      </c>
      <c r="C173">
        <v>444.1</v>
      </c>
      <c r="E173">
        <f t="shared" si="6"/>
        <v>15000000</v>
      </c>
      <c r="F173">
        <f t="shared" si="7"/>
        <v>390</v>
      </c>
      <c r="G173">
        <f t="shared" si="8"/>
        <v>444.1</v>
      </c>
    </row>
    <row r="174" spans="1:7" x14ac:dyDescent="0.35">
      <c r="A174">
        <v>14</v>
      </c>
      <c r="B174">
        <v>390</v>
      </c>
      <c r="C174">
        <v>439.45</v>
      </c>
      <c r="E174">
        <f t="shared" si="6"/>
        <v>14000000</v>
      </c>
      <c r="F174">
        <f t="shared" si="7"/>
        <v>390</v>
      </c>
      <c r="G174">
        <f t="shared" si="8"/>
        <v>439.45</v>
      </c>
    </row>
    <row r="175" spans="1:7" x14ac:dyDescent="0.35">
      <c r="A175">
        <v>13</v>
      </c>
      <c r="B175">
        <v>390</v>
      </c>
      <c r="C175">
        <v>434.3</v>
      </c>
      <c r="E175">
        <f t="shared" si="6"/>
        <v>13000000</v>
      </c>
      <c r="F175">
        <f t="shared" si="7"/>
        <v>390</v>
      </c>
      <c r="G175">
        <f t="shared" si="8"/>
        <v>434.3</v>
      </c>
    </row>
    <row r="176" spans="1:7" x14ac:dyDescent="0.35">
      <c r="A176">
        <v>12</v>
      </c>
      <c r="B176">
        <v>390</v>
      </c>
      <c r="C176">
        <v>428.54</v>
      </c>
      <c r="E176">
        <f t="shared" si="6"/>
        <v>12000000</v>
      </c>
      <c r="F176">
        <f t="shared" si="7"/>
        <v>390</v>
      </c>
      <c r="G176">
        <f t="shared" si="8"/>
        <v>428.54</v>
      </c>
    </row>
    <row r="177" spans="1:7" x14ac:dyDescent="0.35">
      <c r="A177">
        <v>11</v>
      </c>
      <c r="B177">
        <v>390</v>
      </c>
      <c r="C177">
        <v>421.93</v>
      </c>
      <c r="E177">
        <f t="shared" si="6"/>
        <v>11000000</v>
      </c>
      <c r="F177">
        <f t="shared" si="7"/>
        <v>390</v>
      </c>
      <c r="G177">
        <f t="shared" si="8"/>
        <v>421.93</v>
      </c>
    </row>
    <row r="178" spans="1:7" x14ac:dyDescent="0.35">
      <c r="A178">
        <v>10</v>
      </c>
      <c r="B178">
        <v>390</v>
      </c>
      <c r="C178">
        <v>414.06</v>
      </c>
      <c r="E178">
        <f t="shared" si="6"/>
        <v>10000000</v>
      </c>
      <c r="F178">
        <f t="shared" si="7"/>
        <v>390</v>
      </c>
      <c r="G178">
        <f t="shared" si="8"/>
        <v>414.06</v>
      </c>
    </row>
    <row r="179" spans="1:7" x14ac:dyDescent="0.35">
      <c r="A179">
        <v>9</v>
      </c>
      <c r="B179">
        <v>390</v>
      </c>
      <c r="C179">
        <v>404.32</v>
      </c>
      <c r="E179">
        <f t="shared" si="6"/>
        <v>9000000</v>
      </c>
      <c r="F179">
        <f t="shared" si="7"/>
        <v>390</v>
      </c>
      <c r="G179">
        <f t="shared" si="8"/>
        <v>404.32</v>
      </c>
    </row>
    <row r="180" spans="1:7" x14ac:dyDescent="0.35">
      <c r="A180">
        <v>17</v>
      </c>
      <c r="B180">
        <v>390</v>
      </c>
      <c r="C180">
        <v>452.26</v>
      </c>
      <c r="E180">
        <f t="shared" si="6"/>
        <v>17000000</v>
      </c>
      <c r="F180">
        <f t="shared" si="7"/>
        <v>390</v>
      </c>
      <c r="G180">
        <f t="shared" si="8"/>
        <v>452.26</v>
      </c>
    </row>
    <row r="181" spans="1:7" x14ac:dyDescent="0.35">
      <c r="A181">
        <v>16</v>
      </c>
      <c r="B181">
        <v>390</v>
      </c>
      <c r="C181">
        <v>448.27</v>
      </c>
      <c r="E181">
        <f t="shared" si="6"/>
        <v>16000000</v>
      </c>
      <c r="F181">
        <f t="shared" si="7"/>
        <v>390</v>
      </c>
      <c r="G181">
        <f t="shared" si="8"/>
        <v>448.27</v>
      </c>
    </row>
    <row r="182" spans="1:7" x14ac:dyDescent="0.35">
      <c r="A182">
        <v>15</v>
      </c>
      <c r="B182">
        <v>390</v>
      </c>
      <c r="C182">
        <v>443.99</v>
      </c>
      <c r="E182">
        <f t="shared" si="6"/>
        <v>15000000</v>
      </c>
      <c r="F182">
        <f t="shared" si="7"/>
        <v>390</v>
      </c>
      <c r="G182">
        <f t="shared" si="8"/>
        <v>443.99</v>
      </c>
    </row>
    <row r="183" spans="1:7" x14ac:dyDescent="0.35">
      <c r="A183">
        <v>14</v>
      </c>
      <c r="B183">
        <v>390</v>
      </c>
      <c r="C183">
        <v>439.29</v>
      </c>
      <c r="E183">
        <f t="shared" si="6"/>
        <v>14000000</v>
      </c>
      <c r="F183">
        <f t="shared" si="7"/>
        <v>390</v>
      </c>
      <c r="G183">
        <f t="shared" si="8"/>
        <v>439.29</v>
      </c>
    </row>
    <row r="184" spans="1:7" x14ac:dyDescent="0.35">
      <c r="A184">
        <v>13</v>
      </c>
      <c r="B184">
        <v>390</v>
      </c>
      <c r="C184">
        <v>434.16</v>
      </c>
      <c r="E184">
        <f t="shared" si="6"/>
        <v>13000000</v>
      </c>
      <c r="F184">
        <f t="shared" si="7"/>
        <v>390</v>
      </c>
      <c r="G184">
        <f t="shared" si="8"/>
        <v>434.16</v>
      </c>
    </row>
    <row r="185" spans="1:7" x14ac:dyDescent="0.35">
      <c r="A185">
        <v>12</v>
      </c>
      <c r="B185">
        <v>390</v>
      </c>
      <c r="C185">
        <v>428.41</v>
      </c>
      <c r="E185">
        <f t="shared" si="6"/>
        <v>12000000</v>
      </c>
      <c r="F185">
        <f t="shared" si="7"/>
        <v>390</v>
      </c>
      <c r="G185">
        <f t="shared" si="8"/>
        <v>428.41</v>
      </c>
    </row>
    <row r="186" spans="1:7" x14ac:dyDescent="0.35">
      <c r="A186">
        <v>11</v>
      </c>
      <c r="B186">
        <v>390</v>
      </c>
      <c r="C186">
        <v>421.77</v>
      </c>
      <c r="E186">
        <f t="shared" si="6"/>
        <v>11000000</v>
      </c>
      <c r="F186">
        <f t="shared" si="7"/>
        <v>390</v>
      </c>
      <c r="G186">
        <f t="shared" si="8"/>
        <v>421.77</v>
      </c>
    </row>
    <row r="187" spans="1:7" x14ac:dyDescent="0.35">
      <c r="A187">
        <v>10.5</v>
      </c>
      <c r="B187">
        <v>390</v>
      </c>
      <c r="C187">
        <v>418.04</v>
      </c>
      <c r="E187">
        <f t="shared" si="6"/>
        <v>10500000</v>
      </c>
      <c r="F187">
        <f t="shared" si="7"/>
        <v>390</v>
      </c>
      <c r="G187">
        <f t="shared" si="8"/>
        <v>418.04</v>
      </c>
    </row>
    <row r="188" spans="1:7" x14ac:dyDescent="0.35">
      <c r="A188">
        <v>10</v>
      </c>
      <c r="B188">
        <v>390</v>
      </c>
      <c r="C188">
        <v>413.92</v>
      </c>
      <c r="E188">
        <f t="shared" si="6"/>
        <v>10000000</v>
      </c>
      <c r="F188">
        <f t="shared" si="7"/>
        <v>390</v>
      </c>
      <c r="G188">
        <f t="shared" si="8"/>
        <v>413.92</v>
      </c>
    </row>
    <row r="189" spans="1:7" x14ac:dyDescent="0.35">
      <c r="A189">
        <v>9.5</v>
      </c>
      <c r="B189">
        <v>390</v>
      </c>
      <c r="C189">
        <v>409.36</v>
      </c>
      <c r="E189">
        <f t="shared" si="6"/>
        <v>9500000</v>
      </c>
      <c r="F189">
        <f t="shared" si="7"/>
        <v>390</v>
      </c>
      <c r="G189">
        <f t="shared" si="8"/>
        <v>409.36</v>
      </c>
    </row>
    <row r="190" spans="1:7" x14ac:dyDescent="0.35">
      <c r="A190">
        <v>9</v>
      </c>
      <c r="B190">
        <v>390</v>
      </c>
      <c r="C190">
        <v>404.17</v>
      </c>
      <c r="E190">
        <f t="shared" si="6"/>
        <v>9000000</v>
      </c>
      <c r="F190">
        <f t="shared" si="7"/>
        <v>390</v>
      </c>
      <c r="G190">
        <f t="shared" si="8"/>
        <v>404.17</v>
      </c>
    </row>
    <row r="191" spans="1:7" x14ac:dyDescent="0.35">
      <c r="A191">
        <v>8.8000000000000007</v>
      </c>
      <c r="B191">
        <v>390</v>
      </c>
      <c r="C191">
        <v>401.82</v>
      </c>
      <c r="E191">
        <f t="shared" si="6"/>
        <v>8800000</v>
      </c>
      <c r="F191">
        <f t="shared" si="7"/>
        <v>390</v>
      </c>
      <c r="G191">
        <f t="shared" si="8"/>
        <v>401.82</v>
      </c>
    </row>
    <row r="192" spans="1:7" x14ac:dyDescent="0.35">
      <c r="A192">
        <v>17</v>
      </c>
      <c r="B192">
        <v>400</v>
      </c>
      <c r="C192">
        <v>422.98</v>
      </c>
      <c r="E192">
        <f t="shared" si="6"/>
        <v>17000000</v>
      </c>
      <c r="F192">
        <f t="shared" si="7"/>
        <v>400</v>
      </c>
      <c r="G192">
        <f t="shared" si="8"/>
        <v>422.98</v>
      </c>
    </row>
    <row r="193" spans="1:7" x14ac:dyDescent="0.35">
      <c r="A193">
        <v>16</v>
      </c>
      <c r="B193">
        <v>400</v>
      </c>
      <c r="C193">
        <v>417.21</v>
      </c>
      <c r="E193">
        <f t="shared" si="6"/>
        <v>16000000</v>
      </c>
      <c r="F193">
        <f t="shared" si="7"/>
        <v>400</v>
      </c>
      <c r="G193">
        <f t="shared" si="8"/>
        <v>417.21</v>
      </c>
    </row>
    <row r="194" spans="1:7" x14ac:dyDescent="0.35">
      <c r="A194">
        <v>15</v>
      </c>
      <c r="B194">
        <v>400</v>
      </c>
      <c r="C194">
        <v>410.62</v>
      </c>
      <c r="E194">
        <f t="shared" ref="E194:E203" si="9">A194*1000000</f>
        <v>15000000</v>
      </c>
      <c r="F194">
        <f t="shared" si="7"/>
        <v>400</v>
      </c>
      <c r="G194">
        <f t="shared" si="8"/>
        <v>410.62</v>
      </c>
    </row>
    <row r="195" spans="1:7" x14ac:dyDescent="0.35">
      <c r="A195">
        <v>14</v>
      </c>
      <c r="B195">
        <v>400</v>
      </c>
      <c r="C195">
        <v>403.1</v>
      </c>
      <c r="E195">
        <f t="shared" si="9"/>
        <v>14000000</v>
      </c>
      <c r="F195">
        <f t="shared" ref="F195:F203" si="10">B195</f>
        <v>400</v>
      </c>
      <c r="G195">
        <f t="shared" ref="G195:G203" si="11">C195</f>
        <v>403.1</v>
      </c>
    </row>
    <row r="196" spans="1:7" x14ac:dyDescent="0.35">
      <c r="A196">
        <v>13</v>
      </c>
      <c r="B196">
        <v>400</v>
      </c>
      <c r="C196">
        <v>394.01</v>
      </c>
      <c r="E196">
        <f t="shared" si="9"/>
        <v>13000000</v>
      </c>
      <c r="F196">
        <f t="shared" si="10"/>
        <v>400</v>
      </c>
      <c r="G196">
        <f t="shared" si="11"/>
        <v>394.01</v>
      </c>
    </row>
    <row r="197" spans="1:7" x14ac:dyDescent="0.35">
      <c r="A197">
        <v>12.5</v>
      </c>
      <c r="B197">
        <v>400</v>
      </c>
      <c r="C197">
        <v>388.47</v>
      </c>
      <c r="E197">
        <f t="shared" si="9"/>
        <v>12500000</v>
      </c>
      <c r="F197">
        <f t="shared" si="10"/>
        <v>400</v>
      </c>
      <c r="G197">
        <f t="shared" si="11"/>
        <v>388.47</v>
      </c>
    </row>
    <row r="198" spans="1:7" x14ac:dyDescent="0.35">
      <c r="A198">
        <v>12</v>
      </c>
      <c r="B198">
        <v>400</v>
      </c>
      <c r="C198">
        <v>382.36</v>
      </c>
      <c r="E198">
        <f t="shared" si="9"/>
        <v>12000000</v>
      </c>
      <c r="F198">
        <f t="shared" si="10"/>
        <v>400</v>
      </c>
      <c r="G198">
        <f t="shared" si="11"/>
        <v>382.36</v>
      </c>
    </row>
    <row r="199" spans="1:7" x14ac:dyDescent="0.35">
      <c r="A199">
        <v>11.5</v>
      </c>
      <c r="B199">
        <v>400</v>
      </c>
      <c r="C199">
        <v>374.92</v>
      </c>
      <c r="E199">
        <f t="shared" si="9"/>
        <v>11500000</v>
      </c>
      <c r="F199">
        <f t="shared" si="10"/>
        <v>400</v>
      </c>
      <c r="G199">
        <f t="shared" si="11"/>
        <v>374.92</v>
      </c>
    </row>
    <row r="200" spans="1:7" x14ac:dyDescent="0.35">
      <c r="A200">
        <v>11</v>
      </c>
      <c r="B200">
        <v>400</v>
      </c>
      <c r="C200">
        <v>365.46</v>
      </c>
      <c r="E200">
        <f t="shared" si="9"/>
        <v>11000000</v>
      </c>
      <c r="F200">
        <f t="shared" si="10"/>
        <v>400</v>
      </c>
      <c r="G200">
        <f t="shared" si="11"/>
        <v>365.46</v>
      </c>
    </row>
    <row r="201" spans="1:7" x14ac:dyDescent="0.35">
      <c r="A201">
        <v>10.5</v>
      </c>
      <c r="B201">
        <v>400</v>
      </c>
      <c r="C201">
        <v>351.71</v>
      </c>
      <c r="E201">
        <f t="shared" si="9"/>
        <v>10500000</v>
      </c>
      <c r="F201">
        <f t="shared" si="10"/>
        <v>400</v>
      </c>
      <c r="G201">
        <f t="shared" si="11"/>
        <v>351.71</v>
      </c>
    </row>
    <row r="202" spans="1:7" x14ac:dyDescent="0.35">
      <c r="A202">
        <v>10.4</v>
      </c>
      <c r="B202">
        <v>400</v>
      </c>
      <c r="C202">
        <v>347.32</v>
      </c>
      <c r="E202">
        <f t="shared" si="9"/>
        <v>10400000</v>
      </c>
      <c r="F202">
        <f t="shared" si="10"/>
        <v>400</v>
      </c>
      <c r="G202">
        <f t="shared" si="11"/>
        <v>347.32</v>
      </c>
    </row>
    <row r="203" spans="1:7" x14ac:dyDescent="0.35">
      <c r="A203">
        <v>10.35</v>
      </c>
      <c r="B203">
        <v>400</v>
      </c>
      <c r="C203">
        <v>345.56</v>
      </c>
      <c r="E203">
        <f t="shared" si="9"/>
        <v>10350000</v>
      </c>
      <c r="F203">
        <f t="shared" si="10"/>
        <v>400</v>
      </c>
      <c r="G203">
        <f t="shared" si="11"/>
        <v>345.56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A11E8-1926-45BC-A2E3-6CA231B1F47A}">
  <dimension ref="A1:G163"/>
  <sheetViews>
    <sheetView workbookViewId="0">
      <selection activeCell="C78" sqref="C78"/>
    </sheetView>
  </sheetViews>
  <sheetFormatPr defaultRowHeight="14.5" x14ac:dyDescent="0.35"/>
  <cols>
    <col min="5" max="5" width="10" bestFit="1" customWidth="1"/>
  </cols>
  <sheetData>
    <row r="1" spans="1:7" x14ac:dyDescent="0.35">
      <c r="A1" t="s">
        <v>19</v>
      </c>
      <c r="B1" t="s">
        <v>10</v>
      </c>
      <c r="C1" t="s">
        <v>11</v>
      </c>
      <c r="E1" t="s">
        <v>0</v>
      </c>
      <c r="F1" t="s">
        <v>1</v>
      </c>
      <c r="G1" t="s">
        <v>2</v>
      </c>
    </row>
    <row r="2" spans="1:7" x14ac:dyDescent="0.35">
      <c r="A2">
        <v>200</v>
      </c>
      <c r="B2">
        <v>310</v>
      </c>
      <c r="C2">
        <v>693.15</v>
      </c>
      <c r="E2">
        <f>A2*1000000</f>
        <v>200000000</v>
      </c>
      <c r="F2">
        <f>B2</f>
        <v>310</v>
      </c>
      <c r="G2">
        <f>C2</f>
        <v>693.15</v>
      </c>
    </row>
    <row r="3" spans="1:7" x14ac:dyDescent="0.35">
      <c r="A3">
        <v>190</v>
      </c>
      <c r="B3">
        <v>310</v>
      </c>
      <c r="C3">
        <v>689.73</v>
      </c>
      <c r="E3">
        <f t="shared" ref="E3:E66" si="0">A3*1000000</f>
        <v>190000000</v>
      </c>
      <c r="F3">
        <f t="shared" ref="F3:F66" si="1">B3</f>
        <v>310</v>
      </c>
      <c r="G3">
        <f t="shared" ref="G3:G66" si="2">C3</f>
        <v>689.73</v>
      </c>
    </row>
    <row r="4" spans="1:7" x14ac:dyDescent="0.35">
      <c r="A4">
        <v>180</v>
      </c>
      <c r="B4">
        <v>310</v>
      </c>
      <c r="C4">
        <v>686.37</v>
      </c>
      <c r="E4">
        <f t="shared" si="0"/>
        <v>180000000</v>
      </c>
      <c r="F4">
        <f t="shared" si="1"/>
        <v>310</v>
      </c>
      <c r="G4">
        <f t="shared" si="2"/>
        <v>686.37</v>
      </c>
    </row>
    <row r="5" spans="1:7" x14ac:dyDescent="0.35">
      <c r="A5">
        <v>170</v>
      </c>
      <c r="B5">
        <v>310</v>
      </c>
      <c r="C5">
        <v>682.74</v>
      </c>
      <c r="E5">
        <f t="shared" si="0"/>
        <v>170000000</v>
      </c>
      <c r="F5">
        <f t="shared" si="1"/>
        <v>310</v>
      </c>
      <c r="G5">
        <f t="shared" si="2"/>
        <v>682.74</v>
      </c>
    </row>
    <row r="6" spans="1:7" x14ac:dyDescent="0.35">
      <c r="A6">
        <v>160</v>
      </c>
      <c r="B6">
        <v>310</v>
      </c>
      <c r="C6">
        <v>678.88</v>
      </c>
      <c r="E6">
        <f t="shared" si="0"/>
        <v>160000000</v>
      </c>
      <c r="F6">
        <f t="shared" si="1"/>
        <v>310</v>
      </c>
      <c r="G6">
        <f t="shared" si="2"/>
        <v>678.88</v>
      </c>
    </row>
    <row r="7" spans="1:7" x14ac:dyDescent="0.35">
      <c r="A7">
        <v>150</v>
      </c>
      <c r="B7">
        <v>310</v>
      </c>
      <c r="C7">
        <v>675.04</v>
      </c>
      <c r="E7">
        <f t="shared" si="0"/>
        <v>150000000</v>
      </c>
      <c r="F7">
        <f t="shared" si="1"/>
        <v>310</v>
      </c>
      <c r="G7">
        <f t="shared" si="2"/>
        <v>675.04</v>
      </c>
    </row>
    <row r="8" spans="1:7" x14ac:dyDescent="0.35">
      <c r="A8">
        <v>140</v>
      </c>
      <c r="B8">
        <v>310</v>
      </c>
      <c r="C8">
        <v>671.05</v>
      </c>
      <c r="E8">
        <f t="shared" si="0"/>
        <v>140000000</v>
      </c>
      <c r="F8">
        <f t="shared" si="1"/>
        <v>310</v>
      </c>
      <c r="G8">
        <f t="shared" si="2"/>
        <v>671.05</v>
      </c>
    </row>
    <row r="9" spans="1:7" x14ac:dyDescent="0.35">
      <c r="A9">
        <v>130</v>
      </c>
      <c r="B9">
        <v>310</v>
      </c>
      <c r="C9">
        <v>666.73</v>
      </c>
      <c r="E9">
        <f t="shared" si="0"/>
        <v>130000000</v>
      </c>
      <c r="F9">
        <f t="shared" si="1"/>
        <v>310</v>
      </c>
      <c r="G9">
        <f t="shared" si="2"/>
        <v>666.73</v>
      </c>
    </row>
    <row r="10" spans="1:7" x14ac:dyDescent="0.35">
      <c r="A10">
        <v>120</v>
      </c>
      <c r="B10">
        <v>310</v>
      </c>
      <c r="C10">
        <v>662.38</v>
      </c>
      <c r="E10">
        <f t="shared" si="0"/>
        <v>120000000</v>
      </c>
      <c r="F10">
        <f t="shared" si="1"/>
        <v>310</v>
      </c>
      <c r="G10">
        <f t="shared" si="2"/>
        <v>662.38</v>
      </c>
    </row>
    <row r="11" spans="1:7" x14ac:dyDescent="0.35">
      <c r="A11">
        <v>110</v>
      </c>
      <c r="B11">
        <v>310</v>
      </c>
      <c r="C11">
        <v>657.9</v>
      </c>
      <c r="E11">
        <f t="shared" si="0"/>
        <v>110000000</v>
      </c>
      <c r="F11">
        <f t="shared" si="1"/>
        <v>310</v>
      </c>
      <c r="G11">
        <f t="shared" si="2"/>
        <v>657.9</v>
      </c>
    </row>
    <row r="12" spans="1:7" x14ac:dyDescent="0.35">
      <c r="A12">
        <v>100</v>
      </c>
      <c r="B12">
        <v>310</v>
      </c>
      <c r="C12">
        <v>653.02</v>
      </c>
      <c r="E12">
        <f t="shared" si="0"/>
        <v>100000000</v>
      </c>
      <c r="F12">
        <f t="shared" si="1"/>
        <v>310</v>
      </c>
      <c r="G12">
        <f t="shared" si="2"/>
        <v>653.02</v>
      </c>
    </row>
    <row r="13" spans="1:7" x14ac:dyDescent="0.35">
      <c r="A13">
        <v>90</v>
      </c>
      <c r="B13">
        <v>310</v>
      </c>
      <c r="C13">
        <v>648.12</v>
      </c>
      <c r="E13">
        <f t="shared" si="0"/>
        <v>90000000</v>
      </c>
      <c r="F13">
        <f t="shared" si="1"/>
        <v>310</v>
      </c>
      <c r="G13">
        <f t="shared" si="2"/>
        <v>648.12</v>
      </c>
    </row>
    <row r="14" spans="1:7" x14ac:dyDescent="0.35">
      <c r="A14">
        <v>80</v>
      </c>
      <c r="B14">
        <v>310</v>
      </c>
      <c r="C14">
        <v>642.82000000000005</v>
      </c>
      <c r="E14">
        <f t="shared" si="0"/>
        <v>80000000</v>
      </c>
      <c r="F14">
        <f t="shared" si="1"/>
        <v>310</v>
      </c>
      <c r="G14">
        <f t="shared" si="2"/>
        <v>642.82000000000005</v>
      </c>
    </row>
    <row r="15" spans="1:7" x14ac:dyDescent="0.35">
      <c r="A15">
        <v>70</v>
      </c>
      <c r="B15">
        <v>310</v>
      </c>
      <c r="C15">
        <v>637.23</v>
      </c>
      <c r="E15">
        <f t="shared" si="0"/>
        <v>70000000</v>
      </c>
      <c r="F15">
        <f t="shared" si="1"/>
        <v>310</v>
      </c>
      <c r="G15">
        <f t="shared" si="2"/>
        <v>637.23</v>
      </c>
    </row>
    <row r="16" spans="1:7" x14ac:dyDescent="0.35">
      <c r="A16">
        <v>60</v>
      </c>
      <c r="B16">
        <v>310</v>
      </c>
      <c r="C16">
        <v>631.29999999999995</v>
      </c>
      <c r="E16">
        <f t="shared" si="0"/>
        <v>60000000</v>
      </c>
      <c r="F16">
        <f t="shared" si="1"/>
        <v>310</v>
      </c>
      <c r="G16">
        <f t="shared" si="2"/>
        <v>631.29999999999995</v>
      </c>
    </row>
    <row r="17" spans="1:7" x14ac:dyDescent="0.35">
      <c r="A17">
        <v>55</v>
      </c>
      <c r="B17">
        <v>310</v>
      </c>
      <c r="C17">
        <v>628.13</v>
      </c>
      <c r="E17">
        <f t="shared" si="0"/>
        <v>55000000</v>
      </c>
      <c r="F17">
        <f t="shared" si="1"/>
        <v>310</v>
      </c>
      <c r="G17">
        <f t="shared" si="2"/>
        <v>628.13</v>
      </c>
    </row>
    <row r="18" spans="1:7" x14ac:dyDescent="0.35">
      <c r="A18">
        <v>50</v>
      </c>
      <c r="B18">
        <v>310</v>
      </c>
      <c r="C18">
        <v>624.98</v>
      </c>
      <c r="E18">
        <f t="shared" si="0"/>
        <v>50000000</v>
      </c>
      <c r="F18">
        <f t="shared" si="1"/>
        <v>310</v>
      </c>
      <c r="G18">
        <f t="shared" si="2"/>
        <v>624.98</v>
      </c>
    </row>
    <row r="19" spans="1:7" x14ac:dyDescent="0.35">
      <c r="A19">
        <v>45</v>
      </c>
      <c r="B19">
        <v>310</v>
      </c>
      <c r="C19">
        <v>621.64</v>
      </c>
      <c r="E19">
        <f t="shared" si="0"/>
        <v>45000000</v>
      </c>
      <c r="F19">
        <f t="shared" si="1"/>
        <v>310</v>
      </c>
      <c r="G19">
        <f t="shared" si="2"/>
        <v>621.64</v>
      </c>
    </row>
    <row r="20" spans="1:7" x14ac:dyDescent="0.35">
      <c r="A20">
        <v>40</v>
      </c>
      <c r="B20">
        <v>310</v>
      </c>
      <c r="C20">
        <v>618.02</v>
      </c>
      <c r="E20">
        <f t="shared" si="0"/>
        <v>40000000</v>
      </c>
      <c r="F20">
        <f t="shared" si="1"/>
        <v>310</v>
      </c>
      <c r="G20">
        <f t="shared" si="2"/>
        <v>618.02</v>
      </c>
    </row>
    <row r="21" spans="1:7" x14ac:dyDescent="0.35">
      <c r="A21">
        <v>35</v>
      </c>
      <c r="B21">
        <v>310</v>
      </c>
      <c r="C21">
        <v>614.42999999999995</v>
      </c>
      <c r="E21">
        <f t="shared" si="0"/>
        <v>35000000</v>
      </c>
      <c r="F21">
        <f t="shared" si="1"/>
        <v>310</v>
      </c>
      <c r="G21">
        <f t="shared" si="2"/>
        <v>614.42999999999995</v>
      </c>
    </row>
    <row r="22" spans="1:7" x14ac:dyDescent="0.35">
      <c r="A22">
        <v>200</v>
      </c>
      <c r="B22">
        <v>320</v>
      </c>
      <c r="C22">
        <v>685.45</v>
      </c>
      <c r="E22">
        <f t="shared" si="0"/>
        <v>200000000</v>
      </c>
      <c r="F22">
        <f t="shared" si="1"/>
        <v>320</v>
      </c>
      <c r="G22">
        <f t="shared" si="2"/>
        <v>685.45</v>
      </c>
    </row>
    <row r="23" spans="1:7" x14ac:dyDescent="0.35">
      <c r="A23">
        <v>190</v>
      </c>
      <c r="B23">
        <v>320</v>
      </c>
      <c r="C23">
        <v>681.82</v>
      </c>
      <c r="E23">
        <f t="shared" si="0"/>
        <v>190000000</v>
      </c>
      <c r="F23">
        <f t="shared" si="1"/>
        <v>320</v>
      </c>
      <c r="G23">
        <f t="shared" si="2"/>
        <v>681.82</v>
      </c>
    </row>
    <row r="24" spans="1:7" x14ac:dyDescent="0.35">
      <c r="A24">
        <v>180</v>
      </c>
      <c r="B24">
        <v>320</v>
      </c>
      <c r="C24">
        <v>678.27</v>
      </c>
      <c r="E24">
        <f t="shared" si="0"/>
        <v>180000000</v>
      </c>
      <c r="F24">
        <f t="shared" si="1"/>
        <v>320</v>
      </c>
      <c r="G24">
        <f t="shared" si="2"/>
        <v>678.27</v>
      </c>
    </row>
    <row r="25" spans="1:7" x14ac:dyDescent="0.35">
      <c r="A25">
        <v>170</v>
      </c>
      <c r="B25">
        <v>320</v>
      </c>
      <c r="C25">
        <v>674.51</v>
      </c>
      <c r="E25">
        <f t="shared" si="0"/>
        <v>170000000</v>
      </c>
      <c r="F25">
        <f t="shared" si="1"/>
        <v>320</v>
      </c>
      <c r="G25">
        <f t="shared" si="2"/>
        <v>674.51</v>
      </c>
    </row>
    <row r="26" spans="1:7" x14ac:dyDescent="0.35">
      <c r="A26">
        <v>160</v>
      </c>
      <c r="B26">
        <v>320</v>
      </c>
      <c r="C26">
        <v>670.49</v>
      </c>
      <c r="E26">
        <f t="shared" si="0"/>
        <v>160000000</v>
      </c>
      <c r="F26">
        <f t="shared" si="1"/>
        <v>320</v>
      </c>
      <c r="G26">
        <f t="shared" si="2"/>
        <v>670.49</v>
      </c>
    </row>
    <row r="27" spans="1:7" x14ac:dyDescent="0.35">
      <c r="A27">
        <v>150</v>
      </c>
      <c r="B27">
        <v>320</v>
      </c>
      <c r="C27">
        <v>666.43</v>
      </c>
      <c r="E27">
        <f t="shared" si="0"/>
        <v>150000000</v>
      </c>
      <c r="F27">
        <f t="shared" si="1"/>
        <v>320</v>
      </c>
      <c r="G27">
        <f t="shared" si="2"/>
        <v>666.43</v>
      </c>
    </row>
    <row r="28" spans="1:7" x14ac:dyDescent="0.35">
      <c r="A28">
        <v>140</v>
      </c>
      <c r="B28">
        <v>320</v>
      </c>
      <c r="C28">
        <v>662.33</v>
      </c>
      <c r="E28">
        <f t="shared" si="0"/>
        <v>140000000</v>
      </c>
      <c r="F28">
        <f t="shared" si="1"/>
        <v>320</v>
      </c>
      <c r="G28">
        <f t="shared" si="2"/>
        <v>662.33</v>
      </c>
    </row>
    <row r="29" spans="1:7" x14ac:dyDescent="0.35">
      <c r="A29">
        <v>130</v>
      </c>
      <c r="B29">
        <v>320</v>
      </c>
      <c r="C29">
        <v>657.86</v>
      </c>
      <c r="E29">
        <f t="shared" si="0"/>
        <v>130000000</v>
      </c>
      <c r="F29">
        <f t="shared" si="1"/>
        <v>320</v>
      </c>
      <c r="G29">
        <f t="shared" si="2"/>
        <v>657.86</v>
      </c>
    </row>
    <row r="30" spans="1:7" x14ac:dyDescent="0.35">
      <c r="A30">
        <v>120</v>
      </c>
      <c r="B30">
        <v>320</v>
      </c>
      <c r="C30">
        <v>653.23</v>
      </c>
      <c r="E30">
        <f t="shared" si="0"/>
        <v>120000000</v>
      </c>
      <c r="F30">
        <f t="shared" si="1"/>
        <v>320</v>
      </c>
      <c r="G30">
        <f t="shared" si="2"/>
        <v>653.23</v>
      </c>
    </row>
    <row r="31" spans="1:7" x14ac:dyDescent="0.35">
      <c r="A31">
        <v>110</v>
      </c>
      <c r="B31">
        <v>320</v>
      </c>
      <c r="C31">
        <v>648.55999999999995</v>
      </c>
      <c r="E31">
        <f t="shared" si="0"/>
        <v>110000000</v>
      </c>
      <c r="F31">
        <f t="shared" si="1"/>
        <v>320</v>
      </c>
      <c r="G31">
        <f t="shared" si="2"/>
        <v>648.55999999999995</v>
      </c>
    </row>
    <row r="32" spans="1:7" x14ac:dyDescent="0.35">
      <c r="A32">
        <v>100</v>
      </c>
      <c r="B32">
        <v>320</v>
      </c>
      <c r="C32">
        <v>643.41</v>
      </c>
      <c r="E32">
        <f t="shared" si="0"/>
        <v>100000000</v>
      </c>
      <c r="F32">
        <f t="shared" si="1"/>
        <v>320</v>
      </c>
      <c r="G32">
        <f t="shared" si="2"/>
        <v>643.41</v>
      </c>
    </row>
    <row r="33" spans="1:7" x14ac:dyDescent="0.35">
      <c r="A33">
        <v>90</v>
      </c>
      <c r="B33">
        <v>320</v>
      </c>
      <c r="C33">
        <v>638.23</v>
      </c>
      <c r="E33">
        <f t="shared" si="0"/>
        <v>90000000</v>
      </c>
      <c r="F33">
        <f t="shared" si="1"/>
        <v>320</v>
      </c>
      <c r="G33">
        <f t="shared" si="2"/>
        <v>638.23</v>
      </c>
    </row>
    <row r="34" spans="1:7" x14ac:dyDescent="0.35">
      <c r="A34">
        <v>80</v>
      </c>
      <c r="B34">
        <v>320</v>
      </c>
      <c r="C34">
        <v>632.55999999999995</v>
      </c>
      <c r="E34">
        <f t="shared" si="0"/>
        <v>80000000</v>
      </c>
      <c r="F34">
        <f t="shared" si="1"/>
        <v>320</v>
      </c>
      <c r="G34">
        <f t="shared" si="2"/>
        <v>632.55999999999995</v>
      </c>
    </row>
    <row r="35" spans="1:7" x14ac:dyDescent="0.35">
      <c r="A35">
        <v>70</v>
      </c>
      <c r="B35">
        <v>320</v>
      </c>
      <c r="C35">
        <v>626.62</v>
      </c>
      <c r="E35">
        <f t="shared" si="0"/>
        <v>70000000</v>
      </c>
      <c r="F35">
        <f t="shared" si="1"/>
        <v>320</v>
      </c>
      <c r="G35">
        <f t="shared" si="2"/>
        <v>626.62</v>
      </c>
    </row>
    <row r="36" spans="1:7" x14ac:dyDescent="0.35">
      <c r="A36">
        <v>60</v>
      </c>
      <c r="B36">
        <v>320</v>
      </c>
      <c r="C36">
        <v>620.22</v>
      </c>
      <c r="E36">
        <f t="shared" si="0"/>
        <v>60000000</v>
      </c>
      <c r="F36">
        <f t="shared" si="1"/>
        <v>320</v>
      </c>
      <c r="G36">
        <f t="shared" si="2"/>
        <v>620.22</v>
      </c>
    </row>
    <row r="37" spans="1:7" x14ac:dyDescent="0.35">
      <c r="A37">
        <v>55</v>
      </c>
      <c r="B37">
        <v>320</v>
      </c>
      <c r="C37">
        <v>616.83000000000004</v>
      </c>
      <c r="E37">
        <f t="shared" si="0"/>
        <v>55000000</v>
      </c>
      <c r="F37">
        <f t="shared" si="1"/>
        <v>320</v>
      </c>
      <c r="G37">
        <f t="shared" si="2"/>
        <v>616.83000000000004</v>
      </c>
    </row>
    <row r="38" spans="1:7" x14ac:dyDescent="0.35">
      <c r="A38">
        <v>50</v>
      </c>
      <c r="B38">
        <v>320</v>
      </c>
      <c r="C38">
        <v>613.39</v>
      </c>
      <c r="E38">
        <f t="shared" si="0"/>
        <v>50000000</v>
      </c>
      <c r="F38">
        <f t="shared" si="1"/>
        <v>320</v>
      </c>
      <c r="G38">
        <f t="shared" si="2"/>
        <v>613.39</v>
      </c>
    </row>
    <row r="39" spans="1:7" x14ac:dyDescent="0.35">
      <c r="A39">
        <v>45</v>
      </c>
      <c r="B39">
        <v>320</v>
      </c>
      <c r="C39">
        <v>603.80999999999995</v>
      </c>
      <c r="E39">
        <f t="shared" si="0"/>
        <v>45000000</v>
      </c>
      <c r="F39">
        <f t="shared" si="1"/>
        <v>320</v>
      </c>
      <c r="G39">
        <f t="shared" si="2"/>
        <v>603.80999999999995</v>
      </c>
    </row>
    <row r="40" spans="1:7" x14ac:dyDescent="0.35">
      <c r="A40">
        <v>40</v>
      </c>
      <c r="B40">
        <v>320</v>
      </c>
      <c r="C40">
        <v>605.84</v>
      </c>
      <c r="E40">
        <f t="shared" si="0"/>
        <v>40000000</v>
      </c>
      <c r="F40">
        <f t="shared" si="1"/>
        <v>320</v>
      </c>
      <c r="G40">
        <f t="shared" si="2"/>
        <v>605.84</v>
      </c>
    </row>
    <row r="41" spans="1:7" x14ac:dyDescent="0.35">
      <c r="A41">
        <v>35</v>
      </c>
      <c r="B41">
        <v>320</v>
      </c>
      <c r="C41">
        <v>601.98</v>
      </c>
      <c r="E41">
        <f t="shared" si="0"/>
        <v>35000000</v>
      </c>
      <c r="F41">
        <f t="shared" si="1"/>
        <v>320</v>
      </c>
      <c r="G41">
        <f t="shared" si="2"/>
        <v>601.98</v>
      </c>
    </row>
    <row r="42" spans="1:7" x14ac:dyDescent="0.35">
      <c r="A42">
        <v>200</v>
      </c>
      <c r="B42">
        <v>340</v>
      </c>
      <c r="C42">
        <v>669.99</v>
      </c>
      <c r="E42">
        <f t="shared" si="0"/>
        <v>200000000</v>
      </c>
      <c r="F42">
        <f t="shared" si="1"/>
        <v>340</v>
      </c>
      <c r="G42">
        <f t="shared" si="2"/>
        <v>669.99</v>
      </c>
    </row>
    <row r="43" spans="1:7" x14ac:dyDescent="0.35">
      <c r="A43">
        <v>190</v>
      </c>
      <c r="B43">
        <v>340</v>
      </c>
      <c r="C43">
        <v>666.21</v>
      </c>
      <c r="E43">
        <f t="shared" si="0"/>
        <v>190000000</v>
      </c>
      <c r="F43">
        <f t="shared" si="1"/>
        <v>340</v>
      </c>
      <c r="G43">
        <f t="shared" si="2"/>
        <v>666.21</v>
      </c>
    </row>
    <row r="44" spans="1:7" x14ac:dyDescent="0.35">
      <c r="A44">
        <v>180</v>
      </c>
      <c r="B44">
        <v>340</v>
      </c>
      <c r="C44">
        <v>662.36</v>
      </c>
      <c r="E44">
        <f t="shared" si="0"/>
        <v>180000000</v>
      </c>
      <c r="F44">
        <f t="shared" si="1"/>
        <v>340</v>
      </c>
      <c r="G44">
        <f t="shared" si="2"/>
        <v>662.36</v>
      </c>
    </row>
    <row r="45" spans="1:7" x14ac:dyDescent="0.35">
      <c r="A45">
        <v>170</v>
      </c>
      <c r="B45">
        <v>340</v>
      </c>
      <c r="C45">
        <v>658.19</v>
      </c>
      <c r="E45">
        <f t="shared" si="0"/>
        <v>170000000</v>
      </c>
      <c r="F45">
        <f t="shared" si="1"/>
        <v>340</v>
      </c>
      <c r="G45">
        <f t="shared" si="2"/>
        <v>658.19</v>
      </c>
    </row>
    <row r="46" spans="1:7" x14ac:dyDescent="0.35">
      <c r="A46">
        <v>160</v>
      </c>
      <c r="B46">
        <v>340</v>
      </c>
      <c r="C46">
        <v>653.83000000000004</v>
      </c>
      <c r="E46">
        <f t="shared" si="0"/>
        <v>160000000</v>
      </c>
      <c r="F46">
        <f t="shared" si="1"/>
        <v>340</v>
      </c>
      <c r="G46">
        <f t="shared" si="2"/>
        <v>653.83000000000004</v>
      </c>
    </row>
    <row r="47" spans="1:7" x14ac:dyDescent="0.35">
      <c r="A47">
        <v>150</v>
      </c>
      <c r="B47">
        <v>340</v>
      </c>
      <c r="C47">
        <v>649.49</v>
      </c>
      <c r="E47">
        <f t="shared" si="0"/>
        <v>150000000</v>
      </c>
      <c r="F47">
        <f t="shared" si="1"/>
        <v>340</v>
      </c>
      <c r="G47">
        <f t="shared" si="2"/>
        <v>649.49</v>
      </c>
    </row>
    <row r="48" spans="1:7" x14ac:dyDescent="0.35">
      <c r="A48">
        <v>140</v>
      </c>
      <c r="B48">
        <v>340</v>
      </c>
      <c r="C48">
        <v>644.78</v>
      </c>
      <c r="E48">
        <f t="shared" si="0"/>
        <v>140000000</v>
      </c>
      <c r="F48">
        <f t="shared" si="1"/>
        <v>340</v>
      </c>
      <c r="G48">
        <f t="shared" si="2"/>
        <v>644.78</v>
      </c>
    </row>
    <row r="49" spans="1:7" x14ac:dyDescent="0.35">
      <c r="A49">
        <v>130</v>
      </c>
      <c r="B49">
        <v>340</v>
      </c>
      <c r="C49">
        <v>639.97</v>
      </c>
      <c r="E49">
        <f t="shared" si="0"/>
        <v>130000000</v>
      </c>
      <c r="F49">
        <f t="shared" si="1"/>
        <v>340</v>
      </c>
      <c r="G49">
        <f t="shared" si="2"/>
        <v>639.97</v>
      </c>
    </row>
    <row r="50" spans="1:7" x14ac:dyDescent="0.35">
      <c r="A50">
        <v>120</v>
      </c>
      <c r="B50">
        <v>340</v>
      </c>
      <c r="C50">
        <v>634.95000000000005</v>
      </c>
      <c r="E50">
        <f t="shared" si="0"/>
        <v>120000000</v>
      </c>
      <c r="F50">
        <f t="shared" si="1"/>
        <v>340</v>
      </c>
      <c r="G50">
        <f t="shared" si="2"/>
        <v>634.95000000000005</v>
      </c>
    </row>
    <row r="51" spans="1:7" x14ac:dyDescent="0.35">
      <c r="A51">
        <v>110</v>
      </c>
      <c r="B51">
        <v>340</v>
      </c>
      <c r="C51">
        <v>629.54</v>
      </c>
      <c r="E51">
        <f t="shared" si="0"/>
        <v>110000000</v>
      </c>
      <c r="F51">
        <f t="shared" si="1"/>
        <v>340</v>
      </c>
      <c r="G51">
        <f t="shared" si="2"/>
        <v>629.54</v>
      </c>
    </row>
    <row r="52" spans="1:7" x14ac:dyDescent="0.35">
      <c r="A52">
        <v>100</v>
      </c>
      <c r="B52">
        <v>340</v>
      </c>
      <c r="C52">
        <v>624.04</v>
      </c>
      <c r="E52">
        <f t="shared" si="0"/>
        <v>100000000</v>
      </c>
      <c r="F52">
        <f t="shared" si="1"/>
        <v>340</v>
      </c>
      <c r="G52">
        <f t="shared" si="2"/>
        <v>624.04</v>
      </c>
    </row>
    <row r="53" spans="1:7" x14ac:dyDescent="0.35">
      <c r="A53">
        <v>90</v>
      </c>
      <c r="B53">
        <v>340</v>
      </c>
      <c r="C53">
        <v>617.94000000000005</v>
      </c>
      <c r="E53">
        <f t="shared" si="0"/>
        <v>90000000</v>
      </c>
      <c r="F53">
        <f t="shared" si="1"/>
        <v>340</v>
      </c>
      <c r="G53">
        <f t="shared" si="2"/>
        <v>617.94000000000005</v>
      </c>
    </row>
    <row r="54" spans="1:7" x14ac:dyDescent="0.35">
      <c r="A54">
        <v>80</v>
      </c>
      <c r="B54">
        <v>340</v>
      </c>
      <c r="C54">
        <v>611.73</v>
      </c>
      <c r="E54">
        <f t="shared" si="0"/>
        <v>80000000</v>
      </c>
      <c r="F54">
        <f t="shared" si="1"/>
        <v>340</v>
      </c>
      <c r="G54">
        <f t="shared" si="2"/>
        <v>611.73</v>
      </c>
    </row>
    <row r="55" spans="1:7" x14ac:dyDescent="0.35">
      <c r="A55">
        <v>75</v>
      </c>
      <c r="B55">
        <v>340</v>
      </c>
      <c r="C55">
        <v>608.30999999999995</v>
      </c>
      <c r="E55">
        <f t="shared" si="0"/>
        <v>75000000</v>
      </c>
      <c r="F55">
        <f t="shared" si="1"/>
        <v>340</v>
      </c>
      <c r="G55">
        <f t="shared" si="2"/>
        <v>608.30999999999995</v>
      </c>
    </row>
    <row r="56" spans="1:7" x14ac:dyDescent="0.35">
      <c r="A56">
        <v>70</v>
      </c>
      <c r="B56">
        <v>340</v>
      </c>
      <c r="C56">
        <v>604.79</v>
      </c>
      <c r="E56">
        <f t="shared" si="0"/>
        <v>70000000</v>
      </c>
      <c r="F56">
        <f t="shared" si="1"/>
        <v>340</v>
      </c>
      <c r="G56">
        <f t="shared" si="2"/>
        <v>604.79</v>
      </c>
    </row>
    <row r="57" spans="1:7" x14ac:dyDescent="0.35">
      <c r="A57">
        <v>65</v>
      </c>
      <c r="B57">
        <v>340</v>
      </c>
      <c r="C57">
        <v>601.30999999999995</v>
      </c>
      <c r="E57">
        <f t="shared" si="0"/>
        <v>65000000</v>
      </c>
      <c r="F57">
        <f t="shared" si="1"/>
        <v>340</v>
      </c>
      <c r="G57">
        <f t="shared" si="2"/>
        <v>601.30999999999995</v>
      </c>
    </row>
    <row r="58" spans="1:7" x14ac:dyDescent="0.35">
      <c r="A58">
        <v>60</v>
      </c>
      <c r="B58">
        <v>340</v>
      </c>
      <c r="C58">
        <v>597.51</v>
      </c>
      <c r="E58">
        <f t="shared" si="0"/>
        <v>60000000</v>
      </c>
      <c r="F58">
        <f t="shared" si="1"/>
        <v>340</v>
      </c>
      <c r="G58">
        <f t="shared" si="2"/>
        <v>597.51</v>
      </c>
    </row>
    <row r="59" spans="1:7" x14ac:dyDescent="0.35">
      <c r="A59">
        <v>55</v>
      </c>
      <c r="B59">
        <v>340</v>
      </c>
      <c r="C59">
        <v>593.47</v>
      </c>
      <c r="E59">
        <f t="shared" si="0"/>
        <v>55000000</v>
      </c>
      <c r="F59">
        <f t="shared" si="1"/>
        <v>340</v>
      </c>
      <c r="G59">
        <f t="shared" si="2"/>
        <v>593.47</v>
      </c>
    </row>
    <row r="60" spans="1:7" x14ac:dyDescent="0.35">
      <c r="A60">
        <v>50</v>
      </c>
      <c r="B60">
        <v>340</v>
      </c>
      <c r="C60">
        <v>589.39</v>
      </c>
      <c r="E60">
        <f t="shared" si="0"/>
        <v>50000000</v>
      </c>
      <c r="F60">
        <f t="shared" si="1"/>
        <v>340</v>
      </c>
      <c r="G60">
        <f t="shared" si="2"/>
        <v>589.39</v>
      </c>
    </row>
    <row r="61" spans="1:7" x14ac:dyDescent="0.35">
      <c r="A61">
        <v>45</v>
      </c>
      <c r="B61">
        <v>340</v>
      </c>
      <c r="C61">
        <v>585</v>
      </c>
      <c r="E61">
        <f t="shared" si="0"/>
        <v>45000000</v>
      </c>
      <c r="F61">
        <f t="shared" si="1"/>
        <v>340</v>
      </c>
      <c r="G61">
        <f t="shared" si="2"/>
        <v>585</v>
      </c>
    </row>
    <row r="62" spans="1:7" x14ac:dyDescent="0.35">
      <c r="A62">
        <v>40</v>
      </c>
      <c r="B62">
        <v>340</v>
      </c>
      <c r="C62">
        <v>580.46</v>
      </c>
      <c r="E62">
        <f t="shared" si="0"/>
        <v>40000000</v>
      </c>
      <c r="F62">
        <f t="shared" si="1"/>
        <v>340</v>
      </c>
      <c r="G62">
        <f t="shared" si="2"/>
        <v>580.46</v>
      </c>
    </row>
    <row r="63" spans="1:7" x14ac:dyDescent="0.35">
      <c r="A63">
        <v>35</v>
      </c>
      <c r="B63">
        <v>340</v>
      </c>
      <c r="C63">
        <v>575.58000000000004</v>
      </c>
      <c r="E63">
        <f t="shared" si="0"/>
        <v>35000000</v>
      </c>
      <c r="F63">
        <f t="shared" si="1"/>
        <v>340</v>
      </c>
      <c r="G63">
        <f t="shared" si="2"/>
        <v>575.58000000000004</v>
      </c>
    </row>
    <row r="64" spans="1:7" x14ac:dyDescent="0.35">
      <c r="A64">
        <v>200</v>
      </c>
      <c r="B64">
        <v>360</v>
      </c>
      <c r="C64">
        <v>654.45000000000005</v>
      </c>
      <c r="E64">
        <f t="shared" si="0"/>
        <v>200000000</v>
      </c>
      <c r="F64">
        <f t="shared" si="1"/>
        <v>360</v>
      </c>
      <c r="G64">
        <f t="shared" si="2"/>
        <v>654.45000000000005</v>
      </c>
    </row>
    <row r="65" spans="1:7" x14ac:dyDescent="0.35">
      <c r="A65">
        <v>190</v>
      </c>
      <c r="B65">
        <v>360</v>
      </c>
      <c r="C65">
        <v>650.41</v>
      </c>
      <c r="E65">
        <f t="shared" si="0"/>
        <v>190000000</v>
      </c>
      <c r="F65">
        <f t="shared" si="1"/>
        <v>360</v>
      </c>
      <c r="G65">
        <f t="shared" si="2"/>
        <v>650.41</v>
      </c>
    </row>
    <row r="66" spans="1:7" x14ac:dyDescent="0.35">
      <c r="A66">
        <v>180</v>
      </c>
      <c r="B66">
        <v>360</v>
      </c>
      <c r="C66">
        <v>646.04</v>
      </c>
      <c r="E66">
        <f t="shared" si="0"/>
        <v>180000000</v>
      </c>
      <c r="F66">
        <f t="shared" si="1"/>
        <v>360</v>
      </c>
      <c r="G66">
        <f t="shared" si="2"/>
        <v>646.04</v>
      </c>
    </row>
    <row r="67" spans="1:7" x14ac:dyDescent="0.35">
      <c r="A67">
        <v>170</v>
      </c>
      <c r="B67">
        <v>360</v>
      </c>
      <c r="C67">
        <v>641.47</v>
      </c>
      <c r="E67">
        <f t="shared" ref="E67:E130" si="3">A67*1000000</f>
        <v>170000000</v>
      </c>
      <c r="F67">
        <f t="shared" ref="F67:F130" si="4">B67</f>
        <v>360</v>
      </c>
      <c r="G67">
        <f t="shared" ref="G67:G130" si="5">C67</f>
        <v>641.47</v>
      </c>
    </row>
    <row r="68" spans="1:7" x14ac:dyDescent="0.35">
      <c r="A68">
        <v>160</v>
      </c>
      <c r="B68">
        <v>360</v>
      </c>
      <c r="C68">
        <v>636.91999999999996</v>
      </c>
      <c r="E68">
        <f t="shared" si="3"/>
        <v>160000000</v>
      </c>
      <c r="F68">
        <f t="shared" si="4"/>
        <v>360</v>
      </c>
      <c r="G68">
        <f t="shared" si="5"/>
        <v>636.91999999999996</v>
      </c>
    </row>
    <row r="69" spans="1:7" x14ac:dyDescent="0.35">
      <c r="A69">
        <v>150</v>
      </c>
      <c r="B69">
        <v>360</v>
      </c>
      <c r="C69">
        <v>632.08000000000004</v>
      </c>
      <c r="E69">
        <f t="shared" si="3"/>
        <v>150000000</v>
      </c>
      <c r="F69">
        <f t="shared" si="4"/>
        <v>360</v>
      </c>
      <c r="G69">
        <f t="shared" si="5"/>
        <v>632.08000000000004</v>
      </c>
    </row>
    <row r="70" spans="1:7" x14ac:dyDescent="0.35">
      <c r="A70">
        <v>140</v>
      </c>
      <c r="B70">
        <v>360</v>
      </c>
      <c r="C70">
        <v>626.95000000000005</v>
      </c>
      <c r="E70">
        <f t="shared" si="3"/>
        <v>140000000</v>
      </c>
      <c r="F70">
        <f t="shared" si="4"/>
        <v>360</v>
      </c>
      <c r="G70">
        <f t="shared" si="5"/>
        <v>626.95000000000005</v>
      </c>
    </row>
    <row r="71" spans="1:7" x14ac:dyDescent="0.35">
      <c r="A71">
        <v>130</v>
      </c>
      <c r="B71">
        <v>360</v>
      </c>
      <c r="C71">
        <v>621.75</v>
      </c>
      <c r="E71">
        <f t="shared" si="3"/>
        <v>130000000</v>
      </c>
      <c r="F71">
        <f t="shared" si="4"/>
        <v>360</v>
      </c>
      <c r="G71">
        <f t="shared" si="5"/>
        <v>621.75</v>
      </c>
    </row>
    <row r="72" spans="1:7" x14ac:dyDescent="0.35">
      <c r="A72">
        <v>120</v>
      </c>
      <c r="B72">
        <v>360</v>
      </c>
      <c r="C72">
        <v>616.07000000000005</v>
      </c>
      <c r="E72">
        <f t="shared" si="3"/>
        <v>120000000</v>
      </c>
      <c r="F72">
        <f t="shared" si="4"/>
        <v>360</v>
      </c>
      <c r="G72">
        <f t="shared" si="5"/>
        <v>616.07000000000005</v>
      </c>
    </row>
    <row r="73" spans="1:7" x14ac:dyDescent="0.35">
      <c r="A73">
        <v>110</v>
      </c>
      <c r="B73">
        <v>360</v>
      </c>
      <c r="C73">
        <v>610.29</v>
      </c>
      <c r="E73">
        <f t="shared" si="3"/>
        <v>110000000</v>
      </c>
      <c r="F73">
        <f t="shared" si="4"/>
        <v>360</v>
      </c>
      <c r="G73">
        <f t="shared" si="5"/>
        <v>610.29</v>
      </c>
    </row>
    <row r="74" spans="1:7" x14ac:dyDescent="0.35">
      <c r="A74">
        <v>100</v>
      </c>
      <c r="B74">
        <v>360</v>
      </c>
      <c r="C74">
        <v>603.97</v>
      </c>
      <c r="E74">
        <f t="shared" si="3"/>
        <v>100000000</v>
      </c>
      <c r="F74">
        <f t="shared" si="4"/>
        <v>360</v>
      </c>
      <c r="G74">
        <f t="shared" si="5"/>
        <v>603.97</v>
      </c>
    </row>
    <row r="75" spans="1:7" x14ac:dyDescent="0.35">
      <c r="A75">
        <v>95</v>
      </c>
      <c r="B75">
        <v>360</v>
      </c>
      <c r="C75">
        <v>600.75</v>
      </c>
      <c r="E75">
        <f t="shared" si="3"/>
        <v>95000000</v>
      </c>
      <c r="F75">
        <f t="shared" si="4"/>
        <v>360</v>
      </c>
      <c r="G75">
        <f t="shared" si="5"/>
        <v>600.75</v>
      </c>
    </row>
    <row r="76" spans="1:7" x14ac:dyDescent="0.35">
      <c r="A76">
        <v>90</v>
      </c>
      <c r="B76">
        <v>360</v>
      </c>
      <c r="C76">
        <v>597.33000000000004</v>
      </c>
      <c r="E76">
        <f t="shared" si="3"/>
        <v>90000000</v>
      </c>
      <c r="F76">
        <f t="shared" si="4"/>
        <v>360</v>
      </c>
      <c r="G76">
        <f t="shared" si="5"/>
        <v>597.33000000000004</v>
      </c>
    </row>
    <row r="77" spans="1:7" x14ac:dyDescent="0.35">
      <c r="A77">
        <v>85</v>
      </c>
      <c r="B77">
        <v>360</v>
      </c>
      <c r="C77">
        <v>593.69000000000005</v>
      </c>
      <c r="E77">
        <f t="shared" si="3"/>
        <v>85000000</v>
      </c>
      <c r="F77">
        <f t="shared" si="4"/>
        <v>360</v>
      </c>
      <c r="G77">
        <f t="shared" si="5"/>
        <v>593.69000000000005</v>
      </c>
    </row>
    <row r="78" spans="1:7" x14ac:dyDescent="0.35">
      <c r="A78">
        <v>80</v>
      </c>
      <c r="B78">
        <v>360</v>
      </c>
      <c r="C78">
        <v>590.14</v>
      </c>
      <c r="E78">
        <f t="shared" si="3"/>
        <v>80000000</v>
      </c>
      <c r="F78">
        <f t="shared" si="4"/>
        <v>360</v>
      </c>
      <c r="G78">
        <f t="shared" si="5"/>
        <v>590.14</v>
      </c>
    </row>
    <row r="79" spans="1:7" x14ac:dyDescent="0.35">
      <c r="A79">
        <v>75</v>
      </c>
      <c r="B79">
        <v>360</v>
      </c>
      <c r="C79">
        <v>586.29</v>
      </c>
      <c r="E79">
        <f t="shared" si="3"/>
        <v>75000000</v>
      </c>
      <c r="F79">
        <f t="shared" si="4"/>
        <v>360</v>
      </c>
      <c r="G79">
        <f t="shared" si="5"/>
        <v>586.29</v>
      </c>
    </row>
    <row r="80" spans="1:7" x14ac:dyDescent="0.35">
      <c r="A80">
        <v>70</v>
      </c>
      <c r="B80">
        <v>360</v>
      </c>
      <c r="C80">
        <v>582.17999999999995</v>
      </c>
      <c r="E80">
        <f t="shared" si="3"/>
        <v>70000000</v>
      </c>
      <c r="F80">
        <f t="shared" si="4"/>
        <v>360</v>
      </c>
      <c r="G80">
        <f t="shared" si="5"/>
        <v>582.17999999999995</v>
      </c>
    </row>
    <row r="81" spans="1:7" x14ac:dyDescent="0.35">
      <c r="A81">
        <v>65</v>
      </c>
      <c r="B81">
        <v>360</v>
      </c>
      <c r="C81">
        <v>578.14</v>
      </c>
      <c r="E81">
        <f t="shared" si="3"/>
        <v>65000000</v>
      </c>
      <c r="F81">
        <f t="shared" si="4"/>
        <v>360</v>
      </c>
      <c r="G81">
        <f t="shared" si="5"/>
        <v>578.14</v>
      </c>
    </row>
    <row r="82" spans="1:7" x14ac:dyDescent="0.35">
      <c r="A82">
        <v>60</v>
      </c>
      <c r="B82">
        <v>360</v>
      </c>
      <c r="C82">
        <v>573.65</v>
      </c>
      <c r="E82">
        <f t="shared" si="3"/>
        <v>60000000</v>
      </c>
      <c r="F82">
        <f t="shared" si="4"/>
        <v>360</v>
      </c>
      <c r="G82">
        <f t="shared" si="5"/>
        <v>573.65</v>
      </c>
    </row>
    <row r="83" spans="1:7" x14ac:dyDescent="0.35">
      <c r="A83">
        <v>55</v>
      </c>
      <c r="B83">
        <v>360</v>
      </c>
      <c r="C83">
        <v>569.11</v>
      </c>
      <c r="E83">
        <f t="shared" si="3"/>
        <v>55000000</v>
      </c>
      <c r="F83">
        <f t="shared" si="4"/>
        <v>360</v>
      </c>
      <c r="G83">
        <f t="shared" si="5"/>
        <v>569.11</v>
      </c>
    </row>
    <row r="84" spans="1:7" x14ac:dyDescent="0.35">
      <c r="A84">
        <v>50</v>
      </c>
      <c r="B84">
        <v>360</v>
      </c>
      <c r="C84">
        <v>564.14</v>
      </c>
      <c r="E84">
        <f t="shared" si="3"/>
        <v>50000000</v>
      </c>
      <c r="F84">
        <f t="shared" si="4"/>
        <v>360</v>
      </c>
      <c r="G84">
        <f t="shared" si="5"/>
        <v>564.14</v>
      </c>
    </row>
    <row r="85" spans="1:7" x14ac:dyDescent="0.35">
      <c r="A85">
        <v>45</v>
      </c>
      <c r="B85">
        <v>360</v>
      </c>
      <c r="C85">
        <v>558.95000000000005</v>
      </c>
      <c r="E85">
        <f t="shared" si="3"/>
        <v>45000000</v>
      </c>
      <c r="F85">
        <f t="shared" si="4"/>
        <v>360</v>
      </c>
      <c r="G85">
        <f t="shared" si="5"/>
        <v>558.95000000000005</v>
      </c>
    </row>
    <row r="86" spans="1:7" x14ac:dyDescent="0.35">
      <c r="A86">
        <v>40</v>
      </c>
      <c r="B86">
        <v>360</v>
      </c>
      <c r="C86">
        <v>553.24</v>
      </c>
      <c r="E86">
        <f t="shared" si="3"/>
        <v>40000000</v>
      </c>
      <c r="F86">
        <f t="shared" si="4"/>
        <v>360</v>
      </c>
      <c r="G86">
        <f t="shared" si="5"/>
        <v>553.24</v>
      </c>
    </row>
    <row r="87" spans="1:7" x14ac:dyDescent="0.35">
      <c r="A87">
        <v>37.5</v>
      </c>
      <c r="B87">
        <v>360</v>
      </c>
      <c r="C87">
        <v>550.36</v>
      </c>
      <c r="E87">
        <f t="shared" si="3"/>
        <v>37500000</v>
      </c>
      <c r="F87">
        <f t="shared" si="4"/>
        <v>360</v>
      </c>
      <c r="G87">
        <f t="shared" si="5"/>
        <v>550.36</v>
      </c>
    </row>
    <row r="88" spans="1:7" x14ac:dyDescent="0.35">
      <c r="A88">
        <v>35</v>
      </c>
      <c r="B88">
        <v>360</v>
      </c>
      <c r="C88">
        <v>547.35</v>
      </c>
      <c r="E88">
        <f t="shared" si="3"/>
        <v>35000000</v>
      </c>
      <c r="F88">
        <f t="shared" si="4"/>
        <v>360</v>
      </c>
      <c r="G88">
        <f t="shared" si="5"/>
        <v>547.35</v>
      </c>
    </row>
    <row r="89" spans="1:7" x14ac:dyDescent="0.35">
      <c r="A89">
        <v>30</v>
      </c>
      <c r="B89">
        <v>310</v>
      </c>
      <c r="C89">
        <v>610.66999999999996</v>
      </c>
      <c r="E89">
        <f t="shared" si="3"/>
        <v>30000000</v>
      </c>
      <c r="F89">
        <f t="shared" si="4"/>
        <v>310</v>
      </c>
      <c r="G89">
        <f t="shared" si="5"/>
        <v>610.66999999999996</v>
      </c>
    </row>
    <row r="90" spans="1:7" x14ac:dyDescent="0.35">
      <c r="A90">
        <v>28</v>
      </c>
      <c r="B90">
        <v>310</v>
      </c>
      <c r="C90">
        <v>609.04999999999995</v>
      </c>
      <c r="E90">
        <f t="shared" si="3"/>
        <v>28000000</v>
      </c>
      <c r="F90">
        <f t="shared" si="4"/>
        <v>310</v>
      </c>
      <c r="G90">
        <f t="shared" si="5"/>
        <v>609.04999999999995</v>
      </c>
    </row>
    <row r="91" spans="1:7" x14ac:dyDescent="0.35">
      <c r="A91">
        <v>26</v>
      </c>
      <c r="B91">
        <v>310</v>
      </c>
      <c r="C91">
        <v>607.38</v>
      </c>
      <c r="E91">
        <f t="shared" si="3"/>
        <v>26000000</v>
      </c>
      <c r="F91">
        <f t="shared" si="4"/>
        <v>310</v>
      </c>
      <c r="G91">
        <f t="shared" si="5"/>
        <v>607.38</v>
      </c>
    </row>
    <row r="92" spans="1:7" x14ac:dyDescent="0.35">
      <c r="A92">
        <v>24</v>
      </c>
      <c r="B92">
        <v>310</v>
      </c>
      <c r="C92">
        <v>605.77</v>
      </c>
      <c r="E92">
        <f t="shared" si="3"/>
        <v>24000000</v>
      </c>
      <c r="F92">
        <f t="shared" si="4"/>
        <v>310</v>
      </c>
      <c r="G92">
        <f t="shared" si="5"/>
        <v>605.77</v>
      </c>
    </row>
    <row r="93" spans="1:7" x14ac:dyDescent="0.35">
      <c r="A93">
        <v>22</v>
      </c>
      <c r="B93">
        <v>310</v>
      </c>
      <c r="C93">
        <v>604.13</v>
      </c>
      <c r="E93">
        <f t="shared" si="3"/>
        <v>22000000</v>
      </c>
      <c r="F93">
        <f t="shared" si="4"/>
        <v>310</v>
      </c>
      <c r="G93">
        <f t="shared" si="5"/>
        <v>604.13</v>
      </c>
    </row>
    <row r="94" spans="1:7" x14ac:dyDescent="0.35">
      <c r="A94">
        <v>20</v>
      </c>
      <c r="B94">
        <v>310</v>
      </c>
      <c r="C94">
        <v>602.46</v>
      </c>
      <c r="E94">
        <f t="shared" si="3"/>
        <v>20000000</v>
      </c>
      <c r="F94">
        <f t="shared" si="4"/>
        <v>310</v>
      </c>
      <c r="G94">
        <f t="shared" si="5"/>
        <v>602.46</v>
      </c>
    </row>
    <row r="95" spans="1:7" x14ac:dyDescent="0.35">
      <c r="A95">
        <v>18</v>
      </c>
      <c r="B95">
        <v>310</v>
      </c>
      <c r="C95">
        <v>600.70000000000005</v>
      </c>
      <c r="E95">
        <f t="shared" si="3"/>
        <v>18000000</v>
      </c>
      <c r="F95">
        <f t="shared" si="4"/>
        <v>310</v>
      </c>
      <c r="G95">
        <f t="shared" si="5"/>
        <v>600.70000000000005</v>
      </c>
    </row>
    <row r="96" spans="1:7" x14ac:dyDescent="0.35">
      <c r="A96">
        <v>16</v>
      </c>
      <c r="B96">
        <v>310</v>
      </c>
      <c r="C96">
        <v>598.88</v>
      </c>
      <c r="E96">
        <f t="shared" si="3"/>
        <v>16000000</v>
      </c>
      <c r="F96">
        <f t="shared" si="4"/>
        <v>310</v>
      </c>
      <c r="G96">
        <f t="shared" si="5"/>
        <v>598.88</v>
      </c>
    </row>
    <row r="97" spans="1:7" x14ac:dyDescent="0.35">
      <c r="A97">
        <v>14</v>
      </c>
      <c r="B97">
        <v>310</v>
      </c>
      <c r="C97">
        <v>597</v>
      </c>
      <c r="E97">
        <f t="shared" si="3"/>
        <v>14000000</v>
      </c>
      <c r="F97">
        <f t="shared" si="4"/>
        <v>310</v>
      </c>
      <c r="G97">
        <f t="shared" si="5"/>
        <v>597</v>
      </c>
    </row>
    <row r="98" spans="1:7" x14ac:dyDescent="0.35">
      <c r="A98">
        <v>12</v>
      </c>
      <c r="B98">
        <v>310</v>
      </c>
      <c r="C98">
        <v>595.11</v>
      </c>
      <c r="E98">
        <f t="shared" si="3"/>
        <v>12000000</v>
      </c>
      <c r="F98">
        <f t="shared" si="4"/>
        <v>310</v>
      </c>
      <c r="G98">
        <f t="shared" si="5"/>
        <v>595.11</v>
      </c>
    </row>
    <row r="99" spans="1:7" x14ac:dyDescent="0.35">
      <c r="A99">
        <v>10</v>
      </c>
      <c r="B99">
        <v>310</v>
      </c>
      <c r="C99">
        <v>593.22</v>
      </c>
      <c r="E99">
        <f t="shared" si="3"/>
        <v>10000000</v>
      </c>
      <c r="F99">
        <f t="shared" si="4"/>
        <v>310</v>
      </c>
      <c r="G99">
        <f t="shared" si="5"/>
        <v>593.22</v>
      </c>
    </row>
    <row r="100" spans="1:7" x14ac:dyDescent="0.35">
      <c r="A100">
        <v>9</v>
      </c>
      <c r="B100">
        <v>310</v>
      </c>
      <c r="C100">
        <v>592.23</v>
      </c>
      <c r="E100">
        <f t="shared" si="3"/>
        <v>9000000</v>
      </c>
      <c r="F100">
        <f t="shared" si="4"/>
        <v>310</v>
      </c>
      <c r="G100">
        <f t="shared" si="5"/>
        <v>592.23</v>
      </c>
    </row>
    <row r="101" spans="1:7" x14ac:dyDescent="0.35">
      <c r="A101">
        <v>8</v>
      </c>
      <c r="B101">
        <v>310</v>
      </c>
      <c r="C101">
        <v>591.23</v>
      </c>
      <c r="E101">
        <f t="shared" si="3"/>
        <v>8000000</v>
      </c>
      <c r="F101">
        <f t="shared" si="4"/>
        <v>310</v>
      </c>
      <c r="G101">
        <f t="shared" si="5"/>
        <v>591.23</v>
      </c>
    </row>
    <row r="102" spans="1:7" x14ac:dyDescent="0.35">
      <c r="A102">
        <v>7</v>
      </c>
      <c r="B102">
        <v>310</v>
      </c>
      <c r="C102">
        <v>590.22</v>
      </c>
      <c r="E102">
        <f t="shared" si="3"/>
        <v>7000000</v>
      </c>
      <c r="F102">
        <f t="shared" si="4"/>
        <v>310</v>
      </c>
      <c r="G102">
        <f t="shared" si="5"/>
        <v>590.22</v>
      </c>
    </row>
    <row r="103" spans="1:7" x14ac:dyDescent="0.35">
      <c r="A103">
        <v>6</v>
      </c>
      <c r="B103">
        <v>310</v>
      </c>
      <c r="C103">
        <v>589.15</v>
      </c>
      <c r="E103">
        <f t="shared" si="3"/>
        <v>6000000</v>
      </c>
      <c r="F103">
        <f t="shared" si="4"/>
        <v>310</v>
      </c>
      <c r="G103">
        <f t="shared" si="5"/>
        <v>589.15</v>
      </c>
    </row>
    <row r="104" spans="1:7" x14ac:dyDescent="0.35">
      <c r="A104">
        <v>5</v>
      </c>
      <c r="B104">
        <v>310</v>
      </c>
      <c r="C104">
        <v>588.03</v>
      </c>
      <c r="E104">
        <f t="shared" si="3"/>
        <v>5000000</v>
      </c>
      <c r="F104">
        <f t="shared" si="4"/>
        <v>310</v>
      </c>
      <c r="G104">
        <f t="shared" si="5"/>
        <v>588.03</v>
      </c>
    </row>
    <row r="105" spans="1:7" x14ac:dyDescent="0.35">
      <c r="A105">
        <v>4.5</v>
      </c>
      <c r="B105">
        <v>310</v>
      </c>
      <c r="C105">
        <v>587.48</v>
      </c>
      <c r="E105">
        <f t="shared" si="3"/>
        <v>4500000</v>
      </c>
      <c r="F105">
        <f t="shared" si="4"/>
        <v>310</v>
      </c>
      <c r="G105">
        <f t="shared" si="5"/>
        <v>587.48</v>
      </c>
    </row>
    <row r="106" spans="1:7" x14ac:dyDescent="0.35">
      <c r="A106">
        <v>4</v>
      </c>
      <c r="B106">
        <v>310</v>
      </c>
      <c r="C106">
        <v>586.94000000000005</v>
      </c>
      <c r="E106">
        <f t="shared" si="3"/>
        <v>4000000</v>
      </c>
      <c r="F106">
        <f t="shared" si="4"/>
        <v>310</v>
      </c>
      <c r="G106">
        <f t="shared" si="5"/>
        <v>586.94000000000005</v>
      </c>
    </row>
    <row r="107" spans="1:7" x14ac:dyDescent="0.35">
      <c r="A107">
        <v>3.5</v>
      </c>
      <c r="B107">
        <v>310</v>
      </c>
      <c r="C107">
        <v>586.4</v>
      </c>
      <c r="E107">
        <f t="shared" si="3"/>
        <v>3500000</v>
      </c>
      <c r="F107">
        <f t="shared" si="4"/>
        <v>310</v>
      </c>
      <c r="G107">
        <f t="shared" si="5"/>
        <v>586.4</v>
      </c>
    </row>
    <row r="108" spans="1:7" x14ac:dyDescent="0.35">
      <c r="A108">
        <v>3</v>
      </c>
      <c r="B108">
        <v>310</v>
      </c>
      <c r="C108">
        <v>585.85</v>
      </c>
      <c r="E108">
        <f t="shared" si="3"/>
        <v>3000000</v>
      </c>
      <c r="F108">
        <f t="shared" si="4"/>
        <v>310</v>
      </c>
      <c r="G108">
        <f t="shared" si="5"/>
        <v>585.85</v>
      </c>
    </row>
    <row r="109" spans="1:7" x14ac:dyDescent="0.35">
      <c r="A109">
        <v>2.5</v>
      </c>
      <c r="B109">
        <v>310</v>
      </c>
      <c r="C109">
        <v>585.30999999999995</v>
      </c>
      <c r="E109">
        <f t="shared" si="3"/>
        <v>2500000</v>
      </c>
      <c r="F109">
        <f t="shared" si="4"/>
        <v>310</v>
      </c>
      <c r="G109">
        <f t="shared" si="5"/>
        <v>585.30999999999995</v>
      </c>
    </row>
    <row r="110" spans="1:7" x14ac:dyDescent="0.35">
      <c r="A110">
        <v>2</v>
      </c>
      <c r="B110">
        <v>310</v>
      </c>
      <c r="C110">
        <v>584.75</v>
      </c>
      <c r="E110">
        <f t="shared" si="3"/>
        <v>2000000</v>
      </c>
      <c r="F110">
        <f t="shared" si="4"/>
        <v>310</v>
      </c>
      <c r="G110">
        <f t="shared" si="5"/>
        <v>584.75</v>
      </c>
    </row>
    <row r="111" spans="1:7" x14ac:dyDescent="0.35">
      <c r="A111">
        <v>1.5</v>
      </c>
      <c r="B111">
        <v>310</v>
      </c>
      <c r="C111">
        <v>584.20000000000005</v>
      </c>
      <c r="E111">
        <f t="shared" si="3"/>
        <v>1500000</v>
      </c>
      <c r="F111">
        <f t="shared" si="4"/>
        <v>310</v>
      </c>
      <c r="G111">
        <f t="shared" si="5"/>
        <v>584.20000000000005</v>
      </c>
    </row>
    <row r="112" spans="1:7" x14ac:dyDescent="0.35">
      <c r="A112">
        <v>30</v>
      </c>
      <c r="B112">
        <v>320</v>
      </c>
      <c r="C112">
        <v>597.72</v>
      </c>
      <c r="E112">
        <f t="shared" si="3"/>
        <v>30000000</v>
      </c>
      <c r="F112">
        <f t="shared" si="4"/>
        <v>320</v>
      </c>
      <c r="G112">
        <f t="shared" si="5"/>
        <v>597.72</v>
      </c>
    </row>
    <row r="113" spans="1:7" x14ac:dyDescent="0.35">
      <c r="A113">
        <v>28</v>
      </c>
      <c r="B113">
        <v>320</v>
      </c>
      <c r="C113">
        <v>595.91999999999996</v>
      </c>
      <c r="E113">
        <f t="shared" si="3"/>
        <v>28000000</v>
      </c>
      <c r="F113">
        <f t="shared" si="4"/>
        <v>320</v>
      </c>
      <c r="G113">
        <f t="shared" si="5"/>
        <v>595.91999999999996</v>
      </c>
    </row>
    <row r="114" spans="1:7" x14ac:dyDescent="0.35">
      <c r="A114">
        <v>26</v>
      </c>
      <c r="B114">
        <v>320</v>
      </c>
      <c r="C114">
        <v>594.14</v>
      </c>
      <c r="E114">
        <f t="shared" si="3"/>
        <v>26000000</v>
      </c>
      <c r="F114">
        <f t="shared" si="4"/>
        <v>320</v>
      </c>
      <c r="G114">
        <f t="shared" si="5"/>
        <v>594.14</v>
      </c>
    </row>
    <row r="115" spans="1:7" x14ac:dyDescent="0.35">
      <c r="A115">
        <v>24</v>
      </c>
      <c r="B115">
        <v>320</v>
      </c>
      <c r="C115">
        <v>592.36</v>
      </c>
      <c r="E115">
        <f t="shared" si="3"/>
        <v>24000000</v>
      </c>
      <c r="F115">
        <f t="shared" si="4"/>
        <v>320</v>
      </c>
      <c r="G115">
        <f t="shared" si="5"/>
        <v>592.36</v>
      </c>
    </row>
    <row r="116" spans="1:7" x14ac:dyDescent="0.35">
      <c r="A116">
        <v>22</v>
      </c>
      <c r="B116">
        <v>320</v>
      </c>
      <c r="C116">
        <v>590.54</v>
      </c>
      <c r="E116">
        <f t="shared" si="3"/>
        <v>22000000</v>
      </c>
      <c r="F116">
        <f t="shared" si="4"/>
        <v>320</v>
      </c>
      <c r="G116">
        <f t="shared" si="5"/>
        <v>590.54</v>
      </c>
    </row>
    <row r="117" spans="1:7" x14ac:dyDescent="0.35">
      <c r="A117">
        <v>20</v>
      </c>
      <c r="B117">
        <v>320</v>
      </c>
      <c r="C117">
        <v>588.63</v>
      </c>
      <c r="E117">
        <f t="shared" si="3"/>
        <v>20000000</v>
      </c>
      <c r="F117">
        <f t="shared" si="4"/>
        <v>320</v>
      </c>
      <c r="G117">
        <f t="shared" si="5"/>
        <v>588.63</v>
      </c>
    </row>
    <row r="118" spans="1:7" x14ac:dyDescent="0.35">
      <c r="A118">
        <v>18</v>
      </c>
      <c r="B118">
        <v>320</v>
      </c>
      <c r="C118">
        <v>586.63</v>
      </c>
      <c r="E118">
        <f t="shared" si="3"/>
        <v>18000000</v>
      </c>
      <c r="F118">
        <f t="shared" si="4"/>
        <v>320</v>
      </c>
      <c r="G118">
        <f t="shared" si="5"/>
        <v>586.63</v>
      </c>
    </row>
    <row r="119" spans="1:7" x14ac:dyDescent="0.35">
      <c r="A119">
        <v>16</v>
      </c>
      <c r="B119">
        <v>320</v>
      </c>
      <c r="C119">
        <v>584.59</v>
      </c>
      <c r="E119">
        <f t="shared" si="3"/>
        <v>16000000</v>
      </c>
      <c r="F119">
        <f t="shared" si="4"/>
        <v>320</v>
      </c>
      <c r="G119">
        <f t="shared" si="5"/>
        <v>584.59</v>
      </c>
    </row>
    <row r="120" spans="1:7" x14ac:dyDescent="0.35">
      <c r="A120">
        <v>14</v>
      </c>
      <c r="B120">
        <v>320</v>
      </c>
      <c r="C120">
        <v>582.51</v>
      </c>
      <c r="E120">
        <f t="shared" si="3"/>
        <v>14000000</v>
      </c>
      <c r="F120">
        <f t="shared" si="4"/>
        <v>320</v>
      </c>
      <c r="G120">
        <f t="shared" si="5"/>
        <v>582.51</v>
      </c>
    </row>
    <row r="121" spans="1:7" x14ac:dyDescent="0.35">
      <c r="A121">
        <v>12</v>
      </c>
      <c r="B121">
        <v>320</v>
      </c>
      <c r="C121">
        <v>580.44000000000005</v>
      </c>
      <c r="E121">
        <f t="shared" si="3"/>
        <v>12000000</v>
      </c>
      <c r="F121">
        <f t="shared" si="4"/>
        <v>320</v>
      </c>
      <c r="G121">
        <f t="shared" si="5"/>
        <v>580.44000000000005</v>
      </c>
    </row>
    <row r="122" spans="1:7" x14ac:dyDescent="0.35">
      <c r="A122">
        <v>10</v>
      </c>
      <c r="B122">
        <v>320</v>
      </c>
      <c r="C122">
        <v>578.22</v>
      </c>
      <c r="E122">
        <f t="shared" si="3"/>
        <v>10000000</v>
      </c>
      <c r="F122">
        <f t="shared" si="4"/>
        <v>320</v>
      </c>
      <c r="G122">
        <f t="shared" si="5"/>
        <v>578.22</v>
      </c>
    </row>
    <row r="123" spans="1:7" x14ac:dyDescent="0.35">
      <c r="A123">
        <v>9</v>
      </c>
      <c r="B123">
        <v>320</v>
      </c>
      <c r="C123">
        <v>577.05999999999995</v>
      </c>
      <c r="E123">
        <f t="shared" si="3"/>
        <v>9000000</v>
      </c>
      <c r="F123">
        <f t="shared" si="4"/>
        <v>320</v>
      </c>
      <c r="G123">
        <f t="shared" si="5"/>
        <v>577.05999999999995</v>
      </c>
    </row>
    <row r="124" spans="1:7" x14ac:dyDescent="0.35">
      <c r="A124">
        <v>8</v>
      </c>
      <c r="B124">
        <v>320</v>
      </c>
      <c r="C124">
        <v>575.87</v>
      </c>
      <c r="E124">
        <f t="shared" si="3"/>
        <v>8000000</v>
      </c>
      <c r="F124">
        <f t="shared" si="4"/>
        <v>320</v>
      </c>
      <c r="G124">
        <f t="shared" si="5"/>
        <v>575.87</v>
      </c>
    </row>
    <row r="125" spans="1:7" x14ac:dyDescent="0.35">
      <c r="A125">
        <v>7</v>
      </c>
      <c r="B125">
        <v>320</v>
      </c>
      <c r="C125">
        <v>574.66</v>
      </c>
      <c r="E125">
        <f t="shared" si="3"/>
        <v>7000000</v>
      </c>
      <c r="F125">
        <f t="shared" si="4"/>
        <v>320</v>
      </c>
      <c r="G125">
        <f t="shared" si="5"/>
        <v>574.66</v>
      </c>
    </row>
    <row r="126" spans="1:7" x14ac:dyDescent="0.35">
      <c r="A126">
        <v>6</v>
      </c>
      <c r="B126">
        <v>320</v>
      </c>
      <c r="C126">
        <v>573.46</v>
      </c>
      <c r="E126">
        <f t="shared" si="3"/>
        <v>6000000</v>
      </c>
      <c r="F126">
        <f t="shared" si="4"/>
        <v>320</v>
      </c>
      <c r="G126">
        <f t="shared" si="5"/>
        <v>573.46</v>
      </c>
    </row>
    <row r="127" spans="1:7" x14ac:dyDescent="0.35">
      <c r="A127">
        <v>5</v>
      </c>
      <c r="B127">
        <v>320</v>
      </c>
      <c r="C127">
        <v>572.25</v>
      </c>
      <c r="E127">
        <f t="shared" si="3"/>
        <v>5000000</v>
      </c>
      <c r="F127">
        <f t="shared" si="4"/>
        <v>320</v>
      </c>
      <c r="G127">
        <f t="shared" si="5"/>
        <v>572.25</v>
      </c>
    </row>
    <row r="128" spans="1:7" x14ac:dyDescent="0.35">
      <c r="A128">
        <v>4</v>
      </c>
      <c r="B128">
        <v>320</v>
      </c>
      <c r="C128">
        <v>571.02</v>
      </c>
      <c r="E128">
        <f t="shared" si="3"/>
        <v>4000000</v>
      </c>
      <c r="F128">
        <f t="shared" si="4"/>
        <v>320</v>
      </c>
      <c r="G128">
        <f t="shared" si="5"/>
        <v>571.02</v>
      </c>
    </row>
    <row r="129" spans="1:7" x14ac:dyDescent="0.35">
      <c r="A129">
        <v>3</v>
      </c>
      <c r="B129">
        <v>320</v>
      </c>
      <c r="C129">
        <v>569.79999999999995</v>
      </c>
      <c r="E129">
        <f t="shared" si="3"/>
        <v>3000000</v>
      </c>
      <c r="F129">
        <f t="shared" si="4"/>
        <v>320</v>
      </c>
      <c r="G129">
        <f t="shared" si="5"/>
        <v>569.79999999999995</v>
      </c>
    </row>
    <row r="130" spans="1:7" x14ac:dyDescent="0.35">
      <c r="A130">
        <v>2</v>
      </c>
      <c r="B130">
        <v>320</v>
      </c>
      <c r="C130">
        <v>568.54999999999995</v>
      </c>
      <c r="E130">
        <f t="shared" si="3"/>
        <v>2000000</v>
      </c>
      <c r="F130">
        <f t="shared" si="4"/>
        <v>320</v>
      </c>
      <c r="G130">
        <f t="shared" si="5"/>
        <v>568.54999999999995</v>
      </c>
    </row>
    <row r="131" spans="1:7" x14ac:dyDescent="0.35">
      <c r="A131">
        <v>30</v>
      </c>
      <c r="B131">
        <v>340</v>
      </c>
      <c r="C131">
        <v>570.41999999999996</v>
      </c>
      <c r="E131">
        <f t="shared" ref="E131:E163" si="6">A131*1000000</f>
        <v>30000000</v>
      </c>
      <c r="F131">
        <f t="shared" ref="F131:F163" si="7">B131</f>
        <v>340</v>
      </c>
      <c r="G131">
        <f t="shared" ref="G131:G163" si="8">C131</f>
        <v>570.41999999999996</v>
      </c>
    </row>
    <row r="132" spans="1:7" x14ac:dyDescent="0.35">
      <c r="A132">
        <v>28</v>
      </c>
      <c r="B132">
        <v>340</v>
      </c>
      <c r="C132">
        <v>568.35</v>
      </c>
      <c r="E132">
        <f t="shared" si="6"/>
        <v>28000000</v>
      </c>
      <c r="F132">
        <f t="shared" si="7"/>
        <v>340</v>
      </c>
      <c r="G132">
        <f t="shared" si="8"/>
        <v>568.35</v>
      </c>
    </row>
    <row r="133" spans="1:7" x14ac:dyDescent="0.35">
      <c r="A133">
        <v>26</v>
      </c>
      <c r="B133">
        <v>340</v>
      </c>
      <c r="C133">
        <v>566.07000000000005</v>
      </c>
      <c r="E133">
        <f t="shared" si="6"/>
        <v>26000000</v>
      </c>
      <c r="F133">
        <f t="shared" si="7"/>
        <v>340</v>
      </c>
      <c r="G133">
        <f t="shared" si="8"/>
        <v>566.07000000000005</v>
      </c>
    </row>
    <row r="134" spans="1:7" x14ac:dyDescent="0.35">
      <c r="A134">
        <v>24</v>
      </c>
      <c r="B134">
        <v>340</v>
      </c>
      <c r="C134">
        <v>563.74</v>
      </c>
      <c r="E134">
        <f t="shared" si="6"/>
        <v>24000000</v>
      </c>
      <c r="F134">
        <f t="shared" si="7"/>
        <v>340</v>
      </c>
      <c r="G134">
        <f t="shared" si="8"/>
        <v>563.74</v>
      </c>
    </row>
    <row r="135" spans="1:7" x14ac:dyDescent="0.35">
      <c r="A135">
        <v>22</v>
      </c>
      <c r="B135">
        <v>340</v>
      </c>
      <c r="C135">
        <v>561.38</v>
      </c>
      <c r="E135">
        <f t="shared" si="6"/>
        <v>22000000</v>
      </c>
      <c r="F135">
        <f t="shared" si="7"/>
        <v>340</v>
      </c>
      <c r="G135">
        <f t="shared" si="8"/>
        <v>561.38</v>
      </c>
    </row>
    <row r="136" spans="1:7" x14ac:dyDescent="0.35">
      <c r="A136">
        <v>20</v>
      </c>
      <c r="B136">
        <v>340</v>
      </c>
      <c r="C136">
        <v>559</v>
      </c>
      <c r="E136">
        <f t="shared" si="6"/>
        <v>20000000</v>
      </c>
      <c r="F136">
        <f t="shared" si="7"/>
        <v>340</v>
      </c>
      <c r="G136">
        <f t="shared" si="8"/>
        <v>559</v>
      </c>
    </row>
    <row r="137" spans="1:7" x14ac:dyDescent="0.35">
      <c r="A137">
        <v>18</v>
      </c>
      <c r="B137">
        <v>340</v>
      </c>
      <c r="C137">
        <v>556.45000000000005</v>
      </c>
      <c r="E137">
        <f t="shared" si="6"/>
        <v>18000000</v>
      </c>
      <c r="F137">
        <f t="shared" si="7"/>
        <v>340</v>
      </c>
      <c r="G137">
        <f t="shared" si="8"/>
        <v>556.45000000000005</v>
      </c>
    </row>
    <row r="138" spans="1:7" x14ac:dyDescent="0.35">
      <c r="A138">
        <v>16</v>
      </c>
      <c r="B138">
        <v>340</v>
      </c>
      <c r="C138">
        <v>553.62</v>
      </c>
      <c r="E138">
        <f t="shared" si="6"/>
        <v>16000000</v>
      </c>
      <c r="F138">
        <f t="shared" si="7"/>
        <v>340</v>
      </c>
      <c r="G138">
        <f t="shared" si="8"/>
        <v>553.62</v>
      </c>
    </row>
    <row r="139" spans="1:7" x14ac:dyDescent="0.35">
      <c r="A139">
        <v>14</v>
      </c>
      <c r="B139">
        <v>340</v>
      </c>
      <c r="C139">
        <v>550.88</v>
      </c>
      <c r="E139">
        <f t="shared" si="6"/>
        <v>14000000</v>
      </c>
      <c r="F139">
        <f t="shared" si="7"/>
        <v>340</v>
      </c>
      <c r="G139">
        <f t="shared" si="8"/>
        <v>550.88</v>
      </c>
    </row>
    <row r="140" spans="1:7" x14ac:dyDescent="0.35">
      <c r="A140">
        <v>12</v>
      </c>
      <c r="B140">
        <v>340</v>
      </c>
      <c r="C140">
        <v>548.05999999999995</v>
      </c>
      <c r="E140">
        <f t="shared" si="6"/>
        <v>12000000</v>
      </c>
      <c r="F140">
        <f t="shared" si="7"/>
        <v>340</v>
      </c>
      <c r="G140">
        <f t="shared" si="8"/>
        <v>548.05999999999995</v>
      </c>
    </row>
    <row r="141" spans="1:7" x14ac:dyDescent="0.35">
      <c r="A141">
        <v>10</v>
      </c>
      <c r="B141">
        <v>340</v>
      </c>
      <c r="C141">
        <v>544.97</v>
      </c>
      <c r="E141">
        <f t="shared" si="6"/>
        <v>10000000</v>
      </c>
      <c r="F141">
        <f t="shared" si="7"/>
        <v>340</v>
      </c>
      <c r="G141">
        <f t="shared" si="8"/>
        <v>544.97</v>
      </c>
    </row>
    <row r="142" spans="1:7" x14ac:dyDescent="0.35">
      <c r="A142">
        <v>9</v>
      </c>
      <c r="B142">
        <v>340</v>
      </c>
      <c r="C142">
        <v>543.36</v>
      </c>
      <c r="E142">
        <f t="shared" si="6"/>
        <v>9000000</v>
      </c>
      <c r="F142">
        <f t="shared" si="7"/>
        <v>340</v>
      </c>
      <c r="G142">
        <f t="shared" si="8"/>
        <v>543.36</v>
      </c>
    </row>
    <row r="143" spans="1:7" x14ac:dyDescent="0.35">
      <c r="A143">
        <v>8</v>
      </c>
      <c r="B143">
        <v>340</v>
      </c>
      <c r="C143">
        <v>541.77</v>
      </c>
      <c r="E143">
        <f t="shared" si="6"/>
        <v>8000000</v>
      </c>
      <c r="F143">
        <f t="shared" si="7"/>
        <v>340</v>
      </c>
      <c r="G143">
        <f t="shared" si="8"/>
        <v>541.77</v>
      </c>
    </row>
    <row r="144" spans="1:7" x14ac:dyDescent="0.35">
      <c r="A144">
        <v>7</v>
      </c>
      <c r="B144">
        <v>340</v>
      </c>
      <c r="C144">
        <v>540.12</v>
      </c>
      <c r="E144">
        <f t="shared" si="6"/>
        <v>7000000</v>
      </c>
      <c r="F144">
        <f t="shared" si="7"/>
        <v>340</v>
      </c>
      <c r="G144">
        <f t="shared" si="8"/>
        <v>540.12</v>
      </c>
    </row>
    <row r="145" spans="1:7" x14ac:dyDescent="0.35">
      <c r="A145">
        <v>6</v>
      </c>
      <c r="B145">
        <v>340</v>
      </c>
      <c r="C145">
        <v>538.41999999999996</v>
      </c>
      <c r="E145">
        <f t="shared" si="6"/>
        <v>6000000</v>
      </c>
      <c r="F145">
        <f t="shared" si="7"/>
        <v>340</v>
      </c>
      <c r="G145">
        <f t="shared" si="8"/>
        <v>538.41999999999996</v>
      </c>
    </row>
    <row r="146" spans="1:7" x14ac:dyDescent="0.35">
      <c r="A146">
        <v>5</v>
      </c>
      <c r="B146">
        <v>340</v>
      </c>
      <c r="C146">
        <v>536.63</v>
      </c>
      <c r="E146">
        <f t="shared" si="6"/>
        <v>5000000</v>
      </c>
      <c r="F146">
        <f t="shared" si="7"/>
        <v>340</v>
      </c>
      <c r="G146">
        <f t="shared" si="8"/>
        <v>536.63</v>
      </c>
    </row>
    <row r="147" spans="1:7" x14ac:dyDescent="0.35">
      <c r="A147">
        <v>4</v>
      </c>
      <c r="B147">
        <v>340</v>
      </c>
      <c r="C147">
        <v>534.76</v>
      </c>
      <c r="E147">
        <f t="shared" si="6"/>
        <v>4000000</v>
      </c>
      <c r="F147">
        <f t="shared" si="7"/>
        <v>340</v>
      </c>
      <c r="G147">
        <f t="shared" si="8"/>
        <v>534.76</v>
      </c>
    </row>
    <row r="148" spans="1:7" x14ac:dyDescent="0.35">
      <c r="A148">
        <v>30</v>
      </c>
      <c r="B148">
        <v>360</v>
      </c>
      <c r="C148">
        <v>540.67999999999995</v>
      </c>
      <c r="E148">
        <f t="shared" si="6"/>
        <v>30000000</v>
      </c>
      <c r="F148">
        <f t="shared" si="7"/>
        <v>360</v>
      </c>
      <c r="G148">
        <f t="shared" si="8"/>
        <v>540.67999999999995</v>
      </c>
    </row>
    <row r="149" spans="1:7" x14ac:dyDescent="0.35">
      <c r="A149">
        <v>28</v>
      </c>
      <c r="B149">
        <v>360</v>
      </c>
      <c r="C149">
        <v>537.98</v>
      </c>
      <c r="E149">
        <f t="shared" si="6"/>
        <v>28000000</v>
      </c>
      <c r="F149">
        <f t="shared" si="7"/>
        <v>360</v>
      </c>
      <c r="G149">
        <f t="shared" si="8"/>
        <v>537.98</v>
      </c>
    </row>
    <row r="150" spans="1:7" x14ac:dyDescent="0.35">
      <c r="A150">
        <v>26</v>
      </c>
      <c r="B150">
        <v>360</v>
      </c>
      <c r="C150">
        <v>535.02</v>
      </c>
      <c r="E150">
        <f t="shared" si="6"/>
        <v>26000000</v>
      </c>
      <c r="F150">
        <f t="shared" si="7"/>
        <v>360</v>
      </c>
      <c r="G150">
        <f t="shared" si="8"/>
        <v>535.02</v>
      </c>
    </row>
    <row r="151" spans="1:7" x14ac:dyDescent="0.35">
      <c r="A151">
        <v>24</v>
      </c>
      <c r="B151">
        <v>360</v>
      </c>
      <c r="C151">
        <v>531.99</v>
      </c>
      <c r="E151">
        <f t="shared" si="6"/>
        <v>24000000</v>
      </c>
      <c r="F151">
        <f t="shared" si="7"/>
        <v>360</v>
      </c>
      <c r="G151">
        <f t="shared" si="8"/>
        <v>531.99</v>
      </c>
    </row>
    <row r="152" spans="1:7" x14ac:dyDescent="0.35">
      <c r="A152">
        <v>22</v>
      </c>
      <c r="B152">
        <v>360</v>
      </c>
      <c r="C152">
        <v>528.9</v>
      </c>
      <c r="E152">
        <f t="shared" si="6"/>
        <v>22000000</v>
      </c>
      <c r="F152">
        <f t="shared" si="7"/>
        <v>360</v>
      </c>
      <c r="G152">
        <f t="shared" si="8"/>
        <v>528.9</v>
      </c>
    </row>
    <row r="153" spans="1:7" x14ac:dyDescent="0.35">
      <c r="A153">
        <v>20</v>
      </c>
      <c r="B153">
        <v>360</v>
      </c>
      <c r="C153">
        <v>525.5</v>
      </c>
      <c r="E153">
        <f t="shared" si="6"/>
        <v>20000000</v>
      </c>
      <c r="F153">
        <f t="shared" si="7"/>
        <v>360</v>
      </c>
      <c r="G153">
        <f t="shared" si="8"/>
        <v>525.5</v>
      </c>
    </row>
    <row r="154" spans="1:7" x14ac:dyDescent="0.35">
      <c r="A154">
        <v>18</v>
      </c>
      <c r="B154">
        <v>360</v>
      </c>
      <c r="C154">
        <v>522.07000000000005</v>
      </c>
      <c r="E154">
        <f t="shared" si="6"/>
        <v>18000000</v>
      </c>
      <c r="F154">
        <f t="shared" si="7"/>
        <v>360</v>
      </c>
      <c r="G154">
        <f t="shared" si="8"/>
        <v>522.07000000000005</v>
      </c>
    </row>
    <row r="155" spans="1:7" x14ac:dyDescent="0.35">
      <c r="A155">
        <v>16</v>
      </c>
      <c r="B155">
        <v>360</v>
      </c>
      <c r="C155">
        <v>518.27</v>
      </c>
      <c r="E155">
        <f t="shared" si="6"/>
        <v>16000000</v>
      </c>
      <c r="F155">
        <f t="shared" si="7"/>
        <v>360</v>
      </c>
      <c r="G155">
        <f t="shared" si="8"/>
        <v>518.27</v>
      </c>
    </row>
    <row r="156" spans="1:7" x14ac:dyDescent="0.35">
      <c r="A156">
        <v>14</v>
      </c>
      <c r="B156">
        <v>360</v>
      </c>
      <c r="C156">
        <v>514.36</v>
      </c>
      <c r="E156">
        <f t="shared" si="6"/>
        <v>14000000</v>
      </c>
      <c r="F156">
        <f t="shared" si="7"/>
        <v>360</v>
      </c>
      <c r="G156">
        <f t="shared" si="8"/>
        <v>514.36</v>
      </c>
    </row>
    <row r="157" spans="1:7" x14ac:dyDescent="0.35">
      <c r="A157">
        <v>12</v>
      </c>
      <c r="B157">
        <v>360</v>
      </c>
      <c r="C157">
        <v>510.28</v>
      </c>
      <c r="E157">
        <f t="shared" si="6"/>
        <v>12000000</v>
      </c>
      <c r="F157">
        <f t="shared" si="7"/>
        <v>360</v>
      </c>
      <c r="G157">
        <f t="shared" si="8"/>
        <v>510.28</v>
      </c>
    </row>
    <row r="158" spans="1:7" x14ac:dyDescent="0.35">
      <c r="A158">
        <v>10</v>
      </c>
      <c r="B158">
        <v>360</v>
      </c>
      <c r="C158">
        <v>505.69</v>
      </c>
      <c r="E158">
        <f t="shared" si="6"/>
        <v>10000000</v>
      </c>
      <c r="F158">
        <f t="shared" si="7"/>
        <v>360</v>
      </c>
      <c r="G158">
        <f t="shared" si="8"/>
        <v>505.69</v>
      </c>
    </row>
    <row r="159" spans="1:7" x14ac:dyDescent="0.35">
      <c r="A159">
        <v>9</v>
      </c>
      <c r="B159">
        <v>360</v>
      </c>
      <c r="C159">
        <v>503.1</v>
      </c>
      <c r="E159">
        <f t="shared" si="6"/>
        <v>9000000</v>
      </c>
      <c r="F159">
        <f t="shared" si="7"/>
        <v>360</v>
      </c>
      <c r="G159">
        <f t="shared" si="8"/>
        <v>503.1</v>
      </c>
    </row>
    <row r="160" spans="1:7" x14ac:dyDescent="0.35">
      <c r="A160">
        <v>8</v>
      </c>
      <c r="B160">
        <v>360</v>
      </c>
      <c r="C160">
        <v>500.49</v>
      </c>
      <c r="E160">
        <f t="shared" si="6"/>
        <v>8000000</v>
      </c>
      <c r="F160">
        <f t="shared" si="7"/>
        <v>360</v>
      </c>
      <c r="G160">
        <f t="shared" si="8"/>
        <v>500.49</v>
      </c>
    </row>
    <row r="161" spans="1:7" x14ac:dyDescent="0.35">
      <c r="A161">
        <v>7</v>
      </c>
      <c r="B161">
        <v>360</v>
      </c>
      <c r="C161">
        <v>497.85</v>
      </c>
      <c r="E161">
        <f t="shared" si="6"/>
        <v>7000000</v>
      </c>
      <c r="F161">
        <f t="shared" si="7"/>
        <v>360</v>
      </c>
      <c r="G161">
        <f t="shared" si="8"/>
        <v>497.85</v>
      </c>
    </row>
    <row r="162" spans="1:7" x14ac:dyDescent="0.35">
      <c r="A162">
        <v>6</v>
      </c>
      <c r="B162">
        <v>360</v>
      </c>
      <c r="C162">
        <v>495.12</v>
      </c>
      <c r="E162">
        <f t="shared" si="6"/>
        <v>6000000</v>
      </c>
      <c r="F162">
        <f t="shared" si="7"/>
        <v>360</v>
      </c>
      <c r="G162">
        <f t="shared" si="8"/>
        <v>495.12</v>
      </c>
    </row>
    <row r="163" spans="1:7" x14ac:dyDescent="0.35">
      <c r="A163">
        <v>5</v>
      </c>
      <c r="B163">
        <v>360</v>
      </c>
      <c r="C163">
        <v>492.03</v>
      </c>
      <c r="E163">
        <f t="shared" si="6"/>
        <v>5000000</v>
      </c>
      <c r="F163">
        <f t="shared" si="7"/>
        <v>360</v>
      </c>
      <c r="G163">
        <f t="shared" si="8"/>
        <v>492.03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E37D-18C4-4176-9171-E76B317BEF91}">
  <dimension ref="A1:G29"/>
  <sheetViews>
    <sheetView workbookViewId="0">
      <selection activeCell="F2" sqref="F2:F29"/>
    </sheetView>
  </sheetViews>
  <sheetFormatPr defaultRowHeight="14.5" x14ac:dyDescent="0.35"/>
  <sheetData>
    <row r="1" spans="1:7" x14ac:dyDescent="0.35">
      <c r="A1" t="s">
        <v>19</v>
      </c>
      <c r="B1" t="s">
        <v>8</v>
      </c>
      <c r="C1" t="s">
        <v>20</v>
      </c>
      <c r="E1" t="s">
        <v>0</v>
      </c>
      <c r="F1" t="s">
        <v>1</v>
      </c>
      <c r="G1" t="s">
        <v>2</v>
      </c>
    </row>
    <row r="2" spans="1:7" x14ac:dyDescent="0.35">
      <c r="A2">
        <v>0.55800000000000005</v>
      </c>
      <c r="B2">
        <v>279.37</v>
      </c>
      <c r="C2">
        <v>0.62960000000000005</v>
      </c>
      <c r="E2">
        <f>A2*1000000</f>
        <v>558000</v>
      </c>
      <c r="F2">
        <f>B2</f>
        <v>279.37</v>
      </c>
      <c r="G2">
        <f>C2*0.001*1000000</f>
        <v>629.6</v>
      </c>
    </row>
    <row r="3" spans="1:7" x14ac:dyDescent="0.35">
      <c r="A3">
        <v>0.55800000000000005</v>
      </c>
      <c r="B3">
        <v>279.68</v>
      </c>
      <c r="C3">
        <v>0.62919999999999998</v>
      </c>
      <c r="E3">
        <f t="shared" ref="E3:E29" si="0">A3*1000000</f>
        <v>558000</v>
      </c>
      <c r="F3">
        <f t="shared" ref="F3:F29" si="1">B3</f>
        <v>279.68</v>
      </c>
      <c r="G3">
        <f t="shared" ref="G3:G29" si="2">C3*0.001*1000000</f>
        <v>629.20000000000005</v>
      </c>
    </row>
    <row r="4" spans="1:7" x14ac:dyDescent="0.35">
      <c r="A4">
        <v>0.57699999999999996</v>
      </c>
      <c r="B4">
        <v>280.60000000000002</v>
      </c>
      <c r="C4">
        <v>0.62809999999999999</v>
      </c>
      <c r="E4">
        <f t="shared" si="0"/>
        <v>577000</v>
      </c>
      <c r="F4">
        <f t="shared" si="1"/>
        <v>280.60000000000002</v>
      </c>
      <c r="G4">
        <f t="shared" si="2"/>
        <v>628.1</v>
      </c>
    </row>
    <row r="5" spans="1:7" x14ac:dyDescent="0.35">
      <c r="A5">
        <v>0.61299999999999999</v>
      </c>
      <c r="B5">
        <v>282.52999999999997</v>
      </c>
      <c r="C5">
        <v>0.62509999999999999</v>
      </c>
      <c r="E5">
        <f t="shared" si="0"/>
        <v>613000</v>
      </c>
      <c r="F5">
        <f t="shared" si="1"/>
        <v>282.52999999999997</v>
      </c>
      <c r="G5">
        <f t="shared" si="2"/>
        <v>625.09999999999991</v>
      </c>
    </row>
    <row r="6" spans="1:7" x14ac:dyDescent="0.35">
      <c r="A6">
        <v>1.0209999999999999</v>
      </c>
      <c r="B6">
        <v>297.39</v>
      </c>
      <c r="C6">
        <v>0.60399999999999998</v>
      </c>
      <c r="E6">
        <f t="shared" si="0"/>
        <v>1020999.9999999999</v>
      </c>
      <c r="F6">
        <f t="shared" si="1"/>
        <v>297.39</v>
      </c>
      <c r="G6">
        <f t="shared" si="2"/>
        <v>604</v>
      </c>
    </row>
    <row r="7" spans="1:7" x14ac:dyDescent="0.35">
      <c r="A7">
        <v>1.0549999999999999</v>
      </c>
      <c r="B7">
        <v>299.07</v>
      </c>
      <c r="C7">
        <v>0.60170000000000001</v>
      </c>
      <c r="E7">
        <f t="shared" si="0"/>
        <v>1055000</v>
      </c>
      <c r="F7">
        <f t="shared" si="1"/>
        <v>299.07</v>
      </c>
      <c r="G7">
        <f t="shared" si="2"/>
        <v>601.70000000000005</v>
      </c>
    </row>
    <row r="8" spans="1:7" x14ac:dyDescent="0.35">
      <c r="A8">
        <v>1.071</v>
      </c>
      <c r="B8">
        <v>299.39999999999998</v>
      </c>
      <c r="C8">
        <v>0.60140000000000005</v>
      </c>
      <c r="E8">
        <f t="shared" si="0"/>
        <v>1071000</v>
      </c>
      <c r="F8">
        <f t="shared" si="1"/>
        <v>299.39999999999998</v>
      </c>
      <c r="G8">
        <f t="shared" si="2"/>
        <v>601.40000000000009</v>
      </c>
    </row>
    <row r="9" spans="1:7" x14ac:dyDescent="0.35">
      <c r="A9">
        <v>1.115</v>
      </c>
      <c r="B9">
        <v>300.74</v>
      </c>
      <c r="C9">
        <v>0.59909999999999997</v>
      </c>
      <c r="E9">
        <f t="shared" si="0"/>
        <v>1115000</v>
      </c>
      <c r="F9">
        <f t="shared" si="1"/>
        <v>300.74</v>
      </c>
      <c r="G9">
        <f t="shared" si="2"/>
        <v>599.1</v>
      </c>
    </row>
    <row r="10" spans="1:7" x14ac:dyDescent="0.35">
      <c r="A10">
        <v>1.764</v>
      </c>
      <c r="B10">
        <v>316.94</v>
      </c>
      <c r="C10">
        <v>0.57410000000000005</v>
      </c>
      <c r="E10">
        <f t="shared" si="0"/>
        <v>1764000</v>
      </c>
      <c r="F10">
        <f t="shared" si="1"/>
        <v>316.94</v>
      </c>
      <c r="G10">
        <f t="shared" si="2"/>
        <v>574.1</v>
      </c>
    </row>
    <row r="11" spans="1:7" x14ac:dyDescent="0.35">
      <c r="A11">
        <v>1.855</v>
      </c>
      <c r="B11">
        <v>319.48</v>
      </c>
      <c r="C11">
        <v>0.56950000000000001</v>
      </c>
      <c r="E11">
        <f t="shared" si="0"/>
        <v>1855000</v>
      </c>
      <c r="F11">
        <f t="shared" si="1"/>
        <v>319.48</v>
      </c>
      <c r="G11">
        <f t="shared" si="2"/>
        <v>569.5</v>
      </c>
    </row>
    <row r="12" spans="1:7" x14ac:dyDescent="0.35">
      <c r="A12">
        <v>1.8660000000000001</v>
      </c>
      <c r="B12">
        <v>319.85000000000002</v>
      </c>
      <c r="C12">
        <v>0.56769999999999998</v>
      </c>
      <c r="E12">
        <f t="shared" si="0"/>
        <v>1866000</v>
      </c>
      <c r="F12">
        <f t="shared" si="1"/>
        <v>319.85000000000002</v>
      </c>
      <c r="G12">
        <f t="shared" si="2"/>
        <v>567.69999999999993</v>
      </c>
    </row>
    <row r="13" spans="1:7" x14ac:dyDescent="0.35">
      <c r="A13">
        <v>1.9</v>
      </c>
      <c r="B13">
        <v>319.89999999999998</v>
      </c>
      <c r="C13">
        <v>0.56889999999999996</v>
      </c>
      <c r="E13">
        <f t="shared" si="0"/>
        <v>1900000</v>
      </c>
      <c r="F13">
        <f t="shared" si="1"/>
        <v>319.89999999999998</v>
      </c>
      <c r="G13">
        <f t="shared" si="2"/>
        <v>568.9</v>
      </c>
    </row>
    <row r="14" spans="1:7" x14ac:dyDescent="0.35">
      <c r="A14">
        <v>1.931</v>
      </c>
      <c r="B14">
        <v>320.89</v>
      </c>
      <c r="C14">
        <v>0.56730000000000003</v>
      </c>
      <c r="E14">
        <f t="shared" si="0"/>
        <v>1931000</v>
      </c>
      <c r="F14">
        <f t="shared" si="1"/>
        <v>320.89</v>
      </c>
      <c r="G14">
        <f t="shared" si="2"/>
        <v>567.30000000000007</v>
      </c>
    </row>
    <row r="15" spans="1:7" x14ac:dyDescent="0.35">
      <c r="A15">
        <v>2.0470000000000002</v>
      </c>
      <c r="B15">
        <v>323.27999999999997</v>
      </c>
      <c r="C15">
        <v>0.56359999999999999</v>
      </c>
      <c r="E15">
        <f t="shared" si="0"/>
        <v>2047000.0000000002</v>
      </c>
      <c r="F15">
        <f t="shared" si="1"/>
        <v>323.27999999999997</v>
      </c>
      <c r="G15">
        <f t="shared" si="2"/>
        <v>563.6</v>
      </c>
    </row>
    <row r="16" spans="1:7" x14ac:dyDescent="0.35">
      <c r="A16">
        <v>2.915</v>
      </c>
      <c r="B16">
        <v>336.17</v>
      </c>
      <c r="C16">
        <v>0.54120000000000001</v>
      </c>
      <c r="E16">
        <f t="shared" si="0"/>
        <v>2915000</v>
      </c>
      <c r="F16">
        <f t="shared" si="1"/>
        <v>336.17</v>
      </c>
      <c r="G16">
        <f t="shared" si="2"/>
        <v>541.20000000000005</v>
      </c>
    </row>
    <row r="17" spans="1:7" x14ac:dyDescent="0.35">
      <c r="A17">
        <v>3.069</v>
      </c>
      <c r="B17">
        <v>339.54</v>
      </c>
      <c r="C17">
        <v>0.53439999999999999</v>
      </c>
      <c r="E17">
        <f t="shared" si="0"/>
        <v>3069000</v>
      </c>
      <c r="F17">
        <f t="shared" si="1"/>
        <v>339.54</v>
      </c>
      <c r="G17">
        <f t="shared" si="2"/>
        <v>534.4</v>
      </c>
    </row>
    <row r="18" spans="1:7" x14ac:dyDescent="0.35">
      <c r="A18">
        <v>3.0659999999999998</v>
      </c>
      <c r="B18">
        <v>339.62</v>
      </c>
      <c r="C18">
        <v>0.53400000000000003</v>
      </c>
      <c r="E18">
        <f t="shared" si="0"/>
        <v>3066000</v>
      </c>
      <c r="F18">
        <f t="shared" si="1"/>
        <v>339.62</v>
      </c>
      <c r="G18">
        <f t="shared" si="2"/>
        <v>534.00000000000011</v>
      </c>
    </row>
    <row r="19" spans="1:7" x14ac:dyDescent="0.35">
      <c r="A19">
        <v>3.3149999999999999</v>
      </c>
      <c r="B19">
        <v>342.99</v>
      </c>
      <c r="C19">
        <v>0.52810000000000001</v>
      </c>
      <c r="E19">
        <f t="shared" si="0"/>
        <v>3315000</v>
      </c>
      <c r="F19">
        <f t="shared" si="1"/>
        <v>342.99</v>
      </c>
      <c r="G19">
        <f t="shared" si="2"/>
        <v>528.1</v>
      </c>
    </row>
    <row r="20" spans="1:7" x14ac:dyDescent="0.35">
      <c r="A20">
        <v>4.5830000000000002</v>
      </c>
      <c r="B20">
        <v>356.33</v>
      </c>
      <c r="C20">
        <v>0.50109999999999999</v>
      </c>
      <c r="E20">
        <f t="shared" si="0"/>
        <v>4583000</v>
      </c>
      <c r="F20">
        <f t="shared" si="1"/>
        <v>356.33</v>
      </c>
      <c r="G20">
        <f t="shared" si="2"/>
        <v>501.09999999999997</v>
      </c>
    </row>
    <row r="21" spans="1:7" x14ac:dyDescent="0.35">
      <c r="A21">
        <v>4.665</v>
      </c>
      <c r="B21">
        <v>358.31</v>
      </c>
      <c r="C21">
        <v>0.49619999999999997</v>
      </c>
      <c r="E21">
        <f t="shared" si="0"/>
        <v>4665000</v>
      </c>
      <c r="F21">
        <f t="shared" si="1"/>
        <v>358.31</v>
      </c>
      <c r="G21">
        <f t="shared" si="2"/>
        <v>496.20000000000005</v>
      </c>
    </row>
    <row r="22" spans="1:7" x14ac:dyDescent="0.35">
      <c r="A22">
        <v>5.1029999999999998</v>
      </c>
      <c r="B22">
        <v>362.17</v>
      </c>
      <c r="C22">
        <v>0.48770000000000002</v>
      </c>
      <c r="E22">
        <f t="shared" si="0"/>
        <v>5103000</v>
      </c>
      <c r="F22">
        <f t="shared" si="1"/>
        <v>362.17</v>
      </c>
      <c r="G22">
        <f t="shared" si="2"/>
        <v>487.70000000000005</v>
      </c>
    </row>
    <row r="23" spans="1:7" x14ac:dyDescent="0.35">
      <c r="A23">
        <v>5.1050000000000004</v>
      </c>
      <c r="B23">
        <v>362.17</v>
      </c>
      <c r="C23">
        <v>0.48770000000000002</v>
      </c>
      <c r="E23">
        <f t="shared" si="0"/>
        <v>5105000</v>
      </c>
      <c r="F23">
        <f t="shared" si="1"/>
        <v>362.17</v>
      </c>
      <c r="G23">
        <f t="shared" si="2"/>
        <v>487.70000000000005</v>
      </c>
    </row>
    <row r="24" spans="1:7" x14ac:dyDescent="0.35">
      <c r="A24">
        <v>6.8760000000000003</v>
      </c>
      <c r="B24">
        <v>377.03</v>
      </c>
      <c r="C24">
        <v>0.44919999999999999</v>
      </c>
      <c r="E24">
        <f t="shared" si="0"/>
        <v>6876000</v>
      </c>
      <c r="F24">
        <f t="shared" si="1"/>
        <v>377.03</v>
      </c>
      <c r="G24">
        <f t="shared" si="2"/>
        <v>449.20000000000005</v>
      </c>
    </row>
    <row r="25" spans="1:7" x14ac:dyDescent="0.35">
      <c r="A25">
        <v>7.2569999999999997</v>
      </c>
      <c r="B25">
        <v>379.25</v>
      </c>
      <c r="C25">
        <v>0.44359999999999999</v>
      </c>
      <c r="E25">
        <f t="shared" si="0"/>
        <v>7257000</v>
      </c>
      <c r="F25">
        <f t="shared" si="1"/>
        <v>379.25</v>
      </c>
      <c r="G25">
        <f t="shared" si="2"/>
        <v>443.6</v>
      </c>
    </row>
    <row r="26" spans="1:7" x14ac:dyDescent="0.35">
      <c r="A26">
        <v>7.2560000000000002</v>
      </c>
      <c r="B26">
        <v>379.28</v>
      </c>
      <c r="C26">
        <v>0.44330000000000003</v>
      </c>
      <c r="E26">
        <f t="shared" si="0"/>
        <v>7256000</v>
      </c>
      <c r="F26">
        <f t="shared" si="1"/>
        <v>379.28</v>
      </c>
      <c r="G26">
        <f t="shared" si="2"/>
        <v>443.30000000000007</v>
      </c>
    </row>
    <row r="27" spans="1:7" x14ac:dyDescent="0.35">
      <c r="A27">
        <v>8.5969999999999995</v>
      </c>
      <c r="B27">
        <v>388.05</v>
      </c>
      <c r="C27">
        <v>0.4153</v>
      </c>
      <c r="E27">
        <f t="shared" si="0"/>
        <v>8597000</v>
      </c>
      <c r="F27">
        <f t="shared" si="1"/>
        <v>388.05</v>
      </c>
      <c r="G27">
        <f t="shared" si="2"/>
        <v>415.3</v>
      </c>
    </row>
    <row r="28" spans="1:7" x14ac:dyDescent="0.35">
      <c r="A28">
        <v>8.532</v>
      </c>
      <c r="B28">
        <v>388.16</v>
      </c>
      <c r="C28">
        <v>0.41349999999999998</v>
      </c>
      <c r="E28">
        <f t="shared" si="0"/>
        <v>8532000</v>
      </c>
      <c r="F28">
        <f t="shared" si="1"/>
        <v>388.16</v>
      </c>
      <c r="G28">
        <f t="shared" si="2"/>
        <v>413.49999999999994</v>
      </c>
    </row>
    <row r="29" spans="1:7" x14ac:dyDescent="0.35">
      <c r="A29">
        <v>8.5419999999999998</v>
      </c>
      <c r="B29">
        <v>388.16</v>
      </c>
      <c r="C29">
        <v>0.41370000000000001</v>
      </c>
      <c r="E29">
        <f t="shared" si="0"/>
        <v>8542000</v>
      </c>
      <c r="F29">
        <f t="shared" si="1"/>
        <v>388.16</v>
      </c>
      <c r="G29">
        <f t="shared" si="2"/>
        <v>413.70000000000005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0063-C016-4AF6-B987-41162496C3E5}">
  <dimension ref="A1:G9"/>
  <sheetViews>
    <sheetView workbookViewId="0">
      <selection activeCell="F2" sqref="F2:F9"/>
    </sheetView>
  </sheetViews>
  <sheetFormatPr defaultRowHeight="14.5" x14ac:dyDescent="0.35"/>
  <sheetData>
    <row r="1" spans="1:7" x14ac:dyDescent="0.35">
      <c r="A1" t="s">
        <v>19</v>
      </c>
      <c r="B1" t="s">
        <v>8</v>
      </c>
      <c r="C1" t="s">
        <v>20</v>
      </c>
      <c r="E1" t="s">
        <v>0</v>
      </c>
      <c r="F1" t="s">
        <v>1</v>
      </c>
      <c r="G1" t="s">
        <v>2</v>
      </c>
    </row>
    <row r="2" spans="1:7" x14ac:dyDescent="0.35">
      <c r="A2">
        <v>0.55800000000000005</v>
      </c>
      <c r="B2">
        <v>280.29000000000002</v>
      </c>
      <c r="C2">
        <v>3.5000000000000001E-3</v>
      </c>
      <c r="E2">
        <f>A2*1000000</f>
        <v>558000</v>
      </c>
      <c r="F2">
        <f>B2</f>
        <v>280.29000000000002</v>
      </c>
      <c r="G2">
        <f>C2*0.001*1000000</f>
        <v>3.5</v>
      </c>
    </row>
    <row r="3" spans="1:7" x14ac:dyDescent="0.35">
      <c r="A3">
        <v>0.57699999999999996</v>
      </c>
      <c r="B3">
        <v>282.60000000000002</v>
      </c>
      <c r="C3">
        <v>3.5000000000000001E-3</v>
      </c>
      <c r="E3">
        <f t="shared" ref="E3:E9" si="0">A3*1000000</f>
        <v>577000</v>
      </c>
      <c r="F3">
        <f t="shared" ref="F3:F9" si="1">B3</f>
        <v>282.60000000000002</v>
      </c>
      <c r="G3">
        <f t="shared" ref="G3:G9" si="2">C3*0.001*1000000</f>
        <v>3.5</v>
      </c>
    </row>
    <row r="4" spans="1:7" x14ac:dyDescent="0.35">
      <c r="A4">
        <v>1.0209999999999999</v>
      </c>
      <c r="B4">
        <v>299.83999999999997</v>
      </c>
      <c r="C4">
        <v>7.1999999999999998E-3</v>
      </c>
      <c r="E4">
        <f t="shared" si="0"/>
        <v>1020999.9999999999</v>
      </c>
      <c r="F4">
        <f t="shared" si="1"/>
        <v>299.83999999999997</v>
      </c>
      <c r="G4">
        <f t="shared" si="2"/>
        <v>7.1999999999999993</v>
      </c>
    </row>
    <row r="5" spans="1:7" x14ac:dyDescent="0.35">
      <c r="A5">
        <v>1.9</v>
      </c>
      <c r="B5">
        <v>322.36</v>
      </c>
      <c r="C5">
        <v>1.3599999999999999E-2</v>
      </c>
      <c r="E5">
        <f t="shared" si="0"/>
        <v>1900000</v>
      </c>
      <c r="F5">
        <f t="shared" si="1"/>
        <v>322.36</v>
      </c>
      <c r="G5">
        <f t="shared" si="2"/>
        <v>13.6</v>
      </c>
    </row>
    <row r="6" spans="1:7" x14ac:dyDescent="0.35">
      <c r="A6">
        <v>2.915</v>
      </c>
      <c r="B6">
        <v>339.42</v>
      </c>
      <c r="C6">
        <v>2.1700000000000001E-2</v>
      </c>
      <c r="E6">
        <f t="shared" si="0"/>
        <v>2915000</v>
      </c>
      <c r="F6">
        <f t="shared" si="1"/>
        <v>339.42</v>
      </c>
      <c r="G6">
        <f t="shared" si="2"/>
        <v>21.700000000000003</v>
      </c>
    </row>
    <row r="7" spans="1:7" x14ac:dyDescent="0.35">
      <c r="A7">
        <v>4.5830000000000002</v>
      </c>
      <c r="B7">
        <v>359.48</v>
      </c>
      <c r="C7">
        <v>3.6400000000000002E-2</v>
      </c>
      <c r="E7">
        <f t="shared" si="0"/>
        <v>4583000</v>
      </c>
      <c r="F7">
        <f t="shared" si="1"/>
        <v>359.48</v>
      </c>
      <c r="G7">
        <f t="shared" si="2"/>
        <v>36.400000000000006</v>
      </c>
    </row>
    <row r="8" spans="1:7" x14ac:dyDescent="0.35">
      <c r="A8">
        <v>6.8760000000000003</v>
      </c>
      <c r="B8">
        <v>379.12</v>
      </c>
      <c r="C8">
        <v>6.1600000000000002E-2</v>
      </c>
      <c r="E8">
        <f t="shared" si="0"/>
        <v>6876000</v>
      </c>
      <c r="F8">
        <f t="shared" si="1"/>
        <v>379.12</v>
      </c>
      <c r="G8">
        <f t="shared" si="2"/>
        <v>61.600000000000009</v>
      </c>
    </row>
    <row r="9" spans="1:7" x14ac:dyDescent="0.35">
      <c r="A9">
        <v>8.5969999999999995</v>
      </c>
      <c r="B9">
        <v>390.95</v>
      </c>
      <c r="C9">
        <v>8.6699999999999999E-2</v>
      </c>
      <c r="E9">
        <f t="shared" si="0"/>
        <v>8597000</v>
      </c>
      <c r="F9">
        <f t="shared" si="1"/>
        <v>390.95</v>
      </c>
      <c r="G9">
        <f t="shared" si="2"/>
        <v>86.7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138D-89D8-49A3-84CF-0E2D645B4DA9}">
  <dimension ref="A1:I101"/>
  <sheetViews>
    <sheetView workbookViewId="0">
      <selection activeCell="E2" sqref="E2"/>
    </sheetView>
  </sheetViews>
  <sheetFormatPr defaultRowHeight="14.5" x14ac:dyDescent="0.35"/>
  <sheetData>
    <row r="1" spans="1:9" x14ac:dyDescent="0.35">
      <c r="A1" t="s">
        <v>3</v>
      </c>
      <c r="B1" t="s">
        <v>4</v>
      </c>
      <c r="C1" t="s">
        <v>18</v>
      </c>
      <c r="E1" t="s">
        <v>7</v>
      </c>
      <c r="F1" t="s">
        <v>8</v>
      </c>
      <c r="G1" t="s">
        <v>9</v>
      </c>
      <c r="I1" t="s">
        <v>17</v>
      </c>
    </row>
    <row r="2" spans="1:9" x14ac:dyDescent="0.35">
      <c r="A2">
        <v>108.33</v>
      </c>
      <c r="B2">
        <v>131.05000000000001</v>
      </c>
      <c r="C2">
        <v>9.11</v>
      </c>
      <c r="E2">
        <f t="shared" ref="E2:E33" si="0">A2*101325</f>
        <v>10976537.25</v>
      </c>
      <c r="F2">
        <f>B2+273.15</f>
        <v>404.2</v>
      </c>
      <c r="G2">
        <f>C2*$I$2*1000</f>
        <v>155.1480372</v>
      </c>
      <c r="I2">
        <f>0.01703052</f>
        <v>1.703052E-2</v>
      </c>
    </row>
    <row r="3" spans="1:9" x14ac:dyDescent="0.35">
      <c r="A3">
        <v>108.55</v>
      </c>
      <c r="B3">
        <v>131.05000000000001</v>
      </c>
      <c r="C3">
        <v>9.3960000000000008</v>
      </c>
      <c r="E3">
        <f t="shared" si="0"/>
        <v>10998828.75</v>
      </c>
      <c r="F3">
        <f t="shared" ref="F3:F66" si="1">B3+273.15</f>
        <v>404.2</v>
      </c>
      <c r="G3">
        <f t="shared" ref="G3:G66" si="2">C3*$I$2*1000</f>
        <v>160.01876592000002</v>
      </c>
    </row>
    <row r="4" spans="1:9" x14ac:dyDescent="0.35">
      <c r="A4">
        <v>108.75</v>
      </c>
      <c r="B4">
        <v>131.05000000000001</v>
      </c>
      <c r="C4">
        <v>9.7089999999999996</v>
      </c>
      <c r="E4">
        <f t="shared" si="0"/>
        <v>11019093.75</v>
      </c>
      <c r="F4">
        <f t="shared" si="1"/>
        <v>404.2</v>
      </c>
      <c r="G4">
        <f t="shared" si="2"/>
        <v>165.34931867999998</v>
      </c>
    </row>
    <row r="5" spans="1:9" x14ac:dyDescent="0.35">
      <c r="A5">
        <v>108.89</v>
      </c>
      <c r="B5">
        <v>131.05000000000001</v>
      </c>
      <c r="C5">
        <v>10.042</v>
      </c>
      <c r="E5">
        <f t="shared" si="0"/>
        <v>11033279.25</v>
      </c>
      <c r="F5">
        <f t="shared" si="1"/>
        <v>404.2</v>
      </c>
      <c r="G5">
        <f t="shared" si="2"/>
        <v>171.02048184</v>
      </c>
    </row>
    <row r="6" spans="1:9" x14ac:dyDescent="0.35">
      <c r="A6">
        <v>109.03</v>
      </c>
      <c r="B6">
        <v>131.05000000000001</v>
      </c>
      <c r="C6">
        <v>10.398999999999999</v>
      </c>
      <c r="E6">
        <f t="shared" si="0"/>
        <v>11047464.75</v>
      </c>
      <c r="F6">
        <f t="shared" si="1"/>
        <v>404.2</v>
      </c>
      <c r="G6">
        <f t="shared" si="2"/>
        <v>177.10037747999999</v>
      </c>
    </row>
    <row r="7" spans="1:9" x14ac:dyDescent="0.35">
      <c r="A7">
        <v>109.14</v>
      </c>
      <c r="B7">
        <v>131.05000000000001</v>
      </c>
      <c r="C7">
        <v>11.784000000000001</v>
      </c>
      <c r="E7">
        <f t="shared" si="0"/>
        <v>11058610.5</v>
      </c>
      <c r="F7">
        <f t="shared" si="1"/>
        <v>404.2</v>
      </c>
      <c r="G7">
        <f t="shared" si="2"/>
        <v>200.68764768000003</v>
      </c>
    </row>
    <row r="8" spans="1:9" x14ac:dyDescent="0.35">
      <c r="A8">
        <v>109.17</v>
      </c>
      <c r="B8">
        <v>131.05000000000001</v>
      </c>
      <c r="C8">
        <v>13.114000000000001</v>
      </c>
      <c r="E8">
        <f t="shared" si="0"/>
        <v>11061650.25</v>
      </c>
      <c r="F8">
        <f t="shared" si="1"/>
        <v>404.2</v>
      </c>
      <c r="G8">
        <f t="shared" si="2"/>
        <v>223.33823928000001</v>
      </c>
    </row>
    <row r="9" spans="1:9" x14ac:dyDescent="0.35">
      <c r="A9">
        <v>109.17</v>
      </c>
      <c r="B9">
        <v>131.05000000000001</v>
      </c>
      <c r="C9">
        <v>13.114000000000001</v>
      </c>
      <c r="E9">
        <f t="shared" si="0"/>
        <v>11061650.25</v>
      </c>
      <c r="F9">
        <f t="shared" si="1"/>
        <v>404.2</v>
      </c>
      <c r="G9">
        <f t="shared" si="2"/>
        <v>223.33823928000001</v>
      </c>
    </row>
    <row r="10" spans="1:9" x14ac:dyDescent="0.35">
      <c r="A10">
        <v>109.17</v>
      </c>
      <c r="B10">
        <v>131.05000000000001</v>
      </c>
      <c r="C10">
        <v>14.768000000000001</v>
      </c>
      <c r="E10">
        <f t="shared" si="0"/>
        <v>11061650.25</v>
      </c>
      <c r="F10">
        <f t="shared" si="1"/>
        <v>404.2</v>
      </c>
      <c r="G10">
        <f t="shared" si="2"/>
        <v>251.50671936000003</v>
      </c>
    </row>
    <row r="11" spans="1:9" x14ac:dyDescent="0.35">
      <c r="A11">
        <v>109.31</v>
      </c>
      <c r="B11">
        <v>131.05000000000001</v>
      </c>
      <c r="C11">
        <v>17.420000000000002</v>
      </c>
      <c r="E11">
        <f t="shared" si="0"/>
        <v>11075835.75</v>
      </c>
      <c r="F11">
        <f t="shared" si="1"/>
        <v>404.2</v>
      </c>
      <c r="G11">
        <f t="shared" si="2"/>
        <v>296.67165840000001</v>
      </c>
    </row>
    <row r="12" spans="1:9" x14ac:dyDescent="0.35">
      <c r="A12">
        <v>109.65</v>
      </c>
      <c r="B12">
        <v>131.05000000000001</v>
      </c>
      <c r="C12">
        <v>17.843</v>
      </c>
      <c r="E12">
        <f t="shared" si="0"/>
        <v>11110286.25</v>
      </c>
      <c r="F12">
        <f t="shared" si="1"/>
        <v>404.2</v>
      </c>
      <c r="G12">
        <f t="shared" si="2"/>
        <v>303.87556835999999</v>
      </c>
    </row>
    <row r="13" spans="1:9" x14ac:dyDescent="0.35">
      <c r="A13">
        <v>110.32</v>
      </c>
      <c r="B13">
        <v>131.05000000000001</v>
      </c>
      <c r="C13">
        <v>18.297000000000001</v>
      </c>
      <c r="E13">
        <f t="shared" si="0"/>
        <v>11178174</v>
      </c>
      <c r="F13">
        <f t="shared" si="1"/>
        <v>404.2</v>
      </c>
      <c r="G13">
        <f t="shared" si="2"/>
        <v>311.60742443999999</v>
      </c>
    </row>
    <row r="14" spans="1:9" x14ac:dyDescent="0.35">
      <c r="A14">
        <v>111.21</v>
      </c>
      <c r="B14">
        <v>131.05000000000001</v>
      </c>
      <c r="C14">
        <v>18.72</v>
      </c>
      <c r="E14">
        <f t="shared" si="0"/>
        <v>11268353.25</v>
      </c>
      <c r="F14">
        <f t="shared" si="1"/>
        <v>404.2</v>
      </c>
      <c r="G14">
        <f t="shared" si="2"/>
        <v>318.81133439999996</v>
      </c>
    </row>
    <row r="15" spans="1:9" x14ac:dyDescent="0.35">
      <c r="A15">
        <v>109.18</v>
      </c>
      <c r="B15">
        <v>131.54</v>
      </c>
      <c r="C15">
        <v>9.0730000000000004</v>
      </c>
      <c r="E15">
        <f t="shared" si="0"/>
        <v>11062663.5</v>
      </c>
      <c r="F15">
        <f t="shared" si="1"/>
        <v>404.68999999999994</v>
      </c>
      <c r="G15">
        <f t="shared" si="2"/>
        <v>154.51790796</v>
      </c>
    </row>
    <row r="16" spans="1:9" x14ac:dyDescent="0.35">
      <c r="A16">
        <v>109.44</v>
      </c>
      <c r="B16">
        <v>131.54</v>
      </c>
      <c r="C16">
        <v>9.4849999999999994</v>
      </c>
      <c r="E16">
        <f t="shared" si="0"/>
        <v>11089008</v>
      </c>
      <c r="F16">
        <f t="shared" si="1"/>
        <v>404.68999999999994</v>
      </c>
      <c r="G16">
        <f t="shared" si="2"/>
        <v>161.53448219999999</v>
      </c>
    </row>
    <row r="17" spans="1:7" x14ac:dyDescent="0.35">
      <c r="A17">
        <v>109.68</v>
      </c>
      <c r="B17">
        <v>131.54</v>
      </c>
      <c r="C17">
        <v>9.9710000000000001</v>
      </c>
      <c r="E17">
        <f t="shared" si="0"/>
        <v>11113326</v>
      </c>
      <c r="F17">
        <f t="shared" si="1"/>
        <v>404.68999999999994</v>
      </c>
      <c r="G17">
        <f t="shared" si="2"/>
        <v>169.81131492</v>
      </c>
    </row>
    <row r="18" spans="1:7" x14ac:dyDescent="0.35">
      <c r="A18">
        <v>109.81</v>
      </c>
      <c r="B18">
        <v>131.54</v>
      </c>
      <c r="C18">
        <v>10.286</v>
      </c>
      <c r="E18">
        <f t="shared" si="0"/>
        <v>11126498.25</v>
      </c>
      <c r="F18">
        <f t="shared" si="1"/>
        <v>404.68999999999994</v>
      </c>
      <c r="G18">
        <f t="shared" si="2"/>
        <v>175.17592871999997</v>
      </c>
    </row>
    <row r="19" spans="1:7" x14ac:dyDescent="0.35">
      <c r="A19">
        <v>109.93</v>
      </c>
      <c r="B19">
        <v>131.54</v>
      </c>
      <c r="C19">
        <v>10.664</v>
      </c>
      <c r="E19">
        <f t="shared" si="0"/>
        <v>11138657.25</v>
      </c>
      <c r="F19">
        <f t="shared" si="1"/>
        <v>404.68999999999994</v>
      </c>
      <c r="G19">
        <f t="shared" si="2"/>
        <v>181.61346527999999</v>
      </c>
    </row>
    <row r="20" spans="1:7" x14ac:dyDescent="0.35">
      <c r="A20">
        <v>110.03</v>
      </c>
      <c r="B20">
        <v>131.54</v>
      </c>
      <c r="C20">
        <v>11.35</v>
      </c>
      <c r="E20">
        <f t="shared" si="0"/>
        <v>11148789.75</v>
      </c>
      <c r="F20">
        <f t="shared" si="1"/>
        <v>404.68999999999994</v>
      </c>
      <c r="G20">
        <f t="shared" si="2"/>
        <v>193.296402</v>
      </c>
    </row>
    <row r="21" spans="1:7" x14ac:dyDescent="0.35">
      <c r="A21">
        <v>110.07</v>
      </c>
      <c r="B21">
        <v>131.54</v>
      </c>
      <c r="C21">
        <v>12.308</v>
      </c>
      <c r="E21">
        <f t="shared" si="0"/>
        <v>11152842.75</v>
      </c>
      <c r="F21">
        <f t="shared" si="1"/>
        <v>404.68999999999994</v>
      </c>
      <c r="G21">
        <f t="shared" si="2"/>
        <v>209.61164016000001</v>
      </c>
    </row>
    <row r="22" spans="1:7" x14ac:dyDescent="0.35">
      <c r="A22">
        <v>110.09</v>
      </c>
      <c r="B22">
        <v>131.54</v>
      </c>
      <c r="C22">
        <v>13.444000000000001</v>
      </c>
      <c r="E22">
        <f t="shared" si="0"/>
        <v>11154869.25</v>
      </c>
      <c r="F22">
        <f t="shared" si="1"/>
        <v>404.68999999999994</v>
      </c>
      <c r="G22">
        <f t="shared" si="2"/>
        <v>228.95831088000003</v>
      </c>
    </row>
    <row r="23" spans="1:7" x14ac:dyDescent="0.35">
      <c r="A23">
        <v>110.13</v>
      </c>
      <c r="B23">
        <v>131.54</v>
      </c>
      <c r="C23">
        <v>15.603</v>
      </c>
      <c r="E23">
        <f t="shared" si="0"/>
        <v>11158922.25</v>
      </c>
      <c r="F23">
        <f t="shared" si="1"/>
        <v>404.68999999999994</v>
      </c>
      <c r="G23">
        <f t="shared" si="2"/>
        <v>265.72720356000002</v>
      </c>
    </row>
    <row r="24" spans="1:7" x14ac:dyDescent="0.35">
      <c r="A24">
        <v>110.12</v>
      </c>
      <c r="B24">
        <v>131.54</v>
      </c>
      <c r="C24">
        <v>16.207999999999998</v>
      </c>
      <c r="E24">
        <f t="shared" si="0"/>
        <v>11157909</v>
      </c>
      <c r="F24">
        <f t="shared" si="1"/>
        <v>404.68999999999994</v>
      </c>
      <c r="G24">
        <f t="shared" si="2"/>
        <v>276.03066816</v>
      </c>
    </row>
    <row r="25" spans="1:7" x14ac:dyDescent="0.35">
      <c r="A25">
        <v>110.27</v>
      </c>
      <c r="B25">
        <v>131.54</v>
      </c>
      <c r="C25">
        <v>16.963000000000001</v>
      </c>
      <c r="E25">
        <f t="shared" si="0"/>
        <v>11173107.75</v>
      </c>
      <c r="F25">
        <f t="shared" si="1"/>
        <v>404.68999999999994</v>
      </c>
      <c r="G25">
        <f t="shared" si="2"/>
        <v>288.88871075999998</v>
      </c>
    </row>
    <row r="26" spans="1:7" x14ac:dyDescent="0.35">
      <c r="A26">
        <v>110.8</v>
      </c>
      <c r="B26">
        <v>131.54</v>
      </c>
      <c r="C26">
        <v>17.684999999999999</v>
      </c>
      <c r="E26">
        <f t="shared" si="0"/>
        <v>11226810</v>
      </c>
      <c r="F26">
        <f t="shared" si="1"/>
        <v>404.68999999999994</v>
      </c>
      <c r="G26">
        <f t="shared" si="2"/>
        <v>301.18474619999995</v>
      </c>
    </row>
    <row r="27" spans="1:7" x14ac:dyDescent="0.35">
      <c r="A27">
        <v>111.45</v>
      </c>
      <c r="B27">
        <v>131.54</v>
      </c>
      <c r="C27">
        <v>18.126999999999999</v>
      </c>
      <c r="E27">
        <f t="shared" si="0"/>
        <v>11292671.25</v>
      </c>
      <c r="F27">
        <f t="shared" si="1"/>
        <v>404.68999999999994</v>
      </c>
      <c r="G27">
        <f t="shared" si="2"/>
        <v>308.71223603999999</v>
      </c>
    </row>
    <row r="28" spans="1:7" x14ac:dyDescent="0.35">
      <c r="A28">
        <v>112.56</v>
      </c>
      <c r="B28">
        <v>131.54</v>
      </c>
      <c r="C28">
        <v>18.657</v>
      </c>
      <c r="E28">
        <f t="shared" si="0"/>
        <v>11405142</v>
      </c>
      <c r="F28">
        <f t="shared" si="1"/>
        <v>404.68999999999994</v>
      </c>
      <c r="G28">
        <f t="shared" si="2"/>
        <v>317.73841163999998</v>
      </c>
    </row>
    <row r="29" spans="1:7" x14ac:dyDescent="0.35">
      <c r="A29">
        <v>109.93</v>
      </c>
      <c r="B29">
        <v>132.04</v>
      </c>
      <c r="C29">
        <v>9.0749999999999993</v>
      </c>
      <c r="E29">
        <f t="shared" si="0"/>
        <v>11138657.25</v>
      </c>
      <c r="F29">
        <f t="shared" si="1"/>
        <v>405.18999999999994</v>
      </c>
      <c r="G29">
        <f t="shared" si="2"/>
        <v>154.55196899999999</v>
      </c>
    </row>
    <row r="30" spans="1:7" x14ac:dyDescent="0.35">
      <c r="A30">
        <v>110.23</v>
      </c>
      <c r="B30">
        <v>132.04</v>
      </c>
      <c r="C30">
        <v>9.4060000000000006</v>
      </c>
      <c r="E30">
        <f t="shared" si="0"/>
        <v>11169054.75</v>
      </c>
      <c r="F30">
        <f t="shared" si="1"/>
        <v>405.18999999999994</v>
      </c>
      <c r="G30">
        <f t="shared" si="2"/>
        <v>160.18907112000002</v>
      </c>
    </row>
    <row r="31" spans="1:7" x14ac:dyDescent="0.35">
      <c r="A31">
        <v>110.44</v>
      </c>
      <c r="B31">
        <v>132.04</v>
      </c>
      <c r="C31">
        <v>9.7530000000000001</v>
      </c>
      <c r="E31">
        <f t="shared" si="0"/>
        <v>11190333</v>
      </c>
      <c r="F31">
        <f t="shared" si="1"/>
        <v>405.18999999999994</v>
      </c>
      <c r="G31">
        <f t="shared" si="2"/>
        <v>166.09866156000001</v>
      </c>
    </row>
    <row r="32" spans="1:7" x14ac:dyDescent="0.35">
      <c r="A32">
        <v>110.59</v>
      </c>
      <c r="B32">
        <v>132.04</v>
      </c>
      <c r="C32">
        <v>10.11</v>
      </c>
      <c r="E32">
        <f t="shared" si="0"/>
        <v>11205531.75</v>
      </c>
      <c r="F32">
        <f t="shared" si="1"/>
        <v>405.18999999999994</v>
      </c>
      <c r="G32">
        <f t="shared" si="2"/>
        <v>172.1785572</v>
      </c>
    </row>
    <row r="33" spans="1:7" x14ac:dyDescent="0.35">
      <c r="A33">
        <v>110.73</v>
      </c>
      <c r="B33">
        <v>132.04</v>
      </c>
      <c r="C33">
        <v>10.474</v>
      </c>
      <c r="E33">
        <f t="shared" si="0"/>
        <v>11219717.25</v>
      </c>
      <c r="F33">
        <f t="shared" si="1"/>
        <v>405.18999999999994</v>
      </c>
      <c r="G33">
        <f t="shared" si="2"/>
        <v>178.37766648000002</v>
      </c>
    </row>
    <row r="34" spans="1:7" x14ac:dyDescent="0.35">
      <c r="A34">
        <v>110.84</v>
      </c>
      <c r="B34">
        <v>132.04</v>
      </c>
      <c r="C34">
        <v>10.903</v>
      </c>
      <c r="E34">
        <f t="shared" ref="E34:E65" si="3">A34*101325</f>
        <v>11230863</v>
      </c>
      <c r="F34">
        <f t="shared" si="1"/>
        <v>405.18999999999994</v>
      </c>
      <c r="G34">
        <f t="shared" si="2"/>
        <v>185.68375956000003</v>
      </c>
    </row>
    <row r="35" spans="1:7" x14ac:dyDescent="0.35">
      <c r="A35">
        <v>110.95</v>
      </c>
      <c r="B35">
        <v>132.04</v>
      </c>
      <c r="C35">
        <v>11.552</v>
      </c>
      <c r="E35">
        <f t="shared" si="3"/>
        <v>11242008.75</v>
      </c>
      <c r="F35">
        <f t="shared" si="1"/>
        <v>405.18999999999994</v>
      </c>
      <c r="G35">
        <f t="shared" si="2"/>
        <v>196.73656704000001</v>
      </c>
    </row>
    <row r="36" spans="1:7" x14ac:dyDescent="0.35">
      <c r="A36">
        <v>111</v>
      </c>
      <c r="B36">
        <v>132.04</v>
      </c>
      <c r="C36">
        <v>12.547000000000001</v>
      </c>
      <c r="E36">
        <f t="shared" si="3"/>
        <v>11247075</v>
      </c>
      <c r="F36">
        <f t="shared" si="1"/>
        <v>405.18999999999994</v>
      </c>
      <c r="G36">
        <f t="shared" si="2"/>
        <v>213.68193444000002</v>
      </c>
    </row>
    <row r="37" spans="1:7" x14ac:dyDescent="0.35">
      <c r="A37">
        <v>111.04</v>
      </c>
      <c r="B37">
        <v>132.04</v>
      </c>
      <c r="C37">
        <v>13.73</v>
      </c>
      <c r="E37">
        <f t="shared" si="3"/>
        <v>11251128</v>
      </c>
      <c r="F37">
        <f t="shared" si="1"/>
        <v>405.18999999999994</v>
      </c>
      <c r="G37">
        <f t="shared" si="2"/>
        <v>233.82903960000002</v>
      </c>
    </row>
    <row r="38" spans="1:7" x14ac:dyDescent="0.35">
      <c r="A38">
        <v>111.12</v>
      </c>
      <c r="B38">
        <v>132.04</v>
      </c>
      <c r="C38">
        <v>15.163</v>
      </c>
      <c r="E38">
        <f t="shared" si="3"/>
        <v>11259234</v>
      </c>
      <c r="F38">
        <f t="shared" si="1"/>
        <v>405.18999999999994</v>
      </c>
      <c r="G38">
        <f t="shared" si="2"/>
        <v>258.23377476000002</v>
      </c>
    </row>
    <row r="39" spans="1:7" x14ac:dyDescent="0.35">
      <c r="A39">
        <v>111.17</v>
      </c>
      <c r="B39">
        <v>132.04</v>
      </c>
      <c r="C39">
        <v>15.984999999999999</v>
      </c>
      <c r="E39">
        <f t="shared" si="3"/>
        <v>11264300.25</v>
      </c>
      <c r="F39">
        <f t="shared" si="1"/>
        <v>405.18999999999994</v>
      </c>
      <c r="G39">
        <f t="shared" si="2"/>
        <v>272.2328622</v>
      </c>
    </row>
    <row r="40" spans="1:7" x14ac:dyDescent="0.35">
      <c r="A40">
        <v>111.35</v>
      </c>
      <c r="B40">
        <v>132.04</v>
      </c>
      <c r="C40">
        <v>16.678000000000001</v>
      </c>
      <c r="E40">
        <f t="shared" si="3"/>
        <v>11282538.75</v>
      </c>
      <c r="F40">
        <f t="shared" si="1"/>
        <v>405.18999999999994</v>
      </c>
      <c r="G40">
        <f t="shared" si="2"/>
        <v>284.03501256000004</v>
      </c>
    </row>
    <row r="41" spans="1:7" x14ac:dyDescent="0.35">
      <c r="A41">
        <v>111.75</v>
      </c>
      <c r="B41">
        <v>132.04</v>
      </c>
      <c r="C41">
        <v>17.318999999999999</v>
      </c>
      <c r="E41">
        <f t="shared" si="3"/>
        <v>11323068.75</v>
      </c>
      <c r="F41">
        <f t="shared" si="1"/>
        <v>405.18999999999994</v>
      </c>
      <c r="G41">
        <f t="shared" si="2"/>
        <v>294.95157588000001</v>
      </c>
    </row>
    <row r="42" spans="1:7" x14ac:dyDescent="0.35">
      <c r="A42">
        <v>112.82</v>
      </c>
      <c r="B42">
        <v>132.04</v>
      </c>
      <c r="C42">
        <v>18.064</v>
      </c>
      <c r="E42">
        <f t="shared" si="3"/>
        <v>11431486.5</v>
      </c>
      <c r="F42">
        <f t="shared" si="1"/>
        <v>405.18999999999994</v>
      </c>
      <c r="G42">
        <f t="shared" si="2"/>
        <v>307.63931328000001</v>
      </c>
    </row>
    <row r="43" spans="1:7" x14ac:dyDescent="0.35">
      <c r="A43">
        <v>114.1</v>
      </c>
      <c r="B43">
        <v>132.04</v>
      </c>
      <c r="C43">
        <v>18.648</v>
      </c>
      <c r="E43">
        <f t="shared" si="3"/>
        <v>11561182.5</v>
      </c>
      <c r="F43">
        <f t="shared" si="1"/>
        <v>405.18999999999994</v>
      </c>
      <c r="G43">
        <f t="shared" si="2"/>
        <v>317.58513696</v>
      </c>
    </row>
    <row r="44" spans="1:7" x14ac:dyDescent="0.35">
      <c r="A44">
        <v>110.44</v>
      </c>
      <c r="B44">
        <v>132.25</v>
      </c>
      <c r="C44">
        <v>9.19</v>
      </c>
      <c r="E44">
        <f t="shared" si="3"/>
        <v>11190333</v>
      </c>
      <c r="F44">
        <f t="shared" si="1"/>
        <v>405.4</v>
      </c>
      <c r="G44">
        <f t="shared" si="2"/>
        <v>156.51047879999999</v>
      </c>
    </row>
    <row r="45" spans="1:7" x14ac:dyDescent="0.35">
      <c r="A45">
        <v>110.65</v>
      </c>
      <c r="B45">
        <v>132.25</v>
      </c>
      <c r="C45">
        <v>9.4559999999999995</v>
      </c>
      <c r="E45">
        <f t="shared" si="3"/>
        <v>11211611.25</v>
      </c>
      <c r="F45">
        <f t="shared" si="1"/>
        <v>405.4</v>
      </c>
      <c r="G45">
        <f t="shared" si="2"/>
        <v>161.04059712</v>
      </c>
    </row>
    <row r="46" spans="1:7" x14ac:dyDescent="0.35">
      <c r="A46">
        <v>110.86</v>
      </c>
      <c r="B46">
        <v>132.25</v>
      </c>
      <c r="C46">
        <v>9.77</v>
      </c>
      <c r="E46">
        <f t="shared" si="3"/>
        <v>11232889.5</v>
      </c>
      <c r="F46">
        <f t="shared" si="1"/>
        <v>405.4</v>
      </c>
      <c r="G46">
        <f t="shared" si="2"/>
        <v>166.38818040000001</v>
      </c>
    </row>
    <row r="47" spans="1:7" x14ac:dyDescent="0.35">
      <c r="A47">
        <v>111.03</v>
      </c>
      <c r="B47">
        <v>132.25</v>
      </c>
      <c r="C47">
        <v>10.141</v>
      </c>
      <c r="E47">
        <f t="shared" si="3"/>
        <v>11250114.75</v>
      </c>
      <c r="F47">
        <f t="shared" si="1"/>
        <v>405.4</v>
      </c>
      <c r="G47">
        <f t="shared" si="2"/>
        <v>172.70650332</v>
      </c>
    </row>
    <row r="48" spans="1:7" x14ac:dyDescent="0.35">
      <c r="A48">
        <v>111.17</v>
      </c>
      <c r="B48">
        <v>132.25</v>
      </c>
      <c r="C48">
        <v>10.528</v>
      </c>
      <c r="E48">
        <f t="shared" si="3"/>
        <v>11264300.25</v>
      </c>
      <c r="F48">
        <f t="shared" si="1"/>
        <v>405.4</v>
      </c>
      <c r="G48">
        <f t="shared" si="2"/>
        <v>179.29731456000002</v>
      </c>
    </row>
    <row r="49" spans="1:7" x14ac:dyDescent="0.35">
      <c r="A49">
        <v>111.26</v>
      </c>
      <c r="B49">
        <v>132.25</v>
      </c>
      <c r="C49">
        <v>10.901999999999999</v>
      </c>
      <c r="E49">
        <f t="shared" si="3"/>
        <v>11273419.5</v>
      </c>
      <c r="F49">
        <f t="shared" si="1"/>
        <v>405.4</v>
      </c>
      <c r="G49">
        <f t="shared" si="2"/>
        <v>185.66672903999998</v>
      </c>
    </row>
    <row r="50" spans="1:7" x14ac:dyDescent="0.35">
      <c r="A50">
        <v>111.35</v>
      </c>
      <c r="B50">
        <v>132.25</v>
      </c>
      <c r="C50">
        <v>11.324</v>
      </c>
      <c r="E50">
        <f t="shared" si="3"/>
        <v>11282538.75</v>
      </c>
      <c r="F50">
        <f t="shared" si="1"/>
        <v>405.4</v>
      </c>
      <c r="G50">
        <f t="shared" si="2"/>
        <v>192.85360847999999</v>
      </c>
    </row>
    <row r="51" spans="1:7" x14ac:dyDescent="0.35">
      <c r="A51">
        <v>111.43</v>
      </c>
      <c r="B51">
        <v>132.25</v>
      </c>
      <c r="C51">
        <v>11.654</v>
      </c>
      <c r="E51">
        <f t="shared" si="3"/>
        <v>11290644.75</v>
      </c>
      <c r="F51">
        <f t="shared" si="1"/>
        <v>405.4</v>
      </c>
      <c r="G51">
        <f t="shared" si="2"/>
        <v>198.47368007999998</v>
      </c>
    </row>
    <row r="52" spans="1:7" x14ac:dyDescent="0.35">
      <c r="A52">
        <v>111.48</v>
      </c>
      <c r="B52">
        <v>132.25</v>
      </c>
      <c r="C52">
        <v>12.519</v>
      </c>
      <c r="E52">
        <f t="shared" si="3"/>
        <v>11295711</v>
      </c>
      <c r="F52">
        <f t="shared" si="1"/>
        <v>405.4</v>
      </c>
      <c r="G52">
        <f t="shared" si="2"/>
        <v>213.20507988</v>
      </c>
    </row>
    <row r="53" spans="1:7" x14ac:dyDescent="0.35">
      <c r="A53">
        <v>111.54</v>
      </c>
      <c r="B53">
        <v>132.25</v>
      </c>
      <c r="C53">
        <v>13.409000000000001</v>
      </c>
      <c r="E53">
        <f t="shared" si="3"/>
        <v>11301790.5</v>
      </c>
      <c r="F53">
        <f t="shared" si="1"/>
        <v>405.4</v>
      </c>
      <c r="G53">
        <f t="shared" si="2"/>
        <v>228.36224268000001</v>
      </c>
    </row>
    <row r="54" spans="1:7" x14ac:dyDescent="0.35">
      <c r="A54">
        <v>111.55</v>
      </c>
      <c r="B54">
        <v>132.25</v>
      </c>
      <c r="C54">
        <v>14.228</v>
      </c>
      <c r="E54">
        <f t="shared" si="3"/>
        <v>11302803.75</v>
      </c>
      <c r="F54">
        <f t="shared" si="1"/>
        <v>405.4</v>
      </c>
      <c r="G54">
        <f t="shared" si="2"/>
        <v>242.31023856000002</v>
      </c>
    </row>
    <row r="55" spans="1:7" x14ac:dyDescent="0.35">
      <c r="A55">
        <v>111.56</v>
      </c>
      <c r="B55">
        <v>132.25</v>
      </c>
      <c r="C55">
        <v>14.843</v>
      </c>
      <c r="E55">
        <f t="shared" si="3"/>
        <v>11303817</v>
      </c>
      <c r="F55">
        <f t="shared" si="1"/>
        <v>405.4</v>
      </c>
      <c r="G55">
        <f t="shared" si="2"/>
        <v>252.78400835999997</v>
      </c>
    </row>
    <row r="56" spans="1:7" x14ac:dyDescent="0.35">
      <c r="A56">
        <v>111.64</v>
      </c>
      <c r="B56">
        <v>132.25</v>
      </c>
      <c r="C56">
        <v>15.391999999999999</v>
      </c>
      <c r="E56">
        <f t="shared" si="3"/>
        <v>11311923</v>
      </c>
      <c r="F56">
        <f t="shared" si="1"/>
        <v>405.4</v>
      </c>
      <c r="G56">
        <f t="shared" si="2"/>
        <v>262.13376383999997</v>
      </c>
    </row>
    <row r="57" spans="1:7" x14ac:dyDescent="0.35">
      <c r="A57">
        <v>111.76</v>
      </c>
      <c r="B57">
        <v>132.25</v>
      </c>
      <c r="C57">
        <v>16.074999999999999</v>
      </c>
      <c r="E57">
        <f t="shared" si="3"/>
        <v>11324082</v>
      </c>
      <c r="F57">
        <f t="shared" si="1"/>
        <v>405.4</v>
      </c>
      <c r="G57">
        <f t="shared" si="2"/>
        <v>273.76560900000004</v>
      </c>
    </row>
    <row r="58" spans="1:7" x14ac:dyDescent="0.35">
      <c r="A58">
        <v>111.89</v>
      </c>
      <c r="B58">
        <v>132.25</v>
      </c>
      <c r="C58">
        <v>16.577999999999999</v>
      </c>
      <c r="E58">
        <f t="shared" si="3"/>
        <v>11337254.25</v>
      </c>
      <c r="F58">
        <f t="shared" si="1"/>
        <v>405.4</v>
      </c>
      <c r="G58">
        <f t="shared" si="2"/>
        <v>282.33196055999997</v>
      </c>
    </row>
    <row r="59" spans="1:7" x14ac:dyDescent="0.35">
      <c r="A59">
        <v>112.2</v>
      </c>
      <c r="B59">
        <v>132.25</v>
      </c>
      <c r="C59">
        <v>17.015000000000001</v>
      </c>
      <c r="E59">
        <f t="shared" si="3"/>
        <v>11368665</v>
      </c>
      <c r="F59">
        <f t="shared" si="1"/>
        <v>405.4</v>
      </c>
      <c r="G59">
        <f t="shared" si="2"/>
        <v>289.7742978</v>
      </c>
    </row>
    <row r="60" spans="1:7" x14ac:dyDescent="0.35">
      <c r="A60">
        <v>112.69</v>
      </c>
      <c r="B60">
        <v>132.25</v>
      </c>
      <c r="C60">
        <v>17.533999999999999</v>
      </c>
      <c r="E60">
        <f t="shared" si="3"/>
        <v>11418314.25</v>
      </c>
      <c r="F60">
        <f t="shared" si="1"/>
        <v>405.4</v>
      </c>
      <c r="G60">
        <f t="shared" si="2"/>
        <v>298.61313767999997</v>
      </c>
    </row>
    <row r="61" spans="1:7" x14ac:dyDescent="0.35">
      <c r="A61">
        <v>113.34</v>
      </c>
      <c r="B61">
        <v>132.25</v>
      </c>
      <c r="C61">
        <v>17.965</v>
      </c>
      <c r="E61">
        <f t="shared" si="3"/>
        <v>11484175.5</v>
      </c>
      <c r="F61">
        <f t="shared" si="1"/>
        <v>405.4</v>
      </c>
      <c r="G61">
        <f t="shared" si="2"/>
        <v>305.95329180000004</v>
      </c>
    </row>
    <row r="62" spans="1:7" x14ac:dyDescent="0.35">
      <c r="A62">
        <v>114.86</v>
      </c>
      <c r="B62">
        <v>132.25</v>
      </c>
      <c r="C62">
        <v>18.654</v>
      </c>
      <c r="E62">
        <f t="shared" si="3"/>
        <v>11638189.5</v>
      </c>
      <c r="F62">
        <f t="shared" si="1"/>
        <v>405.4</v>
      </c>
      <c r="G62">
        <f t="shared" si="2"/>
        <v>317.68732008000001</v>
      </c>
    </row>
    <row r="63" spans="1:7" x14ac:dyDescent="0.35">
      <c r="A63">
        <v>110.6</v>
      </c>
      <c r="B63">
        <v>132.54</v>
      </c>
      <c r="C63">
        <v>9.0730000000000004</v>
      </c>
      <c r="E63">
        <f t="shared" si="3"/>
        <v>11206545</v>
      </c>
      <c r="F63">
        <f t="shared" si="1"/>
        <v>405.68999999999994</v>
      </c>
      <c r="G63">
        <f t="shared" si="2"/>
        <v>154.51790796</v>
      </c>
    </row>
    <row r="64" spans="1:7" x14ac:dyDescent="0.35">
      <c r="A64">
        <v>111.02</v>
      </c>
      <c r="B64">
        <v>132.54</v>
      </c>
      <c r="C64">
        <v>9.5169999999999995</v>
      </c>
      <c r="E64">
        <f t="shared" si="3"/>
        <v>11249101.5</v>
      </c>
      <c r="F64">
        <f t="shared" si="1"/>
        <v>405.68999999999994</v>
      </c>
      <c r="G64">
        <f t="shared" si="2"/>
        <v>162.07945884</v>
      </c>
    </row>
    <row r="65" spans="1:7" x14ac:dyDescent="0.35">
      <c r="A65">
        <v>111.31</v>
      </c>
      <c r="B65">
        <v>132.54</v>
      </c>
      <c r="C65">
        <v>9.9719999999999995</v>
      </c>
      <c r="E65">
        <f t="shared" si="3"/>
        <v>11278485.75</v>
      </c>
      <c r="F65">
        <f t="shared" si="1"/>
        <v>405.68999999999994</v>
      </c>
      <c r="G65">
        <f t="shared" si="2"/>
        <v>169.82834543999999</v>
      </c>
    </row>
    <row r="66" spans="1:7" x14ac:dyDescent="0.35">
      <c r="A66">
        <v>111.53</v>
      </c>
      <c r="B66">
        <v>132.54</v>
      </c>
      <c r="C66">
        <v>10.509</v>
      </c>
      <c r="E66">
        <f t="shared" ref="E66:E101" si="4">A66*101325</f>
        <v>11300777.25</v>
      </c>
      <c r="F66">
        <f t="shared" si="1"/>
        <v>405.68999999999994</v>
      </c>
      <c r="G66">
        <f t="shared" si="2"/>
        <v>178.97373468000001</v>
      </c>
    </row>
    <row r="67" spans="1:7" x14ac:dyDescent="0.35">
      <c r="A67">
        <v>111.72</v>
      </c>
      <c r="B67">
        <v>132.54</v>
      </c>
      <c r="C67">
        <v>11.112</v>
      </c>
      <c r="E67">
        <f t="shared" si="4"/>
        <v>11320029</v>
      </c>
      <c r="F67">
        <f t="shared" ref="F67:F101" si="5">B67+273.15</f>
        <v>405.68999999999994</v>
      </c>
      <c r="G67">
        <f t="shared" ref="G67:G101" si="6">C67*$I$2*1000</f>
        <v>189.24313824000001</v>
      </c>
    </row>
    <row r="68" spans="1:7" x14ac:dyDescent="0.35">
      <c r="A68">
        <v>111.83</v>
      </c>
      <c r="B68">
        <v>132.54</v>
      </c>
      <c r="C68">
        <v>11.785</v>
      </c>
      <c r="E68">
        <f t="shared" si="4"/>
        <v>11331174.75</v>
      </c>
      <c r="F68">
        <f t="shared" si="5"/>
        <v>405.68999999999994</v>
      </c>
      <c r="G68">
        <f t="shared" si="6"/>
        <v>200.70467820000002</v>
      </c>
    </row>
    <row r="69" spans="1:7" x14ac:dyDescent="0.35">
      <c r="A69">
        <v>111.92</v>
      </c>
      <c r="B69">
        <v>132.54</v>
      </c>
      <c r="C69">
        <v>12.547000000000001</v>
      </c>
      <c r="E69">
        <f t="shared" si="4"/>
        <v>11340294</v>
      </c>
      <c r="F69">
        <f t="shared" si="5"/>
        <v>405.68999999999994</v>
      </c>
      <c r="G69">
        <f t="shared" si="6"/>
        <v>213.68193444000002</v>
      </c>
    </row>
    <row r="70" spans="1:7" x14ac:dyDescent="0.35">
      <c r="A70">
        <v>112.04</v>
      </c>
      <c r="B70">
        <v>132.54</v>
      </c>
      <c r="C70">
        <v>13.412000000000001</v>
      </c>
      <c r="E70">
        <f t="shared" si="4"/>
        <v>11352453</v>
      </c>
      <c r="F70">
        <f t="shared" si="5"/>
        <v>405.68999999999994</v>
      </c>
      <c r="G70">
        <f t="shared" si="6"/>
        <v>228.41333424000001</v>
      </c>
    </row>
    <row r="71" spans="1:7" x14ac:dyDescent="0.35">
      <c r="A71">
        <v>112.08</v>
      </c>
      <c r="B71">
        <v>132.54</v>
      </c>
      <c r="C71">
        <v>14.409000000000001</v>
      </c>
      <c r="E71">
        <f t="shared" si="4"/>
        <v>11356506</v>
      </c>
      <c r="F71">
        <f t="shared" si="5"/>
        <v>405.68999999999994</v>
      </c>
      <c r="G71">
        <f t="shared" si="6"/>
        <v>245.39276268</v>
      </c>
    </row>
    <row r="72" spans="1:7" x14ac:dyDescent="0.35">
      <c r="A72">
        <v>112.12</v>
      </c>
      <c r="B72">
        <v>132.54</v>
      </c>
      <c r="C72">
        <v>15.198</v>
      </c>
      <c r="E72">
        <f t="shared" si="4"/>
        <v>11360559</v>
      </c>
      <c r="F72">
        <f t="shared" si="5"/>
        <v>405.68999999999994</v>
      </c>
      <c r="G72">
        <f t="shared" si="6"/>
        <v>258.82984296000001</v>
      </c>
    </row>
    <row r="73" spans="1:7" x14ac:dyDescent="0.35">
      <c r="A73">
        <v>112.26</v>
      </c>
      <c r="B73">
        <v>132.54</v>
      </c>
      <c r="C73">
        <v>16.032</v>
      </c>
      <c r="E73">
        <f t="shared" si="4"/>
        <v>11374744.5</v>
      </c>
      <c r="F73">
        <f t="shared" si="5"/>
        <v>405.68999999999994</v>
      </c>
      <c r="G73">
        <f t="shared" si="6"/>
        <v>273.03329664000006</v>
      </c>
    </row>
    <row r="74" spans="1:7" x14ac:dyDescent="0.35">
      <c r="A74">
        <v>112.73</v>
      </c>
      <c r="B74">
        <v>132.54</v>
      </c>
      <c r="C74">
        <v>17.062000000000001</v>
      </c>
      <c r="E74">
        <f t="shared" si="4"/>
        <v>11422367.25</v>
      </c>
      <c r="F74">
        <f t="shared" si="5"/>
        <v>405.68999999999994</v>
      </c>
      <c r="G74">
        <f t="shared" si="6"/>
        <v>290.57473224</v>
      </c>
    </row>
    <row r="75" spans="1:7" x14ac:dyDescent="0.35">
      <c r="A75">
        <v>113.7</v>
      </c>
      <c r="B75">
        <v>132.54</v>
      </c>
      <c r="C75">
        <v>17.79</v>
      </c>
      <c r="E75">
        <f t="shared" si="4"/>
        <v>11520652.5</v>
      </c>
      <c r="F75">
        <f t="shared" si="5"/>
        <v>405.68999999999994</v>
      </c>
      <c r="G75">
        <f t="shared" si="6"/>
        <v>302.97295079999998</v>
      </c>
    </row>
    <row r="76" spans="1:7" x14ac:dyDescent="0.35">
      <c r="A76">
        <v>114.96</v>
      </c>
      <c r="B76">
        <v>132.54</v>
      </c>
      <c r="C76">
        <v>18.420000000000002</v>
      </c>
      <c r="E76">
        <f t="shared" si="4"/>
        <v>11648322</v>
      </c>
      <c r="F76">
        <f t="shared" si="5"/>
        <v>405.68999999999994</v>
      </c>
      <c r="G76">
        <f t="shared" si="6"/>
        <v>313.70217840000004</v>
      </c>
    </row>
    <row r="77" spans="1:7" x14ac:dyDescent="0.35">
      <c r="A77">
        <v>111.34</v>
      </c>
      <c r="B77">
        <v>133</v>
      </c>
      <c r="C77">
        <v>9.1839999999999993</v>
      </c>
      <c r="E77">
        <f t="shared" si="4"/>
        <v>11281525.5</v>
      </c>
      <c r="F77">
        <f t="shared" si="5"/>
        <v>406.15</v>
      </c>
      <c r="G77">
        <f t="shared" si="6"/>
        <v>156.40829568000001</v>
      </c>
    </row>
    <row r="78" spans="1:7" x14ac:dyDescent="0.35">
      <c r="A78">
        <v>111.66</v>
      </c>
      <c r="B78">
        <v>133</v>
      </c>
      <c r="C78">
        <v>9.4849999999999994</v>
      </c>
      <c r="E78">
        <f t="shared" si="4"/>
        <v>11313949.5</v>
      </c>
      <c r="F78">
        <f t="shared" si="5"/>
        <v>406.15</v>
      </c>
      <c r="G78">
        <f t="shared" si="6"/>
        <v>161.53448219999999</v>
      </c>
    </row>
    <row r="79" spans="1:7" x14ac:dyDescent="0.35">
      <c r="A79">
        <v>112.06</v>
      </c>
      <c r="B79">
        <v>133</v>
      </c>
      <c r="C79">
        <v>10.039999999999999</v>
      </c>
      <c r="E79">
        <f t="shared" si="4"/>
        <v>11354479.5</v>
      </c>
      <c r="F79">
        <f t="shared" si="5"/>
        <v>406.15</v>
      </c>
      <c r="G79">
        <f t="shared" si="6"/>
        <v>170.98642079999999</v>
      </c>
    </row>
    <row r="80" spans="1:7" x14ac:dyDescent="0.35">
      <c r="A80">
        <v>112.33</v>
      </c>
      <c r="B80">
        <v>133</v>
      </c>
      <c r="C80">
        <v>10.586</v>
      </c>
      <c r="E80">
        <f t="shared" si="4"/>
        <v>11381837.25</v>
      </c>
      <c r="F80">
        <f t="shared" si="5"/>
        <v>406.15</v>
      </c>
      <c r="G80">
        <f t="shared" si="6"/>
        <v>180.28508472000001</v>
      </c>
    </row>
    <row r="81" spans="1:7" x14ac:dyDescent="0.35">
      <c r="A81">
        <v>112.62</v>
      </c>
      <c r="B81">
        <v>133</v>
      </c>
      <c r="C81">
        <v>11.417</v>
      </c>
      <c r="E81">
        <f t="shared" si="4"/>
        <v>11411221.5</v>
      </c>
      <c r="F81">
        <f t="shared" si="5"/>
        <v>406.15</v>
      </c>
      <c r="G81">
        <f t="shared" si="6"/>
        <v>194.43744684000001</v>
      </c>
    </row>
    <row r="82" spans="1:7" x14ac:dyDescent="0.35">
      <c r="A82">
        <v>112.82</v>
      </c>
      <c r="B82">
        <v>133</v>
      </c>
      <c r="C82">
        <v>12.412000000000001</v>
      </c>
      <c r="E82">
        <f t="shared" si="4"/>
        <v>11431486.5</v>
      </c>
      <c r="F82">
        <f t="shared" si="5"/>
        <v>406.15</v>
      </c>
      <c r="G82">
        <f t="shared" si="6"/>
        <v>211.38281424000002</v>
      </c>
    </row>
    <row r="83" spans="1:7" x14ac:dyDescent="0.35">
      <c r="A83">
        <v>112.86</v>
      </c>
      <c r="B83">
        <v>133</v>
      </c>
      <c r="C83">
        <v>13.443</v>
      </c>
      <c r="E83">
        <f t="shared" si="4"/>
        <v>11435539.5</v>
      </c>
      <c r="F83">
        <f t="shared" si="5"/>
        <v>406.15</v>
      </c>
      <c r="G83">
        <f t="shared" si="6"/>
        <v>228.94128036000001</v>
      </c>
    </row>
    <row r="84" spans="1:7" x14ac:dyDescent="0.35">
      <c r="A84">
        <v>112.97</v>
      </c>
      <c r="B84">
        <v>133</v>
      </c>
      <c r="C84">
        <v>14.443</v>
      </c>
      <c r="E84">
        <f t="shared" si="4"/>
        <v>11446685.25</v>
      </c>
      <c r="F84">
        <f t="shared" si="5"/>
        <v>406.15</v>
      </c>
      <c r="G84">
        <f t="shared" si="6"/>
        <v>245.97180036</v>
      </c>
    </row>
    <row r="85" spans="1:7" x14ac:dyDescent="0.35">
      <c r="A85">
        <v>113.07</v>
      </c>
      <c r="B85">
        <v>133</v>
      </c>
      <c r="C85">
        <v>15.194000000000001</v>
      </c>
      <c r="E85">
        <f t="shared" si="4"/>
        <v>11456817.75</v>
      </c>
      <c r="F85">
        <f t="shared" si="5"/>
        <v>406.15</v>
      </c>
      <c r="G85">
        <f t="shared" si="6"/>
        <v>258.76172088000004</v>
      </c>
    </row>
    <row r="86" spans="1:7" x14ac:dyDescent="0.35">
      <c r="A86">
        <v>113.29</v>
      </c>
      <c r="B86">
        <v>133</v>
      </c>
      <c r="C86">
        <v>16.027000000000001</v>
      </c>
      <c r="E86">
        <f t="shared" si="4"/>
        <v>11479109.25</v>
      </c>
      <c r="F86">
        <f t="shared" si="5"/>
        <v>406.15</v>
      </c>
      <c r="G86">
        <f t="shared" si="6"/>
        <v>272.94814403999999</v>
      </c>
    </row>
    <row r="87" spans="1:7" x14ac:dyDescent="0.35">
      <c r="A87">
        <v>113.9</v>
      </c>
      <c r="B87">
        <v>133</v>
      </c>
      <c r="C87">
        <v>16.966999999999999</v>
      </c>
      <c r="E87">
        <f t="shared" si="4"/>
        <v>11540917.5</v>
      </c>
      <c r="F87">
        <f t="shared" si="5"/>
        <v>406.15</v>
      </c>
      <c r="G87">
        <f t="shared" si="6"/>
        <v>288.95683284</v>
      </c>
    </row>
    <row r="88" spans="1:7" x14ac:dyDescent="0.35">
      <c r="A88">
        <v>114.82</v>
      </c>
      <c r="B88">
        <v>133</v>
      </c>
      <c r="C88">
        <v>17.687999999999999</v>
      </c>
      <c r="E88">
        <f t="shared" si="4"/>
        <v>11634136.5</v>
      </c>
      <c r="F88">
        <f t="shared" si="5"/>
        <v>406.15</v>
      </c>
      <c r="G88">
        <f t="shared" si="6"/>
        <v>301.23583776000004</v>
      </c>
    </row>
    <row r="89" spans="1:7" x14ac:dyDescent="0.35">
      <c r="A89">
        <v>115.72</v>
      </c>
      <c r="B89">
        <v>133</v>
      </c>
      <c r="C89">
        <v>18.125</v>
      </c>
      <c r="E89">
        <f t="shared" si="4"/>
        <v>11725329</v>
      </c>
      <c r="F89">
        <f t="shared" si="5"/>
        <v>406.15</v>
      </c>
      <c r="G89">
        <f t="shared" si="6"/>
        <v>308.67817500000001</v>
      </c>
    </row>
    <row r="90" spans="1:7" x14ac:dyDescent="0.35">
      <c r="A90">
        <v>112.83</v>
      </c>
      <c r="B90">
        <v>133.96</v>
      </c>
      <c r="C90">
        <v>9.1959999999999997</v>
      </c>
      <c r="E90">
        <f t="shared" si="4"/>
        <v>11432499.75</v>
      </c>
      <c r="F90">
        <f t="shared" si="5"/>
        <v>407.11</v>
      </c>
      <c r="G90">
        <f t="shared" si="6"/>
        <v>156.61266191999999</v>
      </c>
    </row>
    <row r="91" spans="1:7" x14ac:dyDescent="0.35">
      <c r="A91">
        <v>113.3</v>
      </c>
      <c r="B91">
        <v>133.96</v>
      </c>
      <c r="C91">
        <v>9.6419999999999995</v>
      </c>
      <c r="E91">
        <f t="shared" si="4"/>
        <v>11480122.5</v>
      </c>
      <c r="F91">
        <f t="shared" si="5"/>
        <v>407.11</v>
      </c>
      <c r="G91">
        <f t="shared" si="6"/>
        <v>164.20827384</v>
      </c>
    </row>
    <row r="92" spans="1:7" x14ac:dyDescent="0.35">
      <c r="A92">
        <v>113.7</v>
      </c>
      <c r="B92">
        <v>133.96</v>
      </c>
      <c r="C92">
        <v>10.143000000000001</v>
      </c>
      <c r="E92">
        <f t="shared" si="4"/>
        <v>11520652.5</v>
      </c>
      <c r="F92">
        <f t="shared" si="5"/>
        <v>407.11</v>
      </c>
      <c r="G92">
        <f t="shared" si="6"/>
        <v>172.74056436000001</v>
      </c>
    </row>
    <row r="93" spans="1:7" x14ac:dyDescent="0.35">
      <c r="A93">
        <v>114.03</v>
      </c>
      <c r="B93">
        <v>133.96</v>
      </c>
      <c r="C93">
        <v>10.704000000000001</v>
      </c>
      <c r="E93">
        <f t="shared" si="4"/>
        <v>11554089.75</v>
      </c>
      <c r="F93">
        <f t="shared" si="5"/>
        <v>407.11</v>
      </c>
      <c r="G93">
        <f t="shared" si="6"/>
        <v>182.29468608000002</v>
      </c>
    </row>
    <row r="94" spans="1:7" x14ac:dyDescent="0.35">
      <c r="A94">
        <v>114.28</v>
      </c>
      <c r="B94">
        <v>133.96</v>
      </c>
      <c r="C94">
        <v>11.329000000000001</v>
      </c>
      <c r="E94">
        <f t="shared" si="4"/>
        <v>11579421</v>
      </c>
      <c r="F94">
        <f t="shared" si="5"/>
        <v>407.11</v>
      </c>
      <c r="G94">
        <f t="shared" si="6"/>
        <v>192.93876108000003</v>
      </c>
    </row>
    <row r="95" spans="1:7" x14ac:dyDescent="0.35">
      <c r="A95">
        <v>114.55</v>
      </c>
      <c r="B95">
        <v>133.96</v>
      </c>
      <c r="C95">
        <v>12.281000000000001</v>
      </c>
      <c r="E95">
        <f t="shared" si="4"/>
        <v>11606778.75</v>
      </c>
      <c r="F95">
        <f t="shared" si="5"/>
        <v>407.11</v>
      </c>
      <c r="G95">
        <f t="shared" si="6"/>
        <v>209.15181612000003</v>
      </c>
    </row>
    <row r="96" spans="1:7" x14ac:dyDescent="0.35">
      <c r="A96">
        <v>114.78</v>
      </c>
      <c r="B96">
        <v>133.96</v>
      </c>
      <c r="C96">
        <v>13.41</v>
      </c>
      <c r="E96">
        <f t="shared" si="4"/>
        <v>11630083.5</v>
      </c>
      <c r="F96">
        <f t="shared" si="5"/>
        <v>407.11</v>
      </c>
      <c r="G96">
        <f t="shared" si="6"/>
        <v>228.3792732</v>
      </c>
    </row>
    <row r="97" spans="1:7" x14ac:dyDescent="0.35">
      <c r="A97">
        <v>114.99</v>
      </c>
      <c r="B97">
        <v>133.96</v>
      </c>
      <c r="C97">
        <v>14.41</v>
      </c>
      <c r="E97">
        <f t="shared" si="4"/>
        <v>11651361.75</v>
      </c>
      <c r="F97">
        <f t="shared" si="5"/>
        <v>407.11</v>
      </c>
      <c r="G97">
        <f t="shared" si="6"/>
        <v>245.4097932</v>
      </c>
    </row>
    <row r="98" spans="1:7" x14ac:dyDescent="0.35">
      <c r="A98">
        <v>115.21</v>
      </c>
      <c r="B98">
        <v>133.96</v>
      </c>
      <c r="C98">
        <v>15.157999999999999</v>
      </c>
      <c r="E98">
        <f t="shared" si="4"/>
        <v>11673653.25</v>
      </c>
      <c r="F98">
        <f t="shared" si="5"/>
        <v>407.11</v>
      </c>
      <c r="G98">
        <f t="shared" si="6"/>
        <v>258.14862216</v>
      </c>
    </row>
    <row r="99" spans="1:7" x14ac:dyDescent="0.35">
      <c r="A99">
        <v>115.56</v>
      </c>
      <c r="B99">
        <v>133.96</v>
      </c>
      <c r="C99">
        <v>15.989000000000001</v>
      </c>
      <c r="E99">
        <f t="shared" si="4"/>
        <v>11709117</v>
      </c>
      <c r="F99">
        <f t="shared" si="5"/>
        <v>407.11</v>
      </c>
      <c r="G99">
        <f t="shared" si="6"/>
        <v>272.30098428000002</v>
      </c>
    </row>
    <row r="100" spans="1:7" x14ac:dyDescent="0.35">
      <c r="A100">
        <v>116.33</v>
      </c>
      <c r="B100">
        <v>133.96</v>
      </c>
      <c r="C100">
        <v>16.917000000000002</v>
      </c>
      <c r="E100">
        <f t="shared" si="4"/>
        <v>11787137.25</v>
      </c>
      <c r="F100">
        <f t="shared" si="5"/>
        <v>407.11</v>
      </c>
      <c r="G100">
        <f t="shared" si="6"/>
        <v>288.10530684000003</v>
      </c>
    </row>
    <row r="101" spans="1:7" x14ac:dyDescent="0.35">
      <c r="A101">
        <v>117.05</v>
      </c>
      <c r="B101">
        <v>133.96</v>
      </c>
      <c r="C101">
        <v>17.419</v>
      </c>
      <c r="E101">
        <f t="shared" si="4"/>
        <v>11860091.25</v>
      </c>
      <c r="F101">
        <f t="shared" si="5"/>
        <v>407.11</v>
      </c>
      <c r="G101">
        <f t="shared" si="6"/>
        <v>296.65462788000002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49F92-397F-4247-96E6-B2A272825DB6}">
  <dimension ref="A1:J43"/>
  <sheetViews>
    <sheetView topLeftCell="A25" workbookViewId="0">
      <selection activeCell="C45" sqref="C45"/>
    </sheetView>
  </sheetViews>
  <sheetFormatPr defaultRowHeight="14.5" x14ac:dyDescent="0.35"/>
  <sheetData>
    <row r="1" spans="1:10" x14ac:dyDescent="0.35">
      <c r="A1" t="s">
        <v>3</v>
      </c>
      <c r="B1" t="s">
        <v>4</v>
      </c>
      <c r="C1" t="s">
        <v>14</v>
      </c>
      <c r="E1" t="s">
        <v>7</v>
      </c>
      <c r="F1" t="s">
        <v>8</v>
      </c>
      <c r="G1" t="s">
        <v>11</v>
      </c>
      <c r="I1" t="s">
        <v>24</v>
      </c>
      <c r="J1" t="s">
        <v>37</v>
      </c>
    </row>
    <row r="2" spans="1:10" x14ac:dyDescent="0.35">
      <c r="A2">
        <v>50</v>
      </c>
      <c r="B2">
        <v>25</v>
      </c>
      <c r="C2">
        <v>5.7549999999999997E-2</v>
      </c>
      <c r="E2">
        <f>A2*101325</f>
        <v>5066250</v>
      </c>
      <c r="F2">
        <f t="shared" ref="F2:F43" si="0">B2+273.15</f>
        <v>298.14999999999998</v>
      </c>
      <c r="G2">
        <f t="shared" ref="G2:G43" si="1">E2/(C2*$I$2*F2)</f>
        <v>604.78386858353917</v>
      </c>
      <c r="I2">
        <v>488.20955661678198</v>
      </c>
    </row>
    <row r="3" spans="1:10" x14ac:dyDescent="0.35">
      <c r="A3">
        <v>75</v>
      </c>
      <c r="B3">
        <v>25</v>
      </c>
      <c r="C3">
        <v>8.5999999999999993E-2</v>
      </c>
      <c r="E3">
        <f t="shared" ref="E3:E42" si="2">A3*101325</f>
        <v>7599375</v>
      </c>
      <c r="F3">
        <f t="shared" si="0"/>
        <v>298.14999999999998</v>
      </c>
      <c r="G3">
        <f t="shared" si="1"/>
        <v>607.06938901713977</v>
      </c>
    </row>
    <row r="4" spans="1:10" x14ac:dyDescent="0.35">
      <c r="A4">
        <v>100</v>
      </c>
      <c r="B4">
        <v>25</v>
      </c>
      <c r="C4">
        <v>0.1143</v>
      </c>
      <c r="E4">
        <f t="shared" si="2"/>
        <v>10132500</v>
      </c>
      <c r="F4">
        <f t="shared" si="0"/>
        <v>298.14999999999998</v>
      </c>
      <c r="G4">
        <f t="shared" si="1"/>
        <v>609.01682654387889</v>
      </c>
    </row>
    <row r="5" spans="1:10" x14ac:dyDescent="0.35">
      <c r="A5">
        <v>150</v>
      </c>
      <c r="B5">
        <v>25</v>
      </c>
      <c r="C5">
        <v>0.17019999999999999</v>
      </c>
      <c r="E5">
        <f t="shared" si="2"/>
        <v>15198750</v>
      </c>
      <c r="F5">
        <f t="shared" si="0"/>
        <v>298.14999999999998</v>
      </c>
      <c r="G5">
        <f t="shared" si="1"/>
        <v>613.48962932401912</v>
      </c>
    </row>
    <row r="6" spans="1:10" x14ac:dyDescent="0.35">
      <c r="A6">
        <v>200</v>
      </c>
      <c r="B6">
        <v>25</v>
      </c>
      <c r="C6">
        <v>0.22544</v>
      </c>
      <c r="E6">
        <f t="shared" si="2"/>
        <v>20265000</v>
      </c>
      <c r="F6">
        <f t="shared" si="0"/>
        <v>298.14999999999998</v>
      </c>
      <c r="G6">
        <f t="shared" si="1"/>
        <v>617.55343571651304</v>
      </c>
    </row>
    <row r="7" spans="1:10" x14ac:dyDescent="0.35">
      <c r="A7">
        <v>250</v>
      </c>
      <c r="B7">
        <v>25</v>
      </c>
      <c r="C7">
        <v>0.28000000000000003</v>
      </c>
      <c r="E7">
        <f t="shared" si="2"/>
        <v>25331250</v>
      </c>
      <c r="F7">
        <f t="shared" si="0"/>
        <v>298.14999999999998</v>
      </c>
      <c r="G7">
        <f t="shared" si="1"/>
        <v>621.52342208897642</v>
      </c>
    </row>
    <row r="8" spans="1:10" x14ac:dyDescent="0.35">
      <c r="A8">
        <v>300</v>
      </c>
      <c r="B8">
        <v>25</v>
      </c>
      <c r="C8">
        <v>0.33389999999999997</v>
      </c>
      <c r="E8">
        <f t="shared" si="2"/>
        <v>30397500</v>
      </c>
      <c r="F8">
        <f t="shared" si="0"/>
        <v>298.14999999999998</v>
      </c>
      <c r="G8">
        <f t="shared" si="1"/>
        <v>625.43237442915881</v>
      </c>
    </row>
    <row r="9" spans="1:10" x14ac:dyDescent="0.35">
      <c r="A9">
        <v>400</v>
      </c>
      <c r="B9">
        <v>25</v>
      </c>
      <c r="C9">
        <v>0.43980000000000002</v>
      </c>
      <c r="E9">
        <f t="shared" si="2"/>
        <v>40530000</v>
      </c>
      <c r="F9">
        <f t="shared" si="0"/>
        <v>298.14999999999998</v>
      </c>
      <c r="G9">
        <f t="shared" si="1"/>
        <v>633.11162595693816</v>
      </c>
    </row>
    <row r="10" spans="1:10" x14ac:dyDescent="0.35">
      <c r="A10">
        <v>500</v>
      </c>
      <c r="B10">
        <v>25</v>
      </c>
      <c r="C10">
        <v>0.54359999999999997</v>
      </c>
      <c r="E10">
        <f t="shared" si="2"/>
        <v>50662500</v>
      </c>
      <c r="F10">
        <f t="shared" si="0"/>
        <v>298.14999999999998</v>
      </c>
      <c r="G10">
        <f t="shared" si="1"/>
        <v>640.27431267444217</v>
      </c>
    </row>
    <row r="11" spans="1:10" x14ac:dyDescent="0.35">
      <c r="A11">
        <v>50</v>
      </c>
      <c r="B11">
        <v>50</v>
      </c>
      <c r="C11">
        <v>5.672E-2</v>
      </c>
      <c r="E11">
        <f t="shared" si="2"/>
        <v>5066250</v>
      </c>
      <c r="F11">
        <f t="shared" si="0"/>
        <v>323.14999999999998</v>
      </c>
      <c r="G11">
        <f t="shared" si="1"/>
        <v>566.16101072713491</v>
      </c>
    </row>
    <row r="12" spans="1:10" x14ac:dyDescent="0.35">
      <c r="A12">
        <v>75</v>
      </c>
      <c r="B12">
        <v>50</v>
      </c>
      <c r="C12">
        <v>8.4589999999999999E-2</v>
      </c>
      <c r="E12">
        <f t="shared" si="2"/>
        <v>7599375</v>
      </c>
      <c r="F12">
        <f t="shared" si="0"/>
        <v>323.14999999999998</v>
      </c>
      <c r="G12">
        <f t="shared" si="1"/>
        <v>569.44058154231755</v>
      </c>
    </row>
    <row r="13" spans="1:10" x14ac:dyDescent="0.35">
      <c r="A13">
        <v>100</v>
      </c>
      <c r="B13">
        <v>50</v>
      </c>
      <c r="C13">
        <v>0.11219999999999999</v>
      </c>
      <c r="E13">
        <f t="shared" si="2"/>
        <v>10132500</v>
      </c>
      <c r="F13">
        <f t="shared" si="0"/>
        <v>323.14999999999998</v>
      </c>
      <c r="G13">
        <f t="shared" si="1"/>
        <v>572.41804863534924</v>
      </c>
    </row>
    <row r="14" spans="1:10" x14ac:dyDescent="0.35">
      <c r="A14">
        <v>150</v>
      </c>
      <c r="B14">
        <v>50</v>
      </c>
      <c r="C14">
        <v>0.16650000000000001</v>
      </c>
      <c r="E14">
        <f t="shared" si="2"/>
        <v>15198750</v>
      </c>
      <c r="F14">
        <f t="shared" si="0"/>
        <v>323.14999999999998</v>
      </c>
      <c r="G14">
        <f t="shared" si="1"/>
        <v>578.60635186383956</v>
      </c>
    </row>
    <row r="15" spans="1:10" x14ac:dyDescent="0.35">
      <c r="A15">
        <v>200</v>
      </c>
      <c r="B15">
        <v>50</v>
      </c>
      <c r="C15">
        <v>0.22</v>
      </c>
      <c r="E15">
        <f t="shared" si="2"/>
        <v>20265000</v>
      </c>
      <c r="F15">
        <f t="shared" si="0"/>
        <v>323.14999999999998</v>
      </c>
      <c r="G15">
        <f t="shared" si="1"/>
        <v>583.86640960805619</v>
      </c>
    </row>
    <row r="16" spans="1:10" x14ac:dyDescent="0.35">
      <c r="A16">
        <v>250</v>
      </c>
      <c r="B16">
        <v>50</v>
      </c>
      <c r="C16">
        <v>0.2727</v>
      </c>
      <c r="E16">
        <f t="shared" si="2"/>
        <v>25331250</v>
      </c>
      <c r="F16">
        <f t="shared" si="0"/>
        <v>323.14999999999998</v>
      </c>
      <c r="G16">
        <f t="shared" si="1"/>
        <v>588.79084210566725</v>
      </c>
    </row>
    <row r="17" spans="1:7" x14ac:dyDescent="0.35">
      <c r="A17">
        <v>300</v>
      </c>
      <c r="B17">
        <v>50</v>
      </c>
      <c r="C17">
        <v>0.3246</v>
      </c>
      <c r="E17">
        <f t="shared" si="2"/>
        <v>30397500</v>
      </c>
      <c r="F17">
        <f t="shared" si="0"/>
        <v>323.14999999999998</v>
      </c>
      <c r="G17">
        <f t="shared" si="1"/>
        <v>593.57952917639739</v>
      </c>
    </row>
    <row r="18" spans="1:7" x14ac:dyDescent="0.35">
      <c r="A18">
        <v>400</v>
      </c>
      <c r="B18">
        <v>50</v>
      </c>
      <c r="C18">
        <v>0.4249</v>
      </c>
      <c r="E18">
        <f t="shared" si="2"/>
        <v>40530000</v>
      </c>
      <c r="F18">
        <f t="shared" si="0"/>
        <v>323.14999999999998</v>
      </c>
      <c r="G18">
        <f t="shared" si="1"/>
        <v>604.61572188172443</v>
      </c>
    </row>
    <row r="19" spans="1:7" x14ac:dyDescent="0.35">
      <c r="A19">
        <v>500</v>
      </c>
      <c r="B19">
        <v>50</v>
      </c>
      <c r="C19">
        <v>0.52459999999999996</v>
      </c>
      <c r="E19">
        <f t="shared" si="2"/>
        <v>50662500</v>
      </c>
      <c r="F19">
        <f t="shared" si="0"/>
        <v>323.14999999999998</v>
      </c>
      <c r="G19">
        <f t="shared" si="1"/>
        <v>612.13596127417259</v>
      </c>
    </row>
    <row r="20" spans="1:7" x14ac:dyDescent="0.35">
      <c r="A20">
        <v>50</v>
      </c>
      <c r="B20">
        <v>75</v>
      </c>
      <c r="C20">
        <v>5.7389999999999997E-2</v>
      </c>
      <c r="E20">
        <f t="shared" si="2"/>
        <v>5066250</v>
      </c>
      <c r="F20">
        <f t="shared" si="0"/>
        <v>348.15</v>
      </c>
      <c r="G20">
        <f t="shared" si="1"/>
        <v>519.37102358283983</v>
      </c>
    </row>
    <row r="21" spans="1:7" x14ac:dyDescent="0.35">
      <c r="A21">
        <v>75</v>
      </c>
      <c r="B21">
        <v>75</v>
      </c>
      <c r="C21">
        <v>8.5220000000000004E-2</v>
      </c>
      <c r="E21">
        <f t="shared" si="2"/>
        <v>7599375</v>
      </c>
      <c r="F21">
        <f t="shared" si="0"/>
        <v>348.15</v>
      </c>
      <c r="G21">
        <f t="shared" si="1"/>
        <v>524.64274307825349</v>
      </c>
    </row>
    <row r="22" spans="1:7" x14ac:dyDescent="0.35">
      <c r="A22">
        <v>100</v>
      </c>
      <c r="B22">
        <v>75</v>
      </c>
      <c r="C22">
        <v>0.11260000000000001</v>
      </c>
      <c r="E22">
        <f t="shared" si="2"/>
        <v>10132500</v>
      </c>
      <c r="F22">
        <f t="shared" si="0"/>
        <v>348.15</v>
      </c>
      <c r="G22">
        <f t="shared" si="1"/>
        <v>529.42634180140635</v>
      </c>
    </row>
    <row r="23" spans="1:7" x14ac:dyDescent="0.35">
      <c r="A23">
        <v>150</v>
      </c>
      <c r="B23">
        <v>75</v>
      </c>
      <c r="C23">
        <v>0.1661</v>
      </c>
      <c r="E23">
        <f t="shared" si="2"/>
        <v>15198750</v>
      </c>
      <c r="F23">
        <f t="shared" si="0"/>
        <v>348.15</v>
      </c>
      <c r="G23">
        <f t="shared" si="1"/>
        <v>538.3510483459213</v>
      </c>
    </row>
    <row r="24" spans="1:7" x14ac:dyDescent="0.35">
      <c r="A24">
        <v>200</v>
      </c>
      <c r="B24">
        <v>75</v>
      </c>
      <c r="C24">
        <v>0.21840000000000001</v>
      </c>
      <c r="E24">
        <f t="shared" si="2"/>
        <v>20265000</v>
      </c>
      <c r="F24">
        <f t="shared" si="0"/>
        <v>348.15</v>
      </c>
      <c r="G24">
        <f t="shared" si="1"/>
        <v>545.91031215053431</v>
      </c>
    </row>
    <row r="25" spans="1:7" x14ac:dyDescent="0.35">
      <c r="A25">
        <v>250</v>
      </c>
      <c r="B25">
        <v>75</v>
      </c>
      <c r="C25">
        <v>0.26950000000000002</v>
      </c>
      <c r="E25">
        <f t="shared" si="2"/>
        <v>25331250</v>
      </c>
      <c r="F25">
        <f t="shared" si="0"/>
        <v>348.15</v>
      </c>
      <c r="G25">
        <f t="shared" si="1"/>
        <v>553.00005646417753</v>
      </c>
    </row>
    <row r="26" spans="1:7" x14ac:dyDescent="0.35">
      <c r="A26">
        <v>300</v>
      </c>
      <c r="B26">
        <v>75</v>
      </c>
      <c r="C26">
        <v>0.31979999999999997</v>
      </c>
      <c r="E26">
        <f t="shared" si="2"/>
        <v>30397500</v>
      </c>
      <c r="F26">
        <f t="shared" si="0"/>
        <v>348.15</v>
      </c>
      <c r="G26">
        <f t="shared" si="1"/>
        <v>559.22519781274252</v>
      </c>
    </row>
    <row r="27" spans="1:7" x14ac:dyDescent="0.35">
      <c r="A27">
        <v>400</v>
      </c>
      <c r="B27">
        <v>75</v>
      </c>
      <c r="C27">
        <v>0.41789999999999999</v>
      </c>
      <c r="E27">
        <f t="shared" si="2"/>
        <v>40530000</v>
      </c>
      <c r="F27">
        <f t="shared" si="0"/>
        <v>348.15</v>
      </c>
      <c r="G27">
        <f t="shared" si="1"/>
        <v>570.5997232528199</v>
      </c>
    </row>
    <row r="28" spans="1:7" x14ac:dyDescent="0.35">
      <c r="A28">
        <v>500</v>
      </c>
      <c r="B28">
        <v>75</v>
      </c>
      <c r="C28">
        <v>0.51329999999999998</v>
      </c>
      <c r="E28">
        <f t="shared" si="2"/>
        <v>50662500</v>
      </c>
      <c r="F28">
        <f t="shared" si="0"/>
        <v>348.15</v>
      </c>
      <c r="G28">
        <f t="shared" si="1"/>
        <v>580.68776628519731</v>
      </c>
    </row>
    <row r="29" spans="1:7" x14ac:dyDescent="0.35">
      <c r="A29">
        <v>75</v>
      </c>
      <c r="B29">
        <v>100</v>
      </c>
      <c r="C29">
        <v>9.0079999999999993E-2</v>
      </c>
      <c r="E29">
        <f t="shared" si="2"/>
        <v>7599375</v>
      </c>
      <c r="F29">
        <f t="shared" si="0"/>
        <v>373.15</v>
      </c>
      <c r="G29">
        <f t="shared" si="1"/>
        <v>463.08399997862693</v>
      </c>
    </row>
    <row r="30" spans="1:7" x14ac:dyDescent="0.35">
      <c r="A30">
        <v>100</v>
      </c>
      <c r="B30">
        <v>100</v>
      </c>
      <c r="C30">
        <v>0.1176</v>
      </c>
      <c r="E30">
        <f t="shared" si="2"/>
        <v>10132500</v>
      </c>
      <c r="F30">
        <f t="shared" si="0"/>
        <v>373.15</v>
      </c>
      <c r="G30">
        <f t="shared" si="1"/>
        <v>472.95472469472463</v>
      </c>
    </row>
    <row r="31" spans="1:7" x14ac:dyDescent="0.35">
      <c r="A31">
        <v>150</v>
      </c>
      <c r="B31">
        <v>100</v>
      </c>
      <c r="C31">
        <v>0.1711</v>
      </c>
      <c r="E31">
        <f t="shared" si="2"/>
        <v>15198750</v>
      </c>
      <c r="F31">
        <f t="shared" si="0"/>
        <v>373.15</v>
      </c>
      <c r="G31">
        <f t="shared" si="1"/>
        <v>487.6049879377523</v>
      </c>
    </row>
    <row r="32" spans="1:7" x14ac:dyDescent="0.35">
      <c r="A32">
        <v>200</v>
      </c>
      <c r="B32">
        <v>100</v>
      </c>
      <c r="C32">
        <v>0.22220000000000001</v>
      </c>
      <c r="E32">
        <f t="shared" si="2"/>
        <v>20265000</v>
      </c>
      <c r="F32">
        <f t="shared" si="0"/>
        <v>373.15</v>
      </c>
      <c r="G32">
        <f t="shared" si="1"/>
        <v>500.62534315121167</v>
      </c>
    </row>
    <row r="33" spans="1:7" x14ac:dyDescent="0.35">
      <c r="A33">
        <v>250</v>
      </c>
      <c r="B33">
        <v>100</v>
      </c>
      <c r="C33">
        <v>0.27239999999999998</v>
      </c>
      <c r="E33">
        <f t="shared" si="2"/>
        <v>25331250</v>
      </c>
      <c r="F33">
        <f t="shared" si="0"/>
        <v>373.15</v>
      </c>
      <c r="G33">
        <f t="shared" si="1"/>
        <v>510.45774251192745</v>
      </c>
    </row>
    <row r="34" spans="1:7" x14ac:dyDescent="0.35">
      <c r="A34">
        <v>300</v>
      </c>
      <c r="B34">
        <v>100</v>
      </c>
      <c r="C34">
        <v>0.32129999999999997</v>
      </c>
      <c r="E34">
        <f t="shared" si="2"/>
        <v>30397500</v>
      </c>
      <c r="F34">
        <f t="shared" si="0"/>
        <v>373.15</v>
      </c>
      <c r="G34">
        <f t="shared" si="1"/>
        <v>519.32283495891329</v>
      </c>
    </row>
    <row r="35" spans="1:7" x14ac:dyDescent="0.35">
      <c r="A35">
        <v>400</v>
      </c>
      <c r="B35">
        <v>100</v>
      </c>
      <c r="C35">
        <v>0.41610000000000003</v>
      </c>
      <c r="E35">
        <f t="shared" si="2"/>
        <v>40530000</v>
      </c>
      <c r="F35">
        <f t="shared" si="0"/>
        <v>373.15</v>
      </c>
      <c r="G35">
        <f t="shared" si="1"/>
        <v>534.67412279836208</v>
      </c>
    </row>
    <row r="36" spans="1:7" x14ac:dyDescent="0.35">
      <c r="A36">
        <v>500</v>
      </c>
      <c r="B36">
        <v>100</v>
      </c>
      <c r="C36">
        <v>0.50819999999999999</v>
      </c>
      <c r="E36">
        <f t="shared" si="2"/>
        <v>50662500</v>
      </c>
      <c r="F36">
        <f t="shared" si="0"/>
        <v>373.15</v>
      </c>
      <c r="G36">
        <f t="shared" si="1"/>
        <v>547.22034262199543</v>
      </c>
    </row>
    <row r="37" spans="1:7" x14ac:dyDescent="0.35">
      <c r="A37">
        <v>100</v>
      </c>
      <c r="B37">
        <v>125</v>
      </c>
      <c r="C37">
        <v>0.14349999999999999</v>
      </c>
      <c r="E37">
        <f t="shared" si="2"/>
        <v>10132500</v>
      </c>
      <c r="F37">
        <f t="shared" si="0"/>
        <v>398.15</v>
      </c>
      <c r="G37">
        <f t="shared" si="1"/>
        <v>363.25509539342062</v>
      </c>
    </row>
    <row r="38" spans="1:7" x14ac:dyDescent="0.35">
      <c r="A38">
        <v>150</v>
      </c>
      <c r="B38">
        <v>125</v>
      </c>
      <c r="C38">
        <v>0.18659999999999999</v>
      </c>
      <c r="E38">
        <f t="shared" si="2"/>
        <v>15198750</v>
      </c>
      <c r="F38">
        <f t="shared" si="0"/>
        <v>398.15</v>
      </c>
      <c r="G38">
        <f t="shared" si="1"/>
        <v>419.02818479868051</v>
      </c>
    </row>
    <row r="39" spans="1:7" x14ac:dyDescent="0.35">
      <c r="A39">
        <v>200</v>
      </c>
      <c r="B39">
        <v>125</v>
      </c>
      <c r="C39">
        <v>0.2351</v>
      </c>
      <c r="E39">
        <f t="shared" si="2"/>
        <v>20265000</v>
      </c>
      <c r="F39">
        <f t="shared" si="0"/>
        <v>398.15</v>
      </c>
      <c r="G39">
        <f t="shared" si="1"/>
        <v>443.44624575887576</v>
      </c>
    </row>
    <row r="40" spans="1:7" x14ac:dyDescent="0.35">
      <c r="A40">
        <v>250</v>
      </c>
      <c r="B40">
        <v>125</v>
      </c>
      <c r="C40">
        <v>0.28320000000000001</v>
      </c>
      <c r="E40">
        <f t="shared" si="2"/>
        <v>25331250</v>
      </c>
      <c r="F40">
        <f t="shared" si="0"/>
        <v>398.15</v>
      </c>
      <c r="G40">
        <f t="shared" si="1"/>
        <v>460.16160124431366</v>
      </c>
    </row>
    <row r="41" spans="1:7" x14ac:dyDescent="0.35">
      <c r="A41">
        <v>300</v>
      </c>
      <c r="B41">
        <v>125</v>
      </c>
      <c r="C41">
        <v>0.33</v>
      </c>
      <c r="E41">
        <f t="shared" si="2"/>
        <v>30397500</v>
      </c>
      <c r="F41">
        <f t="shared" si="0"/>
        <v>398.15</v>
      </c>
      <c r="G41">
        <f t="shared" si="1"/>
        <v>473.88278353596223</v>
      </c>
    </row>
    <row r="42" spans="1:7" x14ac:dyDescent="0.35">
      <c r="A42">
        <v>400</v>
      </c>
      <c r="B42">
        <v>125</v>
      </c>
      <c r="C42">
        <v>0.4209</v>
      </c>
      <c r="E42">
        <f t="shared" si="2"/>
        <v>40530000</v>
      </c>
      <c r="F42">
        <f t="shared" si="0"/>
        <v>398.15</v>
      </c>
      <c r="G42">
        <f t="shared" si="1"/>
        <v>495.38708661397811</v>
      </c>
    </row>
    <row r="43" spans="1:7" x14ac:dyDescent="0.35">
      <c r="A43">
        <v>500</v>
      </c>
      <c r="B43">
        <v>125</v>
      </c>
      <c r="C43">
        <v>0.50880000000000003</v>
      </c>
      <c r="E43">
        <f>A43*101325</f>
        <v>50662500</v>
      </c>
      <c r="F43">
        <f t="shared" si="0"/>
        <v>398.15</v>
      </c>
      <c r="G43">
        <f t="shared" si="1"/>
        <v>512.25536742291513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852C-9C5C-4BA6-9400-C77EACBB3552}">
  <dimension ref="A1:K52"/>
  <sheetViews>
    <sheetView workbookViewId="0">
      <selection activeCell="A46" sqref="A46"/>
    </sheetView>
  </sheetViews>
  <sheetFormatPr defaultRowHeight="14.5" x14ac:dyDescent="0.35"/>
  <cols>
    <col min="1" max="1" width="11.1796875" bestFit="1" customWidth="1"/>
    <col min="14" max="14" width="16" bestFit="1" customWidth="1"/>
  </cols>
  <sheetData>
    <row r="1" spans="1:11" x14ac:dyDescent="0.35">
      <c r="A1" t="s">
        <v>16</v>
      </c>
      <c r="B1" t="s">
        <v>15</v>
      </c>
      <c r="C1" t="s">
        <v>14</v>
      </c>
      <c r="E1" t="s">
        <v>7</v>
      </c>
      <c r="F1" t="s">
        <v>8</v>
      </c>
      <c r="G1" t="s">
        <v>11</v>
      </c>
      <c r="I1" t="s">
        <v>17</v>
      </c>
      <c r="J1" t="s">
        <v>24</v>
      </c>
      <c r="K1" t="s">
        <v>37</v>
      </c>
    </row>
    <row r="2" spans="1:11" x14ac:dyDescent="0.35">
      <c r="A2">
        <v>0.2</v>
      </c>
      <c r="B2">
        <v>25</v>
      </c>
      <c r="C2">
        <v>0.94769999999999999</v>
      </c>
      <c r="E2">
        <f>C2*G2*$J$2*F2</f>
        <v>469861.51539083658</v>
      </c>
      <c r="F2">
        <f t="shared" ref="F2:F52" si="0">B2+273.15</f>
        <v>298.14999999999998</v>
      </c>
      <c r="G2">
        <f t="shared" ref="G2:G33" si="1">A2*$I$2*1000</f>
        <v>3.406104</v>
      </c>
      <c r="I2">
        <v>1.703052E-2</v>
      </c>
      <c r="J2">
        <v>488.20955661678198</v>
      </c>
    </row>
    <row r="3" spans="1:11" x14ac:dyDescent="0.35">
      <c r="A3">
        <v>0.4</v>
      </c>
      <c r="B3">
        <v>25</v>
      </c>
      <c r="C3">
        <v>0.89259999999999995</v>
      </c>
      <c r="E3">
        <f t="shared" ref="E3:E52" si="2">C3*G3*$J$2*F3</f>
        <v>885086.81784923642</v>
      </c>
      <c r="F3">
        <f t="shared" si="0"/>
        <v>298.14999999999998</v>
      </c>
      <c r="G3">
        <f t="shared" si="1"/>
        <v>6.812208</v>
      </c>
    </row>
    <row r="4" spans="1:11" x14ac:dyDescent="0.35">
      <c r="A4">
        <v>0.45</v>
      </c>
      <c r="B4">
        <v>25</v>
      </c>
      <c r="C4">
        <v>0.87150000000000005</v>
      </c>
      <c r="E4">
        <f t="shared" si="2"/>
        <v>972184.97308431647</v>
      </c>
      <c r="F4">
        <f t="shared" si="0"/>
        <v>298.14999999999998</v>
      </c>
      <c r="G4">
        <f t="shared" si="1"/>
        <v>7.6637339999999998</v>
      </c>
    </row>
    <row r="5" spans="1:11" x14ac:dyDescent="0.35">
      <c r="A5">
        <v>0.5</v>
      </c>
      <c r="B5">
        <v>25</v>
      </c>
      <c r="C5">
        <v>0.81299999999999994</v>
      </c>
      <c r="E5">
        <f t="shared" si="2"/>
        <v>1007696.0325333704</v>
      </c>
      <c r="F5">
        <f t="shared" si="0"/>
        <v>298.14999999999998</v>
      </c>
      <c r="G5">
        <f t="shared" si="1"/>
        <v>8.5152599999999996</v>
      </c>
    </row>
    <row r="6" spans="1:11" x14ac:dyDescent="0.35">
      <c r="A6">
        <v>0.2</v>
      </c>
      <c r="B6">
        <v>50</v>
      </c>
      <c r="C6">
        <v>0.95950000000000002</v>
      </c>
      <c r="E6">
        <f t="shared" si="2"/>
        <v>515600.48839128838</v>
      </c>
      <c r="F6">
        <f t="shared" si="0"/>
        <v>323.14999999999998</v>
      </c>
      <c r="G6">
        <f t="shared" si="1"/>
        <v>3.406104</v>
      </c>
    </row>
    <row r="7" spans="1:11" x14ac:dyDescent="0.35">
      <c r="A7">
        <v>0.4</v>
      </c>
      <c r="B7">
        <v>50</v>
      </c>
      <c r="C7">
        <v>0.91949999999999998</v>
      </c>
      <c r="E7">
        <f t="shared" si="2"/>
        <v>988211.87926167715</v>
      </c>
      <c r="F7">
        <f t="shared" si="0"/>
        <v>323.14999999999998</v>
      </c>
      <c r="G7">
        <f t="shared" si="1"/>
        <v>6.812208</v>
      </c>
    </row>
    <row r="8" spans="1:11" x14ac:dyDescent="0.35">
      <c r="A8">
        <v>0.5</v>
      </c>
      <c r="B8">
        <v>50</v>
      </c>
      <c r="C8">
        <v>0.8992</v>
      </c>
      <c r="E8">
        <f t="shared" si="2"/>
        <v>1207993.6403372758</v>
      </c>
      <c r="F8">
        <f t="shared" si="0"/>
        <v>323.14999999999998</v>
      </c>
      <c r="G8">
        <f t="shared" si="1"/>
        <v>8.5152599999999996</v>
      </c>
    </row>
    <row r="9" spans="1:11" x14ac:dyDescent="0.35">
      <c r="A9">
        <v>0.6</v>
      </c>
      <c r="B9">
        <v>50</v>
      </c>
      <c r="C9">
        <v>0.87980000000000003</v>
      </c>
      <c r="E9">
        <f t="shared" si="2"/>
        <v>1418317.7999582768</v>
      </c>
      <c r="F9">
        <f t="shared" si="0"/>
        <v>323.14999999999998</v>
      </c>
      <c r="G9">
        <f t="shared" si="1"/>
        <v>10.218312000000001</v>
      </c>
    </row>
    <row r="10" spans="1:11" x14ac:dyDescent="0.35">
      <c r="A10">
        <v>0.7</v>
      </c>
      <c r="B10">
        <v>50</v>
      </c>
      <c r="C10">
        <v>0.86029999999999995</v>
      </c>
      <c r="E10">
        <f t="shared" si="2"/>
        <v>1618029.0261288052</v>
      </c>
      <c r="F10">
        <f t="shared" si="0"/>
        <v>323.14999999999998</v>
      </c>
      <c r="G10">
        <f t="shared" si="1"/>
        <v>11.921364000000001</v>
      </c>
    </row>
    <row r="11" spans="1:11" x14ac:dyDescent="0.35">
      <c r="A11">
        <v>0.8</v>
      </c>
      <c r="B11">
        <v>50</v>
      </c>
      <c r="C11">
        <v>0.83930000000000005</v>
      </c>
      <c r="E11">
        <f t="shared" si="2"/>
        <v>1804037.4774645474</v>
      </c>
      <c r="F11">
        <f t="shared" si="0"/>
        <v>323.14999999999998</v>
      </c>
      <c r="G11">
        <f t="shared" si="1"/>
        <v>13.624416</v>
      </c>
    </row>
    <row r="12" spans="1:11" x14ac:dyDescent="0.35">
      <c r="A12">
        <v>0.85</v>
      </c>
      <c r="B12">
        <v>50</v>
      </c>
      <c r="C12">
        <v>0.82750000000000001</v>
      </c>
      <c r="E12">
        <f t="shared" si="2"/>
        <v>1889841.0292976678</v>
      </c>
      <c r="F12">
        <f t="shared" si="0"/>
        <v>323.14999999999998</v>
      </c>
      <c r="G12">
        <f t="shared" si="1"/>
        <v>14.475942</v>
      </c>
    </row>
    <row r="13" spans="1:11" x14ac:dyDescent="0.35">
      <c r="A13">
        <v>0.9</v>
      </c>
      <c r="B13">
        <v>50</v>
      </c>
      <c r="C13">
        <v>0.81399999999999995</v>
      </c>
      <c r="E13">
        <f t="shared" si="2"/>
        <v>1968363.3027381857</v>
      </c>
      <c r="F13">
        <f t="shared" si="0"/>
        <v>323.14999999999998</v>
      </c>
      <c r="G13">
        <f t="shared" si="1"/>
        <v>15.327468</v>
      </c>
    </row>
    <row r="14" spans="1:11" x14ac:dyDescent="0.35">
      <c r="A14">
        <v>0.95</v>
      </c>
      <c r="B14">
        <v>50</v>
      </c>
      <c r="C14">
        <v>0.79459999999999997</v>
      </c>
      <c r="E14">
        <f t="shared" si="2"/>
        <v>2028198.7528500878</v>
      </c>
      <c r="F14">
        <f t="shared" si="0"/>
        <v>323.14999999999998</v>
      </c>
      <c r="G14">
        <f t="shared" si="1"/>
        <v>16.178993999999999</v>
      </c>
    </row>
    <row r="15" spans="1:11" x14ac:dyDescent="0.35">
      <c r="A15">
        <v>1</v>
      </c>
      <c r="B15">
        <v>50</v>
      </c>
      <c r="C15">
        <v>0.75449999999999995</v>
      </c>
      <c r="E15">
        <f t="shared" si="2"/>
        <v>2027204.6299699168</v>
      </c>
      <c r="F15">
        <f t="shared" si="0"/>
        <v>323.14999999999998</v>
      </c>
      <c r="G15">
        <f t="shared" si="1"/>
        <v>17.030519999999999</v>
      </c>
    </row>
    <row r="16" spans="1:11" x14ac:dyDescent="0.35">
      <c r="A16">
        <v>0.25</v>
      </c>
      <c r="B16">
        <v>75</v>
      </c>
      <c r="C16">
        <v>0.95989999999999998</v>
      </c>
      <c r="E16">
        <f t="shared" si="2"/>
        <v>694650.87151839898</v>
      </c>
      <c r="F16">
        <f t="shared" si="0"/>
        <v>348.15</v>
      </c>
      <c r="G16">
        <f t="shared" si="1"/>
        <v>4.2576299999999998</v>
      </c>
    </row>
    <row r="17" spans="1:7" x14ac:dyDescent="0.35">
      <c r="A17">
        <v>0.5</v>
      </c>
      <c r="B17">
        <v>75</v>
      </c>
      <c r="C17">
        <v>0.92030000000000001</v>
      </c>
      <c r="E17">
        <f t="shared" si="2"/>
        <v>1331987.0758586992</v>
      </c>
      <c r="F17">
        <f t="shared" si="0"/>
        <v>348.15</v>
      </c>
      <c r="G17">
        <f t="shared" si="1"/>
        <v>8.5152599999999996</v>
      </c>
    </row>
    <row r="18" spans="1:7" x14ac:dyDescent="0.35">
      <c r="A18">
        <v>0.75</v>
      </c>
      <c r="B18">
        <v>75</v>
      </c>
      <c r="C18">
        <v>0.88109999999999999</v>
      </c>
      <c r="E18">
        <f t="shared" si="2"/>
        <v>1912877.0170690536</v>
      </c>
      <c r="F18">
        <f t="shared" si="0"/>
        <v>348.15</v>
      </c>
      <c r="G18">
        <f t="shared" si="1"/>
        <v>12.77289</v>
      </c>
    </row>
    <row r="19" spans="1:7" x14ac:dyDescent="0.35">
      <c r="A19">
        <v>1</v>
      </c>
      <c r="B19">
        <v>75</v>
      </c>
      <c r="C19">
        <v>0.84240000000000004</v>
      </c>
      <c r="E19">
        <f t="shared" si="2"/>
        <v>2438478.5672136662</v>
      </c>
      <c r="F19">
        <f t="shared" si="0"/>
        <v>348.15</v>
      </c>
      <c r="G19">
        <f t="shared" si="1"/>
        <v>17.030519999999999</v>
      </c>
    </row>
    <row r="20" spans="1:7" x14ac:dyDescent="0.35">
      <c r="A20">
        <v>1.25</v>
      </c>
      <c r="B20">
        <v>75</v>
      </c>
      <c r="C20">
        <v>0.80420000000000003</v>
      </c>
      <c r="E20">
        <f t="shared" si="2"/>
        <v>2909877.2313527269</v>
      </c>
      <c r="F20">
        <f t="shared" si="0"/>
        <v>348.15</v>
      </c>
      <c r="G20">
        <f t="shared" si="1"/>
        <v>21.288149999999998</v>
      </c>
    </row>
    <row r="21" spans="1:7" x14ac:dyDescent="0.35">
      <c r="A21">
        <v>1.5</v>
      </c>
      <c r="B21">
        <v>75</v>
      </c>
      <c r="C21">
        <v>0.76639999999999997</v>
      </c>
      <c r="E21">
        <f t="shared" si="2"/>
        <v>3327724.3125223527</v>
      </c>
      <c r="F21">
        <f t="shared" si="0"/>
        <v>348.15</v>
      </c>
      <c r="G21">
        <f t="shared" si="1"/>
        <v>25.545780000000001</v>
      </c>
    </row>
    <row r="22" spans="1:7" x14ac:dyDescent="0.35">
      <c r="A22">
        <v>1.75</v>
      </c>
      <c r="B22">
        <v>75</v>
      </c>
      <c r="C22">
        <v>0.72019999999999995</v>
      </c>
      <c r="E22">
        <f t="shared" si="2"/>
        <v>3648310.1402988411</v>
      </c>
      <c r="F22">
        <f t="shared" si="0"/>
        <v>348.15</v>
      </c>
      <c r="G22">
        <f t="shared" si="1"/>
        <v>29.803410000000003</v>
      </c>
    </row>
    <row r="23" spans="1:7" x14ac:dyDescent="0.35">
      <c r="A23">
        <v>0.25</v>
      </c>
      <c r="B23">
        <v>100</v>
      </c>
      <c r="C23">
        <v>0.96679999999999999</v>
      </c>
      <c r="E23">
        <f t="shared" si="2"/>
        <v>749884.33516546991</v>
      </c>
      <c r="F23">
        <f t="shared" si="0"/>
        <v>373.15</v>
      </c>
      <c r="G23">
        <f t="shared" si="1"/>
        <v>4.2576299999999998</v>
      </c>
    </row>
    <row r="24" spans="1:7" x14ac:dyDescent="0.35">
      <c r="A24">
        <v>0.5</v>
      </c>
      <c r="B24">
        <v>100</v>
      </c>
      <c r="C24">
        <v>0.93410000000000004</v>
      </c>
      <c r="E24">
        <f t="shared" si="2"/>
        <v>1449042.1131114305</v>
      </c>
      <c r="F24">
        <f t="shared" si="0"/>
        <v>373.15</v>
      </c>
      <c r="G24">
        <f t="shared" si="1"/>
        <v>8.5152599999999996</v>
      </c>
    </row>
    <row r="25" spans="1:7" x14ac:dyDescent="0.35">
      <c r="A25">
        <v>0.75</v>
      </c>
      <c r="B25">
        <v>100</v>
      </c>
      <c r="C25">
        <v>0.90169999999999995</v>
      </c>
      <c r="E25">
        <f t="shared" si="2"/>
        <v>2098171.4057262233</v>
      </c>
      <c r="F25">
        <f t="shared" si="0"/>
        <v>373.15</v>
      </c>
      <c r="G25">
        <f t="shared" si="1"/>
        <v>12.77289</v>
      </c>
    </row>
    <row r="26" spans="1:7" x14ac:dyDescent="0.35">
      <c r="A26">
        <v>1</v>
      </c>
      <c r="B26">
        <v>100</v>
      </c>
      <c r="C26">
        <v>0.86980000000000002</v>
      </c>
      <c r="E26">
        <f t="shared" si="2"/>
        <v>2698590.7932433831</v>
      </c>
      <c r="F26">
        <f t="shared" si="0"/>
        <v>373.15</v>
      </c>
      <c r="G26">
        <f t="shared" si="1"/>
        <v>17.030519999999999</v>
      </c>
    </row>
    <row r="27" spans="1:7" x14ac:dyDescent="0.35">
      <c r="A27">
        <v>1.25</v>
      </c>
      <c r="B27">
        <v>100</v>
      </c>
      <c r="C27">
        <v>0.83840000000000003</v>
      </c>
      <c r="E27">
        <f t="shared" si="2"/>
        <v>3251463.7288101465</v>
      </c>
      <c r="F27">
        <f t="shared" si="0"/>
        <v>373.15</v>
      </c>
      <c r="G27">
        <f t="shared" si="1"/>
        <v>21.288149999999998</v>
      </c>
    </row>
    <row r="28" spans="1:7" x14ac:dyDescent="0.35">
      <c r="A28">
        <v>1.5</v>
      </c>
      <c r="B28">
        <v>100</v>
      </c>
      <c r="C28">
        <v>0.80730000000000002</v>
      </c>
      <c r="E28">
        <f t="shared" si="2"/>
        <v>3757022.9030559608</v>
      </c>
      <c r="F28">
        <f t="shared" si="0"/>
        <v>373.15</v>
      </c>
      <c r="G28">
        <f t="shared" si="1"/>
        <v>25.545780000000001</v>
      </c>
    </row>
    <row r="29" spans="1:7" x14ac:dyDescent="0.35">
      <c r="A29">
        <v>1.75</v>
      </c>
      <c r="B29">
        <v>100</v>
      </c>
      <c r="C29">
        <v>0.77669999999999995</v>
      </c>
      <c r="E29">
        <f t="shared" si="2"/>
        <v>4217052.277473256</v>
      </c>
      <c r="F29">
        <f t="shared" si="0"/>
        <v>373.15</v>
      </c>
      <c r="G29">
        <f t="shared" si="1"/>
        <v>29.803410000000003</v>
      </c>
    </row>
    <row r="30" spans="1:7" x14ac:dyDescent="0.35">
      <c r="A30">
        <v>2</v>
      </c>
      <c r="B30">
        <v>100</v>
      </c>
      <c r="C30">
        <v>0.74760000000000004</v>
      </c>
      <c r="E30">
        <f t="shared" si="2"/>
        <v>4638920.3886611946</v>
      </c>
      <c r="F30">
        <f t="shared" si="0"/>
        <v>373.15</v>
      </c>
      <c r="G30">
        <f t="shared" si="1"/>
        <v>34.061039999999998</v>
      </c>
    </row>
    <row r="31" spans="1:7" x14ac:dyDescent="0.35">
      <c r="A31">
        <v>2.25</v>
      </c>
      <c r="B31">
        <v>100</v>
      </c>
      <c r="C31">
        <v>0.71919999999999995</v>
      </c>
      <c r="E31">
        <f t="shared" si="2"/>
        <v>5020533.0209547505</v>
      </c>
      <c r="F31">
        <f t="shared" si="0"/>
        <v>373.15</v>
      </c>
      <c r="G31">
        <f t="shared" si="1"/>
        <v>38.318669999999997</v>
      </c>
    </row>
    <row r="32" spans="1:7" x14ac:dyDescent="0.35">
      <c r="A32">
        <v>2.5</v>
      </c>
      <c r="B32">
        <v>100</v>
      </c>
      <c r="C32">
        <v>0.69169999999999998</v>
      </c>
      <c r="E32">
        <f t="shared" si="2"/>
        <v>5365070.2796230391</v>
      </c>
      <c r="F32">
        <f t="shared" si="0"/>
        <v>373.15</v>
      </c>
      <c r="G32">
        <f t="shared" si="1"/>
        <v>42.576299999999996</v>
      </c>
    </row>
    <row r="33" spans="1:7" x14ac:dyDescent="0.35">
      <c r="A33">
        <v>2.75</v>
      </c>
      <c r="B33">
        <v>100</v>
      </c>
      <c r="C33">
        <v>0.66549999999999998</v>
      </c>
      <c r="E33">
        <f t="shared" si="2"/>
        <v>5678039.1762296464</v>
      </c>
      <c r="F33">
        <f t="shared" si="0"/>
        <v>373.15</v>
      </c>
      <c r="G33">
        <f t="shared" si="1"/>
        <v>46.833930000000002</v>
      </c>
    </row>
    <row r="34" spans="1:7" x14ac:dyDescent="0.35">
      <c r="A34">
        <v>3</v>
      </c>
      <c r="B34">
        <v>100</v>
      </c>
      <c r="C34">
        <v>0.64049999999999996</v>
      </c>
      <c r="E34">
        <f t="shared" si="2"/>
        <v>5961533.9264395963</v>
      </c>
      <c r="F34">
        <f t="shared" si="0"/>
        <v>373.15</v>
      </c>
      <c r="G34">
        <f t="shared" ref="G34:G52" si="3">A34*$I$2*1000</f>
        <v>51.091560000000001</v>
      </c>
    </row>
    <row r="35" spans="1:7" x14ac:dyDescent="0.35">
      <c r="A35">
        <v>0.25</v>
      </c>
      <c r="B35">
        <v>125</v>
      </c>
      <c r="C35">
        <v>0.97250000000000003</v>
      </c>
      <c r="E35">
        <f t="shared" si="2"/>
        <v>804841.8002259311</v>
      </c>
      <c r="F35">
        <f t="shared" si="0"/>
        <v>398.15</v>
      </c>
      <c r="G35">
        <f t="shared" si="3"/>
        <v>4.2576299999999998</v>
      </c>
    </row>
    <row r="36" spans="1:7" x14ac:dyDescent="0.35">
      <c r="A36">
        <v>0.5</v>
      </c>
      <c r="B36">
        <v>125</v>
      </c>
      <c r="C36">
        <v>0.94530000000000003</v>
      </c>
      <c r="E36">
        <f t="shared" si="2"/>
        <v>1564662.1156885813</v>
      </c>
      <c r="F36">
        <f t="shared" si="0"/>
        <v>398.15</v>
      </c>
      <c r="G36">
        <f t="shared" si="3"/>
        <v>8.5152599999999996</v>
      </c>
    </row>
    <row r="37" spans="1:7" x14ac:dyDescent="0.35">
      <c r="A37">
        <v>0.75</v>
      </c>
      <c r="B37">
        <v>125</v>
      </c>
      <c r="C37">
        <v>0.91830000000000001</v>
      </c>
      <c r="E37">
        <f t="shared" si="2"/>
        <v>2279957.5068816631</v>
      </c>
      <c r="F37">
        <f t="shared" si="0"/>
        <v>398.15</v>
      </c>
      <c r="G37">
        <f t="shared" si="3"/>
        <v>12.77289</v>
      </c>
    </row>
    <row r="38" spans="1:7" x14ac:dyDescent="0.35">
      <c r="A38">
        <v>1</v>
      </c>
      <c r="B38">
        <v>125</v>
      </c>
      <c r="C38">
        <v>0.89159999999999995</v>
      </c>
      <c r="E38">
        <f t="shared" si="2"/>
        <v>2951555.5746280313</v>
      </c>
      <c r="F38">
        <f t="shared" si="0"/>
        <v>398.15</v>
      </c>
      <c r="G38">
        <f t="shared" si="3"/>
        <v>17.030519999999999</v>
      </c>
    </row>
    <row r="39" spans="1:7" x14ac:dyDescent="0.35">
      <c r="A39">
        <v>1.25</v>
      </c>
      <c r="B39">
        <v>125</v>
      </c>
      <c r="C39">
        <v>0.86509999999999998</v>
      </c>
      <c r="E39">
        <f>C39*G39*$J$2*F39</f>
        <v>3579787.3592568277</v>
      </c>
      <c r="F39">
        <f t="shared" si="0"/>
        <v>398.15</v>
      </c>
      <c r="G39">
        <f t="shared" si="3"/>
        <v>21.288149999999998</v>
      </c>
    </row>
    <row r="40" spans="1:7" x14ac:dyDescent="0.35">
      <c r="A40">
        <v>1.5</v>
      </c>
      <c r="B40">
        <v>125</v>
      </c>
      <c r="C40">
        <v>0.83879999999999999</v>
      </c>
      <c r="E40">
        <f t="shared" si="2"/>
        <v>4165149.4212617651</v>
      </c>
      <c r="F40">
        <f t="shared" si="0"/>
        <v>398.15</v>
      </c>
      <c r="G40">
        <f t="shared" si="3"/>
        <v>25.545780000000001</v>
      </c>
    </row>
    <row r="41" spans="1:7" x14ac:dyDescent="0.35">
      <c r="A41">
        <v>1.75</v>
      </c>
      <c r="B41">
        <v>125</v>
      </c>
      <c r="C41">
        <v>0.81279999999999997</v>
      </c>
      <c r="E41">
        <f t="shared" si="2"/>
        <v>4708717.6417125529</v>
      </c>
      <c r="F41">
        <f t="shared" si="0"/>
        <v>398.15</v>
      </c>
      <c r="G41">
        <f t="shared" si="3"/>
        <v>29.803410000000003</v>
      </c>
    </row>
    <row r="42" spans="1:7" x14ac:dyDescent="0.35">
      <c r="A42">
        <v>2</v>
      </c>
      <c r="B42">
        <v>125</v>
      </c>
      <c r="C42">
        <v>0.78800000000000003</v>
      </c>
      <c r="E42">
        <f t="shared" si="2"/>
        <v>5217195.587274313</v>
      </c>
      <c r="F42">
        <f t="shared" si="0"/>
        <v>398.15</v>
      </c>
      <c r="G42">
        <f t="shared" si="3"/>
        <v>34.061039999999998</v>
      </c>
    </row>
    <row r="43" spans="1:7" x14ac:dyDescent="0.35">
      <c r="A43">
        <v>2.25</v>
      </c>
      <c r="B43">
        <v>125</v>
      </c>
      <c r="C43">
        <v>0.76429999999999998</v>
      </c>
      <c r="E43">
        <f t="shared" si="2"/>
        <v>5692817.7801687522</v>
      </c>
      <c r="F43">
        <f t="shared" si="0"/>
        <v>398.15</v>
      </c>
      <c r="G43">
        <f t="shared" si="3"/>
        <v>38.318669999999997</v>
      </c>
    </row>
    <row r="44" spans="1:7" x14ac:dyDescent="0.35">
      <c r="A44">
        <v>2.5</v>
      </c>
      <c r="B44">
        <v>125</v>
      </c>
      <c r="C44">
        <v>0.74119999999999997</v>
      </c>
      <c r="E44">
        <f t="shared" si="2"/>
        <v>6134177.2989970185</v>
      </c>
      <c r="F44">
        <f t="shared" si="0"/>
        <v>398.15</v>
      </c>
      <c r="G44">
        <f t="shared" si="3"/>
        <v>42.576299999999996</v>
      </c>
    </row>
    <row r="45" spans="1:7" x14ac:dyDescent="0.35">
      <c r="A45">
        <v>2.75</v>
      </c>
      <c r="B45">
        <v>125</v>
      </c>
      <c r="C45">
        <v>0.71909999999999996</v>
      </c>
      <c r="E45">
        <f t="shared" si="2"/>
        <v>6546405.2688608086</v>
      </c>
      <c r="F45">
        <f t="shared" si="0"/>
        <v>398.15</v>
      </c>
      <c r="G45">
        <f t="shared" si="3"/>
        <v>46.833930000000002</v>
      </c>
    </row>
    <row r="46" spans="1:7" x14ac:dyDescent="0.35">
      <c r="A46">
        <v>3</v>
      </c>
      <c r="B46">
        <v>125</v>
      </c>
      <c r="C46">
        <v>0.69750000000000001</v>
      </c>
      <c r="E46">
        <f t="shared" si="2"/>
        <v>6927018.8872915627</v>
      </c>
      <c r="F46">
        <f t="shared" si="0"/>
        <v>398.15</v>
      </c>
      <c r="G46">
        <f>A46*$I$2*1000</f>
        <v>51.091560000000001</v>
      </c>
    </row>
    <row r="47" spans="1:7" x14ac:dyDescent="0.35">
      <c r="A47">
        <v>3.5</v>
      </c>
      <c r="B47">
        <v>125</v>
      </c>
      <c r="C47">
        <v>0.65600000000000003</v>
      </c>
      <c r="E47">
        <f t="shared" si="2"/>
        <v>7600685.9570950652</v>
      </c>
      <c r="F47">
        <f t="shared" si="0"/>
        <v>398.15</v>
      </c>
      <c r="G47">
        <f>A47*$I$2*1000</f>
        <v>59.606820000000006</v>
      </c>
    </row>
    <row r="48" spans="1:7" x14ac:dyDescent="0.35">
      <c r="A48">
        <v>4</v>
      </c>
      <c r="B48">
        <v>125</v>
      </c>
      <c r="C48">
        <v>0.61580000000000001</v>
      </c>
      <c r="E48">
        <f t="shared" si="2"/>
        <v>8154185.3874201076</v>
      </c>
      <c r="F48">
        <f t="shared" si="0"/>
        <v>398.15</v>
      </c>
      <c r="G48">
        <f t="shared" si="3"/>
        <v>68.122079999999997</v>
      </c>
    </row>
    <row r="49" spans="1:7" x14ac:dyDescent="0.35">
      <c r="A49">
        <v>4.5</v>
      </c>
      <c r="B49">
        <v>125</v>
      </c>
      <c r="C49">
        <v>0.57909999999999995</v>
      </c>
      <c r="E49">
        <f t="shared" si="2"/>
        <v>8626745.4572699834</v>
      </c>
      <c r="F49">
        <f t="shared" si="0"/>
        <v>398.15</v>
      </c>
      <c r="G49">
        <f t="shared" si="3"/>
        <v>76.637339999999995</v>
      </c>
    </row>
    <row r="50" spans="1:7" x14ac:dyDescent="0.35">
      <c r="A50">
        <v>5</v>
      </c>
      <c r="B50">
        <v>125</v>
      </c>
      <c r="C50">
        <v>0.54459999999999997</v>
      </c>
      <c r="E50">
        <f t="shared" si="2"/>
        <v>9014228.1625304278</v>
      </c>
      <c r="F50">
        <f t="shared" si="0"/>
        <v>398.15</v>
      </c>
      <c r="G50">
        <f t="shared" si="3"/>
        <v>85.152599999999993</v>
      </c>
    </row>
    <row r="51" spans="1:7" x14ac:dyDescent="0.35">
      <c r="A51">
        <v>5.5</v>
      </c>
      <c r="B51">
        <v>125</v>
      </c>
      <c r="C51">
        <v>0.51229999999999998</v>
      </c>
      <c r="E51">
        <f t="shared" si="2"/>
        <v>9327557.8340631146</v>
      </c>
      <c r="F51">
        <f t="shared" si="0"/>
        <v>398.15</v>
      </c>
      <c r="G51">
        <f t="shared" si="3"/>
        <v>93.667860000000005</v>
      </c>
    </row>
    <row r="52" spans="1:7" x14ac:dyDescent="0.35">
      <c r="A52">
        <v>6</v>
      </c>
      <c r="B52">
        <v>125</v>
      </c>
      <c r="C52">
        <v>0.48120000000000002</v>
      </c>
      <c r="E52">
        <f t="shared" si="2"/>
        <v>9557796.3829812165</v>
      </c>
      <c r="F52">
        <f t="shared" si="0"/>
        <v>398.15</v>
      </c>
      <c r="G52">
        <f t="shared" si="3"/>
        <v>102.18312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3CB78-4D1C-49E6-92B4-D229FA2C2AA9}">
  <dimension ref="A1:J60"/>
  <sheetViews>
    <sheetView topLeftCell="A37" workbookViewId="0">
      <selection activeCell="G28" sqref="G28"/>
    </sheetView>
  </sheetViews>
  <sheetFormatPr defaultRowHeight="14.5" x14ac:dyDescent="0.35"/>
  <cols>
    <col min="9" max="11" width="11.7265625" bestFit="1" customWidth="1"/>
    <col min="12" max="12" width="12.7265625" bestFit="1" customWidth="1"/>
  </cols>
  <sheetData>
    <row r="1" spans="1:10" x14ac:dyDescent="0.35">
      <c r="A1" t="s">
        <v>3</v>
      </c>
      <c r="B1" t="s">
        <v>15</v>
      </c>
      <c r="C1" t="s">
        <v>14</v>
      </c>
      <c r="E1" t="s">
        <v>7</v>
      </c>
      <c r="F1" t="s">
        <v>8</v>
      </c>
      <c r="G1" t="s">
        <v>11</v>
      </c>
      <c r="I1" t="s">
        <v>24</v>
      </c>
      <c r="J1" t="s">
        <v>37</v>
      </c>
    </row>
    <row r="2" spans="1:10" x14ac:dyDescent="0.35">
      <c r="A2">
        <v>2</v>
      </c>
      <c r="B2">
        <v>25</v>
      </c>
      <c r="C2">
        <v>0.97799999999999998</v>
      </c>
      <c r="E2">
        <f>A2*101325</f>
        <v>202650</v>
      </c>
      <c r="F2">
        <f t="shared" ref="F2:F60" si="0">B2+273.15</f>
        <v>298.14999999999998</v>
      </c>
      <c r="G2">
        <f t="shared" ref="G2:G60" si="1">E2/(C2*$I$2*F2)</f>
        <v>1.4235301283019499</v>
      </c>
      <c r="I2">
        <v>488.20955661678198</v>
      </c>
    </row>
    <row r="3" spans="1:10" x14ac:dyDescent="0.35">
      <c r="A3">
        <v>4</v>
      </c>
      <c r="B3">
        <v>25</v>
      </c>
      <c r="C3">
        <v>0.9546</v>
      </c>
      <c r="E3">
        <f t="shared" ref="E3:E60" si="2">A3*101325</f>
        <v>405300</v>
      </c>
      <c r="F3">
        <f t="shared" si="0"/>
        <v>298.14999999999998</v>
      </c>
      <c r="G3">
        <f t="shared" si="1"/>
        <v>2.9168499171994702</v>
      </c>
    </row>
    <row r="4" spans="1:10" x14ac:dyDescent="0.35">
      <c r="A4">
        <v>6</v>
      </c>
      <c r="B4">
        <v>25</v>
      </c>
      <c r="C4">
        <v>0.93079999999999996</v>
      </c>
      <c r="E4">
        <f t="shared" si="2"/>
        <v>607950</v>
      </c>
      <c r="F4">
        <f t="shared" si="0"/>
        <v>298.14999999999998</v>
      </c>
      <c r="G4">
        <f t="shared" si="1"/>
        <v>4.4871480408658373</v>
      </c>
    </row>
    <row r="5" spans="1:10" x14ac:dyDescent="0.35">
      <c r="A5">
        <v>7</v>
      </c>
      <c r="B5">
        <v>25</v>
      </c>
      <c r="C5">
        <v>0.91710000000000003</v>
      </c>
      <c r="E5">
        <f t="shared" si="2"/>
        <v>709275</v>
      </c>
      <c r="F5">
        <f t="shared" si="0"/>
        <v>298.14999999999998</v>
      </c>
      <c r="G5">
        <f t="shared" si="1"/>
        <v>5.3132086241168626</v>
      </c>
    </row>
    <row r="6" spans="1:10" x14ac:dyDescent="0.35">
      <c r="A6">
        <v>8</v>
      </c>
      <c r="B6">
        <v>25</v>
      </c>
      <c r="C6">
        <v>0.90269999999999995</v>
      </c>
      <c r="E6">
        <f t="shared" si="2"/>
        <v>810600</v>
      </c>
      <c r="F6">
        <f t="shared" si="0"/>
        <v>298.14999999999998</v>
      </c>
      <c r="G6">
        <f t="shared" si="1"/>
        <v>6.1691036467455724</v>
      </c>
    </row>
    <row r="7" spans="1:10" x14ac:dyDescent="0.35">
      <c r="A7">
        <v>9</v>
      </c>
      <c r="B7">
        <v>25</v>
      </c>
      <c r="C7">
        <v>0.88619999999999999</v>
      </c>
      <c r="E7">
        <f t="shared" si="2"/>
        <v>911925</v>
      </c>
      <c r="F7">
        <f t="shared" si="0"/>
        <v>298.14999999999998</v>
      </c>
      <c r="G7">
        <f t="shared" si="1"/>
        <v>7.0694607251826707</v>
      </c>
    </row>
    <row r="8" spans="1:10" x14ac:dyDescent="0.35">
      <c r="A8">
        <v>9.3000000000000007</v>
      </c>
      <c r="B8">
        <v>25</v>
      </c>
      <c r="C8">
        <v>0.88</v>
      </c>
      <c r="E8">
        <f t="shared" si="2"/>
        <v>942322.50000000012</v>
      </c>
      <c r="F8">
        <f t="shared" si="0"/>
        <v>298.14999999999998</v>
      </c>
      <c r="G8">
        <f t="shared" si="1"/>
        <v>7.3565772323622491</v>
      </c>
    </row>
    <row r="9" spans="1:10" x14ac:dyDescent="0.35">
      <c r="A9">
        <v>9.5</v>
      </c>
      <c r="B9">
        <v>25</v>
      </c>
      <c r="C9">
        <v>0.87429999999999997</v>
      </c>
      <c r="E9">
        <f t="shared" si="2"/>
        <v>962587.5</v>
      </c>
      <c r="F9">
        <f t="shared" si="0"/>
        <v>298.14999999999998</v>
      </c>
      <c r="G9">
        <f t="shared" si="1"/>
        <v>7.5637758332685685</v>
      </c>
    </row>
    <row r="10" spans="1:10" x14ac:dyDescent="0.35">
      <c r="A10">
        <v>9.6999999999999993</v>
      </c>
      <c r="B10">
        <v>25</v>
      </c>
      <c r="C10">
        <v>0.86560000000000004</v>
      </c>
      <c r="E10">
        <f t="shared" si="2"/>
        <v>982852.49999999988</v>
      </c>
      <c r="F10">
        <f t="shared" si="0"/>
        <v>298.14999999999998</v>
      </c>
      <c r="G10">
        <f t="shared" si="1"/>
        <v>7.8006359260335474</v>
      </c>
    </row>
    <row r="11" spans="1:10" x14ac:dyDescent="0.35">
      <c r="A11">
        <v>2</v>
      </c>
      <c r="B11">
        <v>50</v>
      </c>
      <c r="C11">
        <v>0.98560000000000003</v>
      </c>
      <c r="E11">
        <f t="shared" si="2"/>
        <v>202650</v>
      </c>
      <c r="F11">
        <f t="shared" si="0"/>
        <v>323.14999999999998</v>
      </c>
      <c r="G11">
        <f t="shared" si="1"/>
        <v>1.3032732357322685</v>
      </c>
    </row>
    <row r="12" spans="1:10" x14ac:dyDescent="0.35">
      <c r="A12">
        <v>4</v>
      </c>
      <c r="B12">
        <v>50</v>
      </c>
      <c r="C12">
        <v>0.97040000000000004</v>
      </c>
      <c r="E12">
        <f t="shared" si="2"/>
        <v>405300</v>
      </c>
      <c r="F12">
        <f t="shared" si="0"/>
        <v>323.14999999999998</v>
      </c>
      <c r="G12">
        <f t="shared" si="1"/>
        <v>2.6473744870934119</v>
      </c>
    </row>
    <row r="13" spans="1:10" x14ac:dyDescent="0.35">
      <c r="A13">
        <v>6</v>
      </c>
      <c r="B13">
        <v>50</v>
      </c>
      <c r="C13">
        <v>0.95440000000000003</v>
      </c>
      <c r="E13">
        <f t="shared" si="2"/>
        <v>607950</v>
      </c>
      <c r="F13">
        <f t="shared" si="0"/>
        <v>323.14999999999998</v>
      </c>
      <c r="G13">
        <f t="shared" si="1"/>
        <v>4.037634433584631</v>
      </c>
    </row>
    <row r="14" spans="1:10" x14ac:dyDescent="0.35">
      <c r="A14">
        <v>8</v>
      </c>
      <c r="B14">
        <v>50</v>
      </c>
      <c r="C14">
        <v>0.93720000000000003</v>
      </c>
      <c r="E14">
        <f t="shared" si="2"/>
        <v>810600</v>
      </c>
      <c r="F14">
        <f t="shared" si="0"/>
        <v>323.14999999999998</v>
      </c>
      <c r="G14">
        <f t="shared" si="1"/>
        <v>5.4823137052399638</v>
      </c>
    </row>
    <row r="15" spans="1:10" x14ac:dyDescent="0.35">
      <c r="A15">
        <v>10</v>
      </c>
      <c r="B15">
        <v>50</v>
      </c>
      <c r="C15">
        <v>0.91879999999999995</v>
      </c>
      <c r="E15">
        <f t="shared" si="2"/>
        <v>1013250</v>
      </c>
      <c r="F15">
        <f t="shared" si="0"/>
        <v>323.14999999999998</v>
      </c>
      <c r="G15">
        <f t="shared" si="1"/>
        <v>6.990128978764278</v>
      </c>
    </row>
    <row r="16" spans="1:10" x14ac:dyDescent="0.35">
      <c r="A16">
        <v>12</v>
      </c>
      <c r="B16">
        <v>50</v>
      </c>
      <c r="C16">
        <v>0.89929999999999999</v>
      </c>
      <c r="E16">
        <f t="shared" si="2"/>
        <v>1215900</v>
      </c>
      <c r="F16">
        <f t="shared" si="0"/>
        <v>323.14999999999998</v>
      </c>
      <c r="G16">
        <f t="shared" si="1"/>
        <v>8.5700395939356646</v>
      </c>
    </row>
    <row r="17" spans="1:7" x14ac:dyDescent="0.35">
      <c r="A17">
        <v>14</v>
      </c>
      <c r="B17">
        <v>50</v>
      </c>
      <c r="C17">
        <v>0.87929999999999997</v>
      </c>
      <c r="E17">
        <f t="shared" si="2"/>
        <v>1418550</v>
      </c>
      <c r="F17">
        <f t="shared" si="0"/>
        <v>323.14999999999998</v>
      </c>
      <c r="G17">
        <f t="shared" si="1"/>
        <v>10.225796324308048</v>
      </c>
    </row>
    <row r="18" spans="1:7" x14ac:dyDescent="0.35">
      <c r="A18">
        <v>16</v>
      </c>
      <c r="B18">
        <v>50</v>
      </c>
      <c r="C18">
        <v>0.85919999999999996</v>
      </c>
      <c r="E18">
        <f t="shared" si="2"/>
        <v>1621200</v>
      </c>
      <c r="F18">
        <f t="shared" si="0"/>
        <v>323.14999999999998</v>
      </c>
      <c r="G18">
        <f t="shared" si="1"/>
        <v>11.960019563665957</v>
      </c>
    </row>
    <row r="19" spans="1:7" x14ac:dyDescent="0.35">
      <c r="A19">
        <v>18</v>
      </c>
      <c r="B19">
        <v>50</v>
      </c>
      <c r="C19">
        <v>0.83850000000000002</v>
      </c>
      <c r="E19">
        <f t="shared" si="2"/>
        <v>1823850</v>
      </c>
      <c r="F19">
        <f t="shared" si="0"/>
        <v>323.14999999999998</v>
      </c>
      <c r="G19">
        <f t="shared" si="1"/>
        <v>13.787185343159825</v>
      </c>
    </row>
    <row r="20" spans="1:7" x14ac:dyDescent="0.35">
      <c r="A20">
        <v>19</v>
      </c>
      <c r="B20">
        <v>50</v>
      </c>
      <c r="C20">
        <v>0.82550000000000001</v>
      </c>
      <c r="E20">
        <f t="shared" si="2"/>
        <v>1925175</v>
      </c>
      <c r="F20">
        <f t="shared" si="0"/>
        <v>323.14999999999998</v>
      </c>
      <c r="G20">
        <f t="shared" si="1"/>
        <v>14.782323392862962</v>
      </c>
    </row>
    <row r="21" spans="1:7" x14ac:dyDescent="0.35">
      <c r="A21">
        <v>19.5</v>
      </c>
      <c r="B21">
        <v>50</v>
      </c>
      <c r="C21">
        <v>0.81499999999999995</v>
      </c>
      <c r="E21">
        <f t="shared" si="2"/>
        <v>1975837.5</v>
      </c>
      <c r="F21">
        <f t="shared" si="0"/>
        <v>323.14999999999998</v>
      </c>
      <c r="G21">
        <f t="shared" si="1"/>
        <v>15.366790780481971</v>
      </c>
    </row>
    <row r="22" spans="1:7" x14ac:dyDescent="0.35">
      <c r="A22">
        <v>19.8</v>
      </c>
      <c r="B22">
        <v>50</v>
      </c>
      <c r="C22">
        <v>0.80269999999999997</v>
      </c>
      <c r="E22">
        <f t="shared" si="2"/>
        <v>2006235</v>
      </c>
      <c r="F22">
        <f t="shared" si="0"/>
        <v>323.14999999999998</v>
      </c>
      <c r="G22">
        <f t="shared" si="1"/>
        <v>15.842295255093392</v>
      </c>
    </row>
    <row r="23" spans="1:7" x14ac:dyDescent="0.35">
      <c r="A23">
        <v>5</v>
      </c>
      <c r="B23">
        <v>75</v>
      </c>
      <c r="C23">
        <v>0.97240000000000004</v>
      </c>
      <c r="E23">
        <f t="shared" si="2"/>
        <v>506625</v>
      </c>
      <c r="F23">
        <f t="shared" si="0"/>
        <v>348.15</v>
      </c>
      <c r="G23">
        <f t="shared" si="1"/>
        <v>3.0652718061928401</v>
      </c>
    </row>
    <row r="24" spans="1:7" x14ac:dyDescent="0.35">
      <c r="A24">
        <v>10</v>
      </c>
      <c r="B24">
        <v>75</v>
      </c>
      <c r="C24">
        <v>0.94199999999999995</v>
      </c>
      <c r="E24">
        <f t="shared" si="2"/>
        <v>1013250</v>
      </c>
      <c r="F24">
        <f t="shared" si="0"/>
        <v>348.15</v>
      </c>
      <c r="G24">
        <f t="shared" si="1"/>
        <v>6.3283870580507804</v>
      </c>
    </row>
    <row r="25" spans="1:7" x14ac:dyDescent="0.35">
      <c r="A25">
        <v>15</v>
      </c>
      <c r="B25">
        <v>75</v>
      </c>
      <c r="C25">
        <v>0.90890000000000004</v>
      </c>
      <c r="E25">
        <f t="shared" si="2"/>
        <v>1519875</v>
      </c>
      <c r="F25">
        <f t="shared" si="0"/>
        <v>348.15</v>
      </c>
      <c r="G25">
        <f t="shared" si="1"/>
        <v>9.8382780427172971</v>
      </c>
    </row>
    <row r="26" spans="1:7" x14ac:dyDescent="0.35">
      <c r="A26">
        <v>20</v>
      </c>
      <c r="B26">
        <v>75</v>
      </c>
      <c r="C26">
        <v>0.87290000000000001</v>
      </c>
      <c r="E26">
        <f t="shared" si="2"/>
        <v>2026500</v>
      </c>
      <c r="F26">
        <f t="shared" si="0"/>
        <v>348.15</v>
      </c>
      <c r="G26">
        <f t="shared" si="1"/>
        <v>13.658702276741515</v>
      </c>
    </row>
    <row r="27" spans="1:7" x14ac:dyDescent="0.35">
      <c r="A27">
        <v>25</v>
      </c>
      <c r="B27">
        <v>75</v>
      </c>
      <c r="C27">
        <v>0.83399999999999996</v>
      </c>
      <c r="E27">
        <f t="shared" si="2"/>
        <v>2533125</v>
      </c>
      <c r="F27">
        <f t="shared" si="0"/>
        <v>348.15</v>
      </c>
      <c r="G27">
        <f t="shared" si="1"/>
        <v>17.869726045215334</v>
      </c>
    </row>
    <row r="28" spans="1:7" x14ac:dyDescent="0.35">
      <c r="A28">
        <v>30</v>
      </c>
      <c r="B28">
        <v>75</v>
      </c>
      <c r="C28">
        <v>0.79249999999999998</v>
      </c>
      <c r="E28">
        <f t="shared" si="2"/>
        <v>3039750</v>
      </c>
      <c r="F28">
        <f t="shared" si="0"/>
        <v>348.15</v>
      </c>
      <c r="G28">
        <f t="shared" si="1"/>
        <v>22.56658905495458</v>
      </c>
    </row>
    <row r="29" spans="1:7" x14ac:dyDescent="0.35">
      <c r="A29">
        <v>35</v>
      </c>
      <c r="B29">
        <v>75</v>
      </c>
      <c r="C29">
        <v>0.74350000000000005</v>
      </c>
      <c r="E29">
        <f t="shared" si="2"/>
        <v>3546375</v>
      </c>
      <c r="F29">
        <f t="shared" si="0"/>
        <v>348.15</v>
      </c>
      <c r="G29">
        <f t="shared" si="1"/>
        <v>28.062800444375817</v>
      </c>
    </row>
    <row r="30" spans="1:7" x14ac:dyDescent="0.35">
      <c r="A30">
        <v>5</v>
      </c>
      <c r="B30">
        <v>100</v>
      </c>
      <c r="C30">
        <v>0.97870000000000001</v>
      </c>
      <c r="E30">
        <f t="shared" si="2"/>
        <v>506625</v>
      </c>
      <c r="F30">
        <f t="shared" si="0"/>
        <v>373.15</v>
      </c>
      <c r="G30">
        <f t="shared" si="1"/>
        <v>2.841497681827915</v>
      </c>
    </row>
    <row r="31" spans="1:7" x14ac:dyDescent="0.35">
      <c r="A31">
        <v>10</v>
      </c>
      <c r="B31">
        <v>100</v>
      </c>
      <c r="C31">
        <v>0.95599999999999996</v>
      </c>
      <c r="E31">
        <f t="shared" si="2"/>
        <v>1013250</v>
      </c>
      <c r="F31">
        <f t="shared" si="0"/>
        <v>373.15</v>
      </c>
      <c r="G31">
        <f t="shared" si="1"/>
        <v>5.8179367807635582</v>
      </c>
    </row>
    <row r="32" spans="1:7" x14ac:dyDescent="0.35">
      <c r="A32">
        <v>15</v>
      </c>
      <c r="B32">
        <v>100</v>
      </c>
      <c r="C32">
        <v>0.93179999999999996</v>
      </c>
      <c r="E32">
        <f t="shared" si="2"/>
        <v>1519875</v>
      </c>
      <c r="F32">
        <f t="shared" si="0"/>
        <v>373.15</v>
      </c>
      <c r="G32">
        <f t="shared" si="1"/>
        <v>8.9535537063907942</v>
      </c>
    </row>
    <row r="33" spans="1:7" x14ac:dyDescent="0.35">
      <c r="A33">
        <v>20</v>
      </c>
      <c r="B33">
        <v>100</v>
      </c>
      <c r="C33">
        <v>0.90610000000000002</v>
      </c>
      <c r="E33">
        <f t="shared" si="2"/>
        <v>2026500</v>
      </c>
      <c r="F33">
        <f t="shared" si="0"/>
        <v>373.15</v>
      </c>
      <c r="G33">
        <f t="shared" si="1"/>
        <v>12.276674897715397</v>
      </c>
    </row>
    <row r="34" spans="1:7" x14ac:dyDescent="0.35">
      <c r="A34">
        <v>25</v>
      </c>
      <c r="B34">
        <v>100</v>
      </c>
      <c r="C34">
        <v>0.87880000000000003</v>
      </c>
      <c r="E34">
        <f t="shared" si="2"/>
        <v>2533125</v>
      </c>
      <c r="F34">
        <f t="shared" si="0"/>
        <v>373.15</v>
      </c>
      <c r="G34">
        <f t="shared" si="1"/>
        <v>15.822563616323286</v>
      </c>
    </row>
    <row r="35" spans="1:7" x14ac:dyDescent="0.35">
      <c r="A35">
        <v>30</v>
      </c>
      <c r="B35">
        <v>100</v>
      </c>
      <c r="C35">
        <v>0.85019999999999996</v>
      </c>
      <c r="E35">
        <f t="shared" si="2"/>
        <v>3039750</v>
      </c>
      <c r="F35">
        <f t="shared" si="0"/>
        <v>373.15</v>
      </c>
      <c r="G35">
        <f t="shared" si="1"/>
        <v>19.625785329604664</v>
      </c>
    </row>
    <row r="36" spans="1:7" x14ac:dyDescent="0.35">
      <c r="A36">
        <v>35</v>
      </c>
      <c r="B36">
        <v>100</v>
      </c>
      <c r="C36">
        <v>0.81989999999999996</v>
      </c>
      <c r="E36">
        <f t="shared" si="2"/>
        <v>3546375</v>
      </c>
      <c r="F36">
        <f t="shared" si="0"/>
        <v>373.15</v>
      </c>
      <c r="G36">
        <f t="shared" si="1"/>
        <v>23.742915560964587</v>
      </c>
    </row>
    <row r="37" spans="1:7" x14ac:dyDescent="0.35">
      <c r="A37">
        <v>40</v>
      </c>
      <c r="B37">
        <v>100</v>
      </c>
      <c r="C37">
        <v>0.78820000000000001</v>
      </c>
      <c r="E37">
        <f t="shared" si="2"/>
        <v>4053000</v>
      </c>
      <c r="F37">
        <f t="shared" si="0"/>
        <v>373.15</v>
      </c>
      <c r="G37">
        <f t="shared" si="1"/>
        <v>28.22607237964964</v>
      </c>
    </row>
    <row r="38" spans="1:7" x14ac:dyDescent="0.35">
      <c r="A38">
        <v>45</v>
      </c>
      <c r="B38">
        <v>100</v>
      </c>
      <c r="C38">
        <v>0.754</v>
      </c>
      <c r="E38">
        <f t="shared" si="2"/>
        <v>4559625</v>
      </c>
      <c r="F38">
        <f t="shared" si="0"/>
        <v>373.15</v>
      </c>
      <c r="G38">
        <f t="shared" si="1"/>
        <v>33.194647255762369</v>
      </c>
    </row>
    <row r="39" spans="1:7" x14ac:dyDescent="0.35">
      <c r="A39">
        <v>50</v>
      </c>
      <c r="B39">
        <v>100</v>
      </c>
      <c r="C39">
        <v>0.71740000000000004</v>
      </c>
      <c r="E39">
        <f t="shared" si="2"/>
        <v>5066250</v>
      </c>
      <c r="F39">
        <f t="shared" si="0"/>
        <v>373.15</v>
      </c>
      <c r="G39">
        <f t="shared" si="1"/>
        <v>38.76461919717007</v>
      </c>
    </row>
    <row r="40" spans="1:7" x14ac:dyDescent="0.35">
      <c r="A40">
        <v>55</v>
      </c>
      <c r="B40">
        <v>100</v>
      </c>
      <c r="C40">
        <v>0.6764</v>
      </c>
      <c r="E40">
        <f t="shared" si="2"/>
        <v>5572875</v>
      </c>
      <c r="F40">
        <f t="shared" si="0"/>
        <v>373.15</v>
      </c>
      <c r="G40">
        <f t="shared" si="1"/>
        <v>45.225771131364262</v>
      </c>
    </row>
    <row r="41" spans="1:7" x14ac:dyDescent="0.35">
      <c r="A41">
        <v>60</v>
      </c>
      <c r="B41">
        <v>100</v>
      </c>
      <c r="C41">
        <v>0.629</v>
      </c>
      <c r="E41">
        <f t="shared" si="2"/>
        <v>6079500</v>
      </c>
      <c r="F41">
        <f t="shared" si="0"/>
        <v>373.15</v>
      </c>
      <c r="G41">
        <f t="shared" si="1"/>
        <v>53.055143679586273</v>
      </c>
    </row>
    <row r="42" spans="1:7" x14ac:dyDescent="0.35">
      <c r="A42">
        <v>5</v>
      </c>
      <c r="B42">
        <v>125</v>
      </c>
      <c r="C42">
        <v>0.98340000000000005</v>
      </c>
      <c r="E42">
        <f t="shared" si="2"/>
        <v>506625</v>
      </c>
      <c r="F42">
        <f t="shared" si="0"/>
        <v>398.15</v>
      </c>
      <c r="G42">
        <f t="shared" si="1"/>
        <v>2.6503511383443077</v>
      </c>
    </row>
    <row r="43" spans="1:7" x14ac:dyDescent="0.35">
      <c r="A43">
        <v>10</v>
      </c>
      <c r="B43">
        <v>125</v>
      </c>
      <c r="C43">
        <v>0.96599999999999997</v>
      </c>
      <c r="E43">
        <f t="shared" si="2"/>
        <v>1013250</v>
      </c>
      <c r="F43">
        <f t="shared" si="0"/>
        <v>398.15</v>
      </c>
      <c r="G43">
        <f t="shared" si="1"/>
        <v>5.3961807649022626</v>
      </c>
    </row>
    <row r="44" spans="1:7" x14ac:dyDescent="0.35">
      <c r="A44">
        <v>15</v>
      </c>
      <c r="B44">
        <v>125</v>
      </c>
      <c r="C44">
        <v>0.94769999999999999</v>
      </c>
      <c r="E44">
        <f t="shared" si="2"/>
        <v>1519875</v>
      </c>
      <c r="F44">
        <f t="shared" si="0"/>
        <v>398.15</v>
      </c>
      <c r="G44">
        <f t="shared" si="1"/>
        <v>8.2505707801449581</v>
      </c>
    </row>
    <row r="45" spans="1:7" x14ac:dyDescent="0.35">
      <c r="A45">
        <v>20</v>
      </c>
      <c r="B45">
        <v>125</v>
      </c>
      <c r="C45">
        <v>0.92859999999999998</v>
      </c>
      <c r="E45">
        <f t="shared" si="2"/>
        <v>2026500</v>
      </c>
      <c r="F45">
        <f t="shared" si="0"/>
        <v>398.15</v>
      </c>
      <c r="G45">
        <f t="shared" si="1"/>
        <v>11.227031270505243</v>
      </c>
    </row>
    <row r="46" spans="1:7" x14ac:dyDescent="0.35">
      <c r="A46">
        <v>25</v>
      </c>
      <c r="B46">
        <v>125</v>
      </c>
      <c r="C46">
        <v>0.90859999999999996</v>
      </c>
      <c r="E46">
        <f t="shared" si="2"/>
        <v>2533125</v>
      </c>
      <c r="F46">
        <f t="shared" si="0"/>
        <v>398.15</v>
      </c>
      <c r="G46">
        <f t="shared" si="1"/>
        <v>14.342699259563023</v>
      </c>
    </row>
    <row r="47" spans="1:7" x14ac:dyDescent="0.35">
      <c r="A47">
        <v>30</v>
      </c>
      <c r="B47">
        <v>125</v>
      </c>
      <c r="C47">
        <v>0.88780000000000003</v>
      </c>
      <c r="E47">
        <f t="shared" si="2"/>
        <v>3039750</v>
      </c>
      <c r="F47">
        <f t="shared" si="0"/>
        <v>398.15</v>
      </c>
      <c r="G47">
        <f t="shared" si="1"/>
        <v>17.614476071960748</v>
      </c>
    </row>
    <row r="48" spans="1:7" x14ac:dyDescent="0.35">
      <c r="A48">
        <v>35</v>
      </c>
      <c r="B48">
        <v>125</v>
      </c>
      <c r="C48">
        <v>0.86619999999999997</v>
      </c>
      <c r="E48">
        <f t="shared" si="2"/>
        <v>3546375</v>
      </c>
      <c r="F48">
        <f t="shared" si="0"/>
        <v>398.15</v>
      </c>
      <c r="G48">
        <f t="shared" si="1"/>
        <v>21.062672784731639</v>
      </c>
    </row>
    <row r="49" spans="1:7" x14ac:dyDescent="0.35">
      <c r="A49">
        <v>40</v>
      </c>
      <c r="B49">
        <v>125</v>
      </c>
      <c r="C49">
        <v>0.84370000000000001</v>
      </c>
      <c r="E49">
        <f t="shared" si="2"/>
        <v>4053000</v>
      </c>
      <c r="F49">
        <f t="shared" si="0"/>
        <v>398.15</v>
      </c>
      <c r="G49">
        <f t="shared" si="1"/>
        <v>24.713574108785515</v>
      </c>
    </row>
    <row r="50" spans="1:7" x14ac:dyDescent="0.35">
      <c r="A50">
        <v>45</v>
      </c>
      <c r="B50">
        <v>125</v>
      </c>
      <c r="C50">
        <v>0.82040000000000002</v>
      </c>
      <c r="E50">
        <f t="shared" si="2"/>
        <v>4559625</v>
      </c>
      <c r="F50">
        <f t="shared" si="0"/>
        <v>398.15</v>
      </c>
      <c r="G50">
        <f t="shared" si="1"/>
        <v>28.592391254302942</v>
      </c>
    </row>
    <row r="51" spans="1:7" x14ac:dyDescent="0.35">
      <c r="A51">
        <v>50</v>
      </c>
      <c r="B51">
        <v>125</v>
      </c>
      <c r="C51">
        <v>0.79620000000000002</v>
      </c>
      <c r="E51">
        <f t="shared" si="2"/>
        <v>5066250</v>
      </c>
      <c r="F51">
        <f t="shared" si="0"/>
        <v>398.15</v>
      </c>
      <c r="G51">
        <f t="shared" si="1"/>
        <v>32.734932296505804</v>
      </c>
    </row>
    <row r="52" spans="1:7" x14ac:dyDescent="0.35">
      <c r="A52">
        <v>55</v>
      </c>
      <c r="B52">
        <v>125</v>
      </c>
      <c r="C52">
        <v>0.7712</v>
      </c>
      <c r="E52">
        <f t="shared" si="2"/>
        <v>5572875</v>
      </c>
      <c r="F52">
        <f t="shared" si="0"/>
        <v>398.15</v>
      </c>
      <c r="G52">
        <f t="shared" si="1"/>
        <v>37.175711104675464</v>
      </c>
    </row>
    <row r="53" spans="1:7" x14ac:dyDescent="0.35">
      <c r="A53">
        <v>60</v>
      </c>
      <c r="B53">
        <v>125</v>
      </c>
      <c r="C53">
        <v>0.74460000000000004</v>
      </c>
      <c r="E53">
        <f t="shared" si="2"/>
        <v>6079500</v>
      </c>
      <c r="F53">
        <f t="shared" si="0"/>
        <v>398.15</v>
      </c>
      <c r="G53">
        <f t="shared" si="1"/>
        <v>42.004114576112684</v>
      </c>
    </row>
    <row r="54" spans="1:7" x14ac:dyDescent="0.35">
      <c r="A54">
        <v>65</v>
      </c>
      <c r="B54">
        <v>125</v>
      </c>
      <c r="C54">
        <v>0.71699999999999997</v>
      </c>
      <c r="E54">
        <f t="shared" si="2"/>
        <v>6586125</v>
      </c>
      <c r="F54">
        <f t="shared" si="0"/>
        <v>398.15</v>
      </c>
      <c r="G54">
        <f t="shared" si="1"/>
        <v>47.256093476738222</v>
      </c>
    </row>
    <row r="55" spans="1:7" x14ac:dyDescent="0.35">
      <c r="A55">
        <v>70</v>
      </c>
      <c r="B55">
        <v>125</v>
      </c>
      <c r="C55">
        <v>0.68730000000000002</v>
      </c>
      <c r="E55">
        <f t="shared" si="2"/>
        <v>7092750</v>
      </c>
      <c r="F55">
        <f t="shared" si="0"/>
        <v>398.15</v>
      </c>
      <c r="G55">
        <f t="shared" si="1"/>
        <v>53.090316211652983</v>
      </c>
    </row>
    <row r="56" spans="1:7" x14ac:dyDescent="0.35">
      <c r="A56">
        <v>75</v>
      </c>
      <c r="B56">
        <v>125</v>
      </c>
      <c r="C56">
        <v>0.65559999999999996</v>
      </c>
      <c r="E56">
        <f t="shared" si="2"/>
        <v>7599375</v>
      </c>
      <c r="F56">
        <f t="shared" si="0"/>
        <v>398.15</v>
      </c>
      <c r="G56">
        <f t="shared" si="1"/>
        <v>59.632900612746937</v>
      </c>
    </row>
    <row r="57" spans="1:7" x14ac:dyDescent="0.35">
      <c r="A57">
        <v>80</v>
      </c>
      <c r="B57">
        <v>125</v>
      </c>
      <c r="C57">
        <v>0.62050000000000005</v>
      </c>
      <c r="E57">
        <f t="shared" si="2"/>
        <v>8106000</v>
      </c>
      <c r="F57">
        <f t="shared" si="0"/>
        <v>398.15</v>
      </c>
      <c r="G57">
        <f t="shared" si="1"/>
        <v>67.2065833217803</v>
      </c>
    </row>
    <row r="58" spans="1:7" x14ac:dyDescent="0.35">
      <c r="A58">
        <v>85</v>
      </c>
      <c r="B58">
        <v>125</v>
      </c>
      <c r="C58">
        <v>0.58130000000000004</v>
      </c>
      <c r="E58">
        <f t="shared" si="2"/>
        <v>8612625</v>
      </c>
      <c r="F58">
        <f t="shared" si="0"/>
        <v>398.15</v>
      </c>
      <c r="G58">
        <f t="shared" si="1"/>
        <v>76.222329710325951</v>
      </c>
    </row>
    <row r="59" spans="1:7" x14ac:dyDescent="0.35">
      <c r="A59">
        <v>90</v>
      </c>
      <c r="B59">
        <v>125</v>
      </c>
      <c r="C59">
        <v>0.53500000000000003</v>
      </c>
      <c r="E59">
        <f t="shared" si="2"/>
        <v>9119250</v>
      </c>
      <c r="F59">
        <f t="shared" si="0"/>
        <v>398.15</v>
      </c>
      <c r="G59">
        <f t="shared" si="1"/>
        <v>87.690459009458436</v>
      </c>
    </row>
    <row r="60" spans="1:7" x14ac:dyDescent="0.35">
      <c r="A60">
        <v>95</v>
      </c>
      <c r="B60">
        <v>125</v>
      </c>
      <c r="C60">
        <v>0.47199999999999998</v>
      </c>
      <c r="E60">
        <f t="shared" si="2"/>
        <v>9625875</v>
      </c>
      <c r="F60">
        <f t="shared" si="0"/>
        <v>398.15</v>
      </c>
      <c r="G60">
        <f t="shared" si="1"/>
        <v>104.91684508370352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8543-0FC4-4587-892C-7161A0F2A4E1}">
  <dimension ref="A1:G189"/>
  <sheetViews>
    <sheetView topLeftCell="A169" workbookViewId="0">
      <selection activeCell="E178" sqref="E178"/>
    </sheetView>
  </sheetViews>
  <sheetFormatPr defaultRowHeight="14.5" x14ac:dyDescent="0.35"/>
  <sheetData>
    <row r="1" spans="1:7" x14ac:dyDescent="0.35">
      <c r="A1" t="s">
        <v>3</v>
      </c>
      <c r="B1" t="s">
        <v>5</v>
      </c>
      <c r="C1" t="s">
        <v>6</v>
      </c>
      <c r="E1" t="s">
        <v>7</v>
      </c>
      <c r="F1" t="s">
        <v>8</v>
      </c>
      <c r="G1" t="s">
        <v>9</v>
      </c>
    </row>
    <row r="2" spans="1:7" x14ac:dyDescent="0.35">
      <c r="A2">
        <v>29.59</v>
      </c>
      <c r="B2">
        <v>325</v>
      </c>
      <c r="C2">
        <v>95</v>
      </c>
      <c r="E2">
        <f t="shared" ref="E2:E33" si="0">A2*101325</f>
        <v>2998206.75</v>
      </c>
      <c r="F2">
        <f>B2+273.15</f>
        <v>598.15</v>
      </c>
      <c r="G2">
        <f>1/C2*0.001*1000000</f>
        <v>10.526315789473685</v>
      </c>
    </row>
    <row r="3" spans="1:7" x14ac:dyDescent="0.35">
      <c r="A3">
        <v>31.22</v>
      </c>
      <c r="B3">
        <v>325</v>
      </c>
      <c r="C3">
        <v>90</v>
      </c>
      <c r="E3">
        <f t="shared" si="0"/>
        <v>3163366.5</v>
      </c>
      <c r="F3">
        <f t="shared" ref="F3:F66" si="1">B3+273.15</f>
        <v>598.15</v>
      </c>
      <c r="G3">
        <f t="shared" ref="G3:G66" si="2">1/C3*0.001*1000000</f>
        <v>11.111111111111112</v>
      </c>
    </row>
    <row r="4" spans="1:7" x14ac:dyDescent="0.35">
      <c r="A4">
        <v>35.04</v>
      </c>
      <c r="B4">
        <v>325</v>
      </c>
      <c r="C4">
        <v>80</v>
      </c>
      <c r="E4">
        <f t="shared" si="0"/>
        <v>3550428</v>
      </c>
      <c r="F4">
        <f t="shared" si="1"/>
        <v>598.15</v>
      </c>
      <c r="G4">
        <f t="shared" si="2"/>
        <v>12.5</v>
      </c>
    </row>
    <row r="5" spans="1:7" x14ac:dyDescent="0.35">
      <c r="A5">
        <v>39.9</v>
      </c>
      <c r="B5">
        <v>325</v>
      </c>
      <c r="C5">
        <v>70</v>
      </c>
      <c r="E5">
        <f t="shared" si="0"/>
        <v>4042867.5</v>
      </c>
      <c r="F5">
        <f t="shared" si="1"/>
        <v>598.15</v>
      </c>
      <c r="G5">
        <f t="shared" si="2"/>
        <v>14.285714285714285</v>
      </c>
    </row>
    <row r="6" spans="1:7" x14ac:dyDescent="0.35">
      <c r="A6">
        <v>46.34</v>
      </c>
      <c r="B6">
        <v>325</v>
      </c>
      <c r="C6">
        <v>60</v>
      </c>
      <c r="E6">
        <f t="shared" si="0"/>
        <v>4695400.5</v>
      </c>
      <c r="F6">
        <f t="shared" si="1"/>
        <v>598.15</v>
      </c>
      <c r="G6">
        <f t="shared" si="2"/>
        <v>16.666666666666668</v>
      </c>
    </row>
    <row r="7" spans="1:7" x14ac:dyDescent="0.35">
      <c r="A7">
        <v>55.24</v>
      </c>
      <c r="B7">
        <v>325</v>
      </c>
      <c r="C7">
        <v>50</v>
      </c>
      <c r="E7">
        <f t="shared" si="0"/>
        <v>5597193</v>
      </c>
      <c r="F7">
        <f t="shared" si="1"/>
        <v>598.15</v>
      </c>
      <c r="G7">
        <f t="shared" si="2"/>
        <v>20</v>
      </c>
    </row>
    <row r="8" spans="1:7" x14ac:dyDescent="0.35">
      <c r="A8">
        <v>61.11</v>
      </c>
      <c r="B8">
        <v>325</v>
      </c>
      <c r="C8">
        <v>45</v>
      </c>
      <c r="E8">
        <f t="shared" si="0"/>
        <v>6191970.75</v>
      </c>
      <c r="F8">
        <f t="shared" si="1"/>
        <v>598.15</v>
      </c>
      <c r="G8">
        <f t="shared" si="2"/>
        <v>22.222222222222225</v>
      </c>
    </row>
    <row r="9" spans="1:7" x14ac:dyDescent="0.35">
      <c r="A9">
        <v>68.36</v>
      </c>
      <c r="B9">
        <v>325</v>
      </c>
      <c r="C9">
        <v>40</v>
      </c>
      <c r="E9">
        <f t="shared" si="0"/>
        <v>6926577</v>
      </c>
      <c r="F9">
        <f t="shared" si="1"/>
        <v>598.15</v>
      </c>
      <c r="G9">
        <f t="shared" si="2"/>
        <v>25</v>
      </c>
    </row>
    <row r="10" spans="1:7" x14ac:dyDescent="0.35">
      <c r="A10">
        <v>77.59</v>
      </c>
      <c r="B10">
        <v>325</v>
      </c>
      <c r="C10">
        <v>35</v>
      </c>
      <c r="E10">
        <f t="shared" si="0"/>
        <v>7861806.75</v>
      </c>
      <c r="F10">
        <f t="shared" si="1"/>
        <v>598.15</v>
      </c>
      <c r="G10">
        <f t="shared" si="2"/>
        <v>28.571428571428569</v>
      </c>
    </row>
    <row r="11" spans="1:7" x14ac:dyDescent="0.35">
      <c r="A11">
        <v>89.69</v>
      </c>
      <c r="B11">
        <v>325</v>
      </c>
      <c r="C11">
        <v>30</v>
      </c>
      <c r="E11">
        <f t="shared" si="0"/>
        <v>9087839.25</v>
      </c>
      <c r="F11">
        <f t="shared" si="1"/>
        <v>598.15</v>
      </c>
      <c r="G11">
        <f t="shared" si="2"/>
        <v>33.333333333333336</v>
      </c>
    </row>
    <row r="12" spans="1:7" x14ac:dyDescent="0.35">
      <c r="A12">
        <v>106.25</v>
      </c>
      <c r="B12">
        <v>325</v>
      </c>
      <c r="C12">
        <v>25</v>
      </c>
      <c r="E12">
        <f t="shared" si="0"/>
        <v>10765781.25</v>
      </c>
      <c r="F12">
        <f t="shared" si="1"/>
        <v>598.15</v>
      </c>
      <c r="G12">
        <f t="shared" si="2"/>
        <v>40</v>
      </c>
    </row>
    <row r="13" spans="1:7" x14ac:dyDescent="0.35">
      <c r="A13">
        <v>130.4</v>
      </c>
      <c r="B13">
        <v>325</v>
      </c>
      <c r="C13">
        <v>20</v>
      </c>
      <c r="E13">
        <f t="shared" si="0"/>
        <v>13212780</v>
      </c>
      <c r="F13">
        <f t="shared" si="1"/>
        <v>598.15</v>
      </c>
      <c r="G13">
        <f t="shared" si="2"/>
        <v>50</v>
      </c>
    </row>
    <row r="14" spans="1:7" x14ac:dyDescent="0.35">
      <c r="A14">
        <v>28.29</v>
      </c>
      <c r="B14">
        <v>300</v>
      </c>
      <c r="C14">
        <v>95</v>
      </c>
      <c r="E14">
        <f t="shared" si="0"/>
        <v>2866484.25</v>
      </c>
      <c r="F14">
        <f t="shared" si="1"/>
        <v>573.15</v>
      </c>
      <c r="G14">
        <f t="shared" si="2"/>
        <v>10.526315789473685</v>
      </c>
    </row>
    <row r="15" spans="1:7" x14ac:dyDescent="0.35">
      <c r="A15">
        <v>29.84</v>
      </c>
      <c r="B15">
        <v>300</v>
      </c>
      <c r="C15">
        <v>90</v>
      </c>
      <c r="E15">
        <f t="shared" si="0"/>
        <v>3023538</v>
      </c>
      <c r="F15">
        <f t="shared" si="1"/>
        <v>573.15</v>
      </c>
      <c r="G15">
        <f t="shared" si="2"/>
        <v>11.111111111111112</v>
      </c>
    </row>
    <row r="16" spans="1:7" x14ac:dyDescent="0.35">
      <c r="A16">
        <v>33.450000000000003</v>
      </c>
      <c r="B16">
        <v>300</v>
      </c>
      <c r="C16">
        <v>80</v>
      </c>
      <c r="E16">
        <f t="shared" si="0"/>
        <v>3389321.2500000005</v>
      </c>
      <c r="F16">
        <f t="shared" si="1"/>
        <v>573.15</v>
      </c>
      <c r="G16">
        <f t="shared" si="2"/>
        <v>12.5</v>
      </c>
    </row>
    <row r="17" spans="1:7" x14ac:dyDescent="0.35">
      <c r="A17">
        <v>38.08</v>
      </c>
      <c r="B17">
        <v>300</v>
      </c>
      <c r="C17">
        <v>70</v>
      </c>
      <c r="E17">
        <f t="shared" si="0"/>
        <v>3858456</v>
      </c>
      <c r="F17">
        <f t="shared" si="1"/>
        <v>573.15</v>
      </c>
      <c r="G17">
        <f t="shared" si="2"/>
        <v>14.285714285714285</v>
      </c>
    </row>
    <row r="18" spans="1:7" x14ac:dyDescent="0.35">
      <c r="A18">
        <v>44.18</v>
      </c>
      <c r="B18">
        <v>300</v>
      </c>
      <c r="C18">
        <v>60</v>
      </c>
      <c r="E18">
        <f t="shared" si="0"/>
        <v>4476538.5</v>
      </c>
      <c r="F18">
        <f t="shared" si="1"/>
        <v>573.15</v>
      </c>
      <c r="G18">
        <f t="shared" si="2"/>
        <v>16.666666666666668</v>
      </c>
    </row>
    <row r="19" spans="1:7" x14ac:dyDescent="0.35">
      <c r="A19">
        <v>52.62</v>
      </c>
      <c r="B19">
        <v>300</v>
      </c>
      <c r="C19">
        <v>50</v>
      </c>
      <c r="E19">
        <f t="shared" si="0"/>
        <v>5331721.5</v>
      </c>
      <c r="F19">
        <f t="shared" si="1"/>
        <v>573.15</v>
      </c>
      <c r="G19">
        <f t="shared" si="2"/>
        <v>20</v>
      </c>
    </row>
    <row r="20" spans="1:7" x14ac:dyDescent="0.35">
      <c r="A20">
        <v>58.16</v>
      </c>
      <c r="B20">
        <v>300</v>
      </c>
      <c r="C20">
        <v>45</v>
      </c>
      <c r="E20">
        <f t="shared" si="0"/>
        <v>5893062</v>
      </c>
      <c r="F20">
        <f t="shared" si="1"/>
        <v>573.15</v>
      </c>
      <c r="G20">
        <f t="shared" si="2"/>
        <v>22.222222222222225</v>
      </c>
    </row>
    <row r="21" spans="1:7" x14ac:dyDescent="0.35">
      <c r="A21">
        <v>65.03</v>
      </c>
      <c r="B21">
        <v>300</v>
      </c>
      <c r="C21">
        <v>40</v>
      </c>
      <c r="E21">
        <f t="shared" si="0"/>
        <v>6589164.75</v>
      </c>
      <c r="F21">
        <f t="shared" si="1"/>
        <v>573.15</v>
      </c>
      <c r="G21">
        <f t="shared" si="2"/>
        <v>25</v>
      </c>
    </row>
    <row r="22" spans="1:7" x14ac:dyDescent="0.35">
      <c r="A22">
        <v>73.680000000000007</v>
      </c>
      <c r="B22">
        <v>300</v>
      </c>
      <c r="C22">
        <v>35</v>
      </c>
      <c r="E22">
        <f t="shared" si="0"/>
        <v>7465626.0000000009</v>
      </c>
      <c r="F22">
        <f t="shared" si="1"/>
        <v>573.15</v>
      </c>
      <c r="G22">
        <f t="shared" si="2"/>
        <v>28.571428571428569</v>
      </c>
    </row>
    <row r="23" spans="1:7" x14ac:dyDescent="0.35">
      <c r="A23">
        <v>85.09</v>
      </c>
      <c r="B23">
        <v>300</v>
      </c>
      <c r="C23">
        <v>30</v>
      </c>
      <c r="E23">
        <f t="shared" si="0"/>
        <v>8621744.25</v>
      </c>
      <c r="F23">
        <f t="shared" si="1"/>
        <v>573.15</v>
      </c>
      <c r="G23">
        <f t="shared" si="2"/>
        <v>33.333333333333336</v>
      </c>
    </row>
    <row r="24" spans="1:7" x14ac:dyDescent="0.35">
      <c r="A24">
        <v>100.61</v>
      </c>
      <c r="B24">
        <v>300</v>
      </c>
      <c r="C24">
        <v>25</v>
      </c>
      <c r="E24">
        <f t="shared" si="0"/>
        <v>10194308.25</v>
      </c>
      <c r="F24">
        <f t="shared" si="1"/>
        <v>573.15</v>
      </c>
      <c r="G24">
        <f t="shared" si="2"/>
        <v>40</v>
      </c>
    </row>
    <row r="25" spans="1:7" x14ac:dyDescent="0.35">
      <c r="A25">
        <v>123.1</v>
      </c>
      <c r="B25">
        <v>300</v>
      </c>
      <c r="C25">
        <v>20</v>
      </c>
      <c r="E25">
        <f t="shared" si="0"/>
        <v>12473107.5</v>
      </c>
      <c r="F25">
        <f t="shared" si="1"/>
        <v>573.15</v>
      </c>
      <c r="G25">
        <f t="shared" si="2"/>
        <v>50</v>
      </c>
    </row>
    <row r="26" spans="1:7" x14ac:dyDescent="0.35">
      <c r="A26">
        <v>26.98</v>
      </c>
      <c r="B26">
        <v>275</v>
      </c>
      <c r="C26">
        <v>95</v>
      </c>
      <c r="E26">
        <f t="shared" si="0"/>
        <v>2733748.5</v>
      </c>
      <c r="F26">
        <f t="shared" si="1"/>
        <v>548.15</v>
      </c>
      <c r="G26">
        <f t="shared" si="2"/>
        <v>10.526315789473685</v>
      </c>
    </row>
    <row r="27" spans="1:7" x14ac:dyDescent="0.35">
      <c r="A27">
        <v>28.44</v>
      </c>
      <c r="B27">
        <v>275</v>
      </c>
      <c r="C27">
        <v>90</v>
      </c>
      <c r="E27">
        <f t="shared" si="0"/>
        <v>2881683</v>
      </c>
      <c r="F27">
        <f t="shared" si="1"/>
        <v>548.15</v>
      </c>
      <c r="G27">
        <f t="shared" si="2"/>
        <v>11.111111111111112</v>
      </c>
    </row>
    <row r="28" spans="1:7" x14ac:dyDescent="0.35">
      <c r="A28">
        <v>31.87</v>
      </c>
      <c r="B28">
        <v>275</v>
      </c>
      <c r="C28">
        <v>80</v>
      </c>
      <c r="E28">
        <f t="shared" si="0"/>
        <v>3229227.75</v>
      </c>
      <c r="F28">
        <f t="shared" si="1"/>
        <v>548.15</v>
      </c>
      <c r="G28">
        <f t="shared" si="2"/>
        <v>12.5</v>
      </c>
    </row>
    <row r="29" spans="1:7" x14ac:dyDescent="0.35">
      <c r="A29">
        <v>36.25</v>
      </c>
      <c r="B29">
        <v>275</v>
      </c>
      <c r="C29">
        <v>70</v>
      </c>
      <c r="E29">
        <f t="shared" si="0"/>
        <v>3673031.25</v>
      </c>
      <c r="F29">
        <f t="shared" si="1"/>
        <v>548.15</v>
      </c>
      <c r="G29">
        <f t="shared" si="2"/>
        <v>14.285714285714285</v>
      </c>
    </row>
    <row r="30" spans="1:7" x14ac:dyDescent="0.35">
      <c r="A30">
        <v>42</v>
      </c>
      <c r="B30">
        <v>275</v>
      </c>
      <c r="C30">
        <v>60</v>
      </c>
      <c r="E30">
        <f t="shared" si="0"/>
        <v>4255650</v>
      </c>
      <c r="F30">
        <f t="shared" si="1"/>
        <v>548.15</v>
      </c>
      <c r="G30">
        <f t="shared" si="2"/>
        <v>16.666666666666668</v>
      </c>
    </row>
    <row r="31" spans="1:7" x14ac:dyDescent="0.35">
      <c r="A31">
        <v>49.96</v>
      </c>
      <c r="B31">
        <v>275</v>
      </c>
      <c r="C31">
        <v>50</v>
      </c>
      <c r="E31">
        <f t="shared" si="0"/>
        <v>5062197</v>
      </c>
      <c r="F31">
        <f t="shared" si="1"/>
        <v>548.15</v>
      </c>
      <c r="G31">
        <f t="shared" si="2"/>
        <v>20</v>
      </c>
    </row>
    <row r="32" spans="1:7" x14ac:dyDescent="0.35">
      <c r="A32">
        <v>55.18</v>
      </c>
      <c r="B32">
        <v>275</v>
      </c>
      <c r="C32">
        <v>45</v>
      </c>
      <c r="E32">
        <f t="shared" si="0"/>
        <v>5591113.5</v>
      </c>
      <c r="F32">
        <f t="shared" si="1"/>
        <v>548.15</v>
      </c>
      <c r="G32">
        <f t="shared" si="2"/>
        <v>22.222222222222225</v>
      </c>
    </row>
    <row r="33" spans="1:7" x14ac:dyDescent="0.35">
      <c r="A33">
        <v>61.62</v>
      </c>
      <c r="B33">
        <v>275</v>
      </c>
      <c r="C33">
        <v>40</v>
      </c>
      <c r="E33">
        <f t="shared" si="0"/>
        <v>6243646.5</v>
      </c>
      <c r="F33">
        <f t="shared" si="1"/>
        <v>548.15</v>
      </c>
      <c r="G33">
        <f t="shared" si="2"/>
        <v>25</v>
      </c>
    </row>
    <row r="34" spans="1:7" x14ac:dyDescent="0.35">
      <c r="A34">
        <v>69.77</v>
      </c>
      <c r="B34">
        <v>275</v>
      </c>
      <c r="C34">
        <v>35</v>
      </c>
      <c r="E34">
        <f t="shared" ref="E34:E65" si="3">A34*101325</f>
        <v>7069445.25</v>
      </c>
      <c r="F34">
        <f t="shared" si="1"/>
        <v>548.15</v>
      </c>
      <c r="G34">
        <f t="shared" si="2"/>
        <v>28.571428571428569</v>
      </c>
    </row>
    <row r="35" spans="1:7" x14ac:dyDescent="0.35">
      <c r="A35">
        <v>80.45</v>
      </c>
      <c r="B35">
        <v>275</v>
      </c>
      <c r="C35">
        <v>30</v>
      </c>
      <c r="E35">
        <f t="shared" si="3"/>
        <v>8151596.25</v>
      </c>
      <c r="F35">
        <f t="shared" si="1"/>
        <v>548.15</v>
      </c>
      <c r="G35">
        <f t="shared" si="2"/>
        <v>33.333333333333336</v>
      </c>
    </row>
    <row r="36" spans="1:7" x14ac:dyDescent="0.35">
      <c r="A36">
        <v>94.88</v>
      </c>
      <c r="B36">
        <v>275</v>
      </c>
      <c r="C36">
        <v>25</v>
      </c>
      <c r="E36">
        <f t="shared" si="3"/>
        <v>9613716</v>
      </c>
      <c r="F36">
        <f t="shared" si="1"/>
        <v>548.15</v>
      </c>
      <c r="G36">
        <f t="shared" si="2"/>
        <v>40</v>
      </c>
    </row>
    <row r="37" spans="1:7" x14ac:dyDescent="0.35">
      <c r="A37">
        <v>115.67</v>
      </c>
      <c r="B37">
        <v>275</v>
      </c>
      <c r="C37">
        <v>20</v>
      </c>
      <c r="E37">
        <f t="shared" si="3"/>
        <v>11720262.75</v>
      </c>
      <c r="F37">
        <f t="shared" si="1"/>
        <v>548.15</v>
      </c>
      <c r="G37">
        <f t="shared" si="2"/>
        <v>50</v>
      </c>
    </row>
    <row r="38" spans="1:7" x14ac:dyDescent="0.35">
      <c r="A38">
        <v>25.64</v>
      </c>
      <c r="B38">
        <v>250</v>
      </c>
      <c r="C38">
        <v>95</v>
      </c>
      <c r="E38">
        <f t="shared" si="3"/>
        <v>2597973</v>
      </c>
      <c r="F38">
        <f t="shared" si="1"/>
        <v>523.15</v>
      </c>
      <c r="G38">
        <f t="shared" si="2"/>
        <v>10.526315789473685</v>
      </c>
    </row>
    <row r="39" spans="1:7" x14ac:dyDescent="0.35">
      <c r="A39">
        <v>27.01</v>
      </c>
      <c r="B39">
        <v>250</v>
      </c>
      <c r="C39">
        <v>90</v>
      </c>
      <c r="E39">
        <f t="shared" si="3"/>
        <v>2736788.25</v>
      </c>
      <c r="F39">
        <f t="shared" si="1"/>
        <v>523.15</v>
      </c>
      <c r="G39">
        <f t="shared" si="2"/>
        <v>11.111111111111112</v>
      </c>
    </row>
    <row r="40" spans="1:7" x14ac:dyDescent="0.35">
      <c r="A40">
        <v>30.27</v>
      </c>
      <c r="B40">
        <v>250</v>
      </c>
      <c r="C40">
        <v>80</v>
      </c>
      <c r="E40">
        <f t="shared" si="3"/>
        <v>3067107.75</v>
      </c>
      <c r="F40">
        <f t="shared" si="1"/>
        <v>523.15</v>
      </c>
      <c r="G40">
        <f t="shared" si="2"/>
        <v>12.5</v>
      </c>
    </row>
    <row r="41" spans="1:7" x14ac:dyDescent="0.35">
      <c r="A41">
        <v>34.39</v>
      </c>
      <c r="B41">
        <v>250</v>
      </c>
      <c r="C41">
        <v>70</v>
      </c>
      <c r="E41">
        <f t="shared" si="3"/>
        <v>3484566.75</v>
      </c>
      <c r="F41">
        <f t="shared" si="1"/>
        <v>523.15</v>
      </c>
      <c r="G41">
        <f t="shared" si="2"/>
        <v>14.285714285714285</v>
      </c>
    </row>
    <row r="42" spans="1:7" x14ac:dyDescent="0.35">
      <c r="A42">
        <v>39.83</v>
      </c>
      <c r="B42">
        <v>250</v>
      </c>
      <c r="C42">
        <v>60</v>
      </c>
      <c r="E42">
        <f t="shared" si="3"/>
        <v>4035774.75</v>
      </c>
      <c r="F42">
        <f t="shared" si="1"/>
        <v>523.15</v>
      </c>
      <c r="G42">
        <f t="shared" si="2"/>
        <v>16.666666666666668</v>
      </c>
    </row>
    <row r="43" spans="1:7" x14ac:dyDescent="0.35">
      <c r="A43">
        <v>47.33</v>
      </c>
      <c r="B43">
        <v>250</v>
      </c>
      <c r="C43">
        <v>50</v>
      </c>
      <c r="E43">
        <f t="shared" si="3"/>
        <v>4795712.25</v>
      </c>
      <c r="F43">
        <f t="shared" si="1"/>
        <v>523.15</v>
      </c>
      <c r="G43">
        <f t="shared" si="2"/>
        <v>20</v>
      </c>
    </row>
    <row r="44" spans="1:7" x14ac:dyDescent="0.35">
      <c r="A44">
        <v>52.22</v>
      </c>
      <c r="B44">
        <v>250</v>
      </c>
      <c r="C44">
        <v>45</v>
      </c>
      <c r="E44">
        <f t="shared" si="3"/>
        <v>5291191.5</v>
      </c>
      <c r="F44">
        <f t="shared" si="1"/>
        <v>523.15</v>
      </c>
      <c r="G44">
        <f t="shared" si="2"/>
        <v>22.222222222222225</v>
      </c>
    </row>
    <row r="45" spans="1:7" x14ac:dyDescent="0.35">
      <c r="A45">
        <v>58.26</v>
      </c>
      <c r="B45">
        <v>250</v>
      </c>
      <c r="C45">
        <v>40</v>
      </c>
      <c r="E45">
        <f t="shared" si="3"/>
        <v>5903194.5</v>
      </c>
      <c r="F45">
        <f t="shared" si="1"/>
        <v>523.15</v>
      </c>
      <c r="G45">
        <f t="shared" si="2"/>
        <v>25</v>
      </c>
    </row>
    <row r="46" spans="1:7" x14ac:dyDescent="0.35">
      <c r="A46">
        <v>65.86</v>
      </c>
      <c r="B46">
        <v>250</v>
      </c>
      <c r="C46">
        <v>35</v>
      </c>
      <c r="E46">
        <f t="shared" si="3"/>
        <v>6673264.5</v>
      </c>
      <c r="F46">
        <f t="shared" si="1"/>
        <v>523.15</v>
      </c>
      <c r="G46">
        <f t="shared" si="2"/>
        <v>28.571428571428569</v>
      </c>
    </row>
    <row r="47" spans="1:7" x14ac:dyDescent="0.35">
      <c r="A47">
        <v>75.739999999999995</v>
      </c>
      <c r="B47">
        <v>250</v>
      </c>
      <c r="C47">
        <v>30</v>
      </c>
      <c r="E47">
        <f t="shared" si="3"/>
        <v>7674355.4999999991</v>
      </c>
      <c r="F47">
        <f t="shared" si="1"/>
        <v>523.15</v>
      </c>
      <c r="G47">
        <f t="shared" si="2"/>
        <v>33.333333333333336</v>
      </c>
    </row>
    <row r="48" spans="1:7" x14ac:dyDescent="0.35">
      <c r="A48">
        <v>89.11</v>
      </c>
      <c r="B48">
        <v>250</v>
      </c>
      <c r="C48">
        <v>25</v>
      </c>
      <c r="E48">
        <f t="shared" si="3"/>
        <v>9029070.75</v>
      </c>
      <c r="F48">
        <f t="shared" si="1"/>
        <v>523.15</v>
      </c>
      <c r="G48">
        <f t="shared" si="2"/>
        <v>40</v>
      </c>
    </row>
    <row r="49" spans="1:7" x14ac:dyDescent="0.35">
      <c r="A49">
        <v>108.18</v>
      </c>
      <c r="B49">
        <v>250</v>
      </c>
      <c r="C49">
        <v>20</v>
      </c>
      <c r="E49">
        <f t="shared" si="3"/>
        <v>10961338.5</v>
      </c>
      <c r="F49">
        <f t="shared" si="1"/>
        <v>523.15</v>
      </c>
      <c r="G49">
        <f t="shared" si="2"/>
        <v>50</v>
      </c>
    </row>
    <row r="50" spans="1:7" x14ac:dyDescent="0.35">
      <c r="A50">
        <v>24.3</v>
      </c>
      <c r="B50">
        <v>225</v>
      </c>
      <c r="C50">
        <v>95</v>
      </c>
      <c r="E50">
        <f t="shared" si="3"/>
        <v>2462197.5</v>
      </c>
      <c r="F50">
        <f t="shared" si="1"/>
        <v>498.15</v>
      </c>
      <c r="G50">
        <f t="shared" si="2"/>
        <v>10.526315789473685</v>
      </c>
    </row>
    <row r="51" spans="1:7" x14ac:dyDescent="0.35">
      <c r="A51">
        <v>25.59</v>
      </c>
      <c r="B51">
        <v>225</v>
      </c>
      <c r="C51">
        <v>90</v>
      </c>
      <c r="E51">
        <f t="shared" si="3"/>
        <v>2592906.75</v>
      </c>
      <c r="F51">
        <f t="shared" si="1"/>
        <v>498.15</v>
      </c>
      <c r="G51">
        <f t="shared" si="2"/>
        <v>11.111111111111112</v>
      </c>
    </row>
    <row r="52" spans="1:7" x14ac:dyDescent="0.35">
      <c r="A52">
        <v>28.64</v>
      </c>
      <c r="B52">
        <v>225</v>
      </c>
      <c r="C52">
        <v>80</v>
      </c>
      <c r="E52">
        <f t="shared" si="3"/>
        <v>2901948</v>
      </c>
      <c r="F52">
        <f t="shared" si="1"/>
        <v>498.15</v>
      </c>
      <c r="G52">
        <f t="shared" si="2"/>
        <v>12.5</v>
      </c>
    </row>
    <row r="53" spans="1:7" x14ac:dyDescent="0.35">
      <c r="A53">
        <v>32.54</v>
      </c>
      <c r="B53">
        <v>225</v>
      </c>
      <c r="C53">
        <v>70</v>
      </c>
      <c r="E53">
        <f t="shared" si="3"/>
        <v>3297115.5</v>
      </c>
      <c r="F53">
        <f t="shared" si="1"/>
        <v>498.15</v>
      </c>
      <c r="G53">
        <f t="shared" si="2"/>
        <v>14.285714285714285</v>
      </c>
    </row>
    <row r="54" spans="1:7" x14ac:dyDescent="0.35">
      <c r="A54">
        <v>37.64</v>
      </c>
      <c r="B54">
        <v>225</v>
      </c>
      <c r="C54">
        <v>60</v>
      </c>
      <c r="E54">
        <f t="shared" si="3"/>
        <v>3813873</v>
      </c>
      <c r="F54">
        <f t="shared" si="1"/>
        <v>498.15</v>
      </c>
      <c r="G54">
        <f t="shared" si="2"/>
        <v>16.666666666666668</v>
      </c>
    </row>
    <row r="55" spans="1:7" x14ac:dyDescent="0.35">
      <c r="A55">
        <v>44.63</v>
      </c>
      <c r="B55">
        <v>225</v>
      </c>
      <c r="C55">
        <v>50</v>
      </c>
      <c r="E55">
        <f t="shared" si="3"/>
        <v>4522134.75</v>
      </c>
      <c r="F55">
        <f t="shared" si="1"/>
        <v>498.15</v>
      </c>
      <c r="G55">
        <f t="shared" si="2"/>
        <v>20</v>
      </c>
    </row>
    <row r="56" spans="1:7" x14ac:dyDescent="0.35">
      <c r="A56">
        <v>49.2</v>
      </c>
      <c r="B56">
        <v>225</v>
      </c>
      <c r="C56">
        <v>45</v>
      </c>
      <c r="E56">
        <f t="shared" si="3"/>
        <v>4985190</v>
      </c>
      <c r="F56">
        <f t="shared" si="1"/>
        <v>498.15</v>
      </c>
      <c r="G56">
        <f t="shared" si="2"/>
        <v>22.222222222222225</v>
      </c>
    </row>
    <row r="57" spans="1:7" x14ac:dyDescent="0.35">
      <c r="A57">
        <v>54.81</v>
      </c>
      <c r="B57">
        <v>225</v>
      </c>
      <c r="C57">
        <v>40</v>
      </c>
      <c r="E57">
        <f t="shared" si="3"/>
        <v>5553623.25</v>
      </c>
      <c r="F57">
        <f t="shared" si="1"/>
        <v>498.15</v>
      </c>
      <c r="G57">
        <f t="shared" si="2"/>
        <v>25</v>
      </c>
    </row>
    <row r="58" spans="1:7" x14ac:dyDescent="0.35">
      <c r="A58">
        <v>61.85</v>
      </c>
      <c r="B58">
        <v>225</v>
      </c>
      <c r="C58">
        <v>35</v>
      </c>
      <c r="E58">
        <f t="shared" si="3"/>
        <v>6266951.25</v>
      </c>
      <c r="F58">
        <f t="shared" si="1"/>
        <v>498.15</v>
      </c>
      <c r="G58">
        <f t="shared" si="2"/>
        <v>28.571428571428569</v>
      </c>
    </row>
    <row r="59" spans="1:7" x14ac:dyDescent="0.35">
      <c r="A59">
        <v>70.97</v>
      </c>
      <c r="B59">
        <v>225</v>
      </c>
      <c r="C59">
        <v>30</v>
      </c>
      <c r="E59">
        <f t="shared" si="3"/>
        <v>7191035.25</v>
      </c>
      <c r="F59">
        <f t="shared" si="1"/>
        <v>498.15</v>
      </c>
      <c r="G59">
        <f t="shared" si="2"/>
        <v>33.333333333333336</v>
      </c>
    </row>
    <row r="60" spans="1:7" x14ac:dyDescent="0.35">
      <c r="A60">
        <v>83.21</v>
      </c>
      <c r="B60">
        <v>225</v>
      </c>
      <c r="C60">
        <v>25</v>
      </c>
      <c r="E60">
        <f t="shared" si="3"/>
        <v>8431253.25</v>
      </c>
      <c r="F60">
        <f t="shared" si="1"/>
        <v>498.15</v>
      </c>
      <c r="G60">
        <f t="shared" si="2"/>
        <v>40</v>
      </c>
    </row>
    <row r="61" spans="1:7" x14ac:dyDescent="0.35">
      <c r="A61">
        <v>100.51</v>
      </c>
      <c r="B61">
        <v>225</v>
      </c>
      <c r="C61">
        <v>20</v>
      </c>
      <c r="E61">
        <f t="shared" si="3"/>
        <v>10184175.75</v>
      </c>
      <c r="F61">
        <f t="shared" si="1"/>
        <v>498.15</v>
      </c>
      <c r="G61">
        <f t="shared" si="2"/>
        <v>50</v>
      </c>
    </row>
    <row r="62" spans="1:7" x14ac:dyDescent="0.35">
      <c r="A62">
        <v>22.93</v>
      </c>
      <c r="B62">
        <v>200</v>
      </c>
      <c r="C62">
        <v>95</v>
      </c>
      <c r="E62">
        <f t="shared" si="3"/>
        <v>2323382.25</v>
      </c>
      <c r="F62">
        <f t="shared" si="1"/>
        <v>473.15</v>
      </c>
      <c r="G62">
        <f t="shared" si="2"/>
        <v>10.526315789473685</v>
      </c>
    </row>
    <row r="63" spans="1:7" x14ac:dyDescent="0.35">
      <c r="A63">
        <v>24.15</v>
      </c>
      <c r="B63">
        <v>200</v>
      </c>
      <c r="C63">
        <v>90</v>
      </c>
      <c r="E63">
        <f t="shared" si="3"/>
        <v>2446998.75</v>
      </c>
      <c r="F63">
        <f t="shared" si="1"/>
        <v>473.15</v>
      </c>
      <c r="G63">
        <f t="shared" si="2"/>
        <v>11.111111111111112</v>
      </c>
    </row>
    <row r="64" spans="1:7" x14ac:dyDescent="0.35">
      <c r="A64">
        <v>27.01</v>
      </c>
      <c r="B64">
        <v>200</v>
      </c>
      <c r="C64">
        <v>80</v>
      </c>
      <c r="E64">
        <f t="shared" si="3"/>
        <v>2736788.25</v>
      </c>
      <c r="F64">
        <f t="shared" si="1"/>
        <v>473.15</v>
      </c>
      <c r="G64">
        <f t="shared" si="2"/>
        <v>12.5</v>
      </c>
    </row>
    <row r="65" spans="1:7" x14ac:dyDescent="0.35">
      <c r="A65">
        <v>30.64</v>
      </c>
      <c r="B65">
        <v>200</v>
      </c>
      <c r="C65">
        <v>70</v>
      </c>
      <c r="E65">
        <f t="shared" si="3"/>
        <v>3104598</v>
      </c>
      <c r="F65">
        <f t="shared" si="1"/>
        <v>473.15</v>
      </c>
      <c r="G65">
        <f t="shared" si="2"/>
        <v>14.285714285714285</v>
      </c>
    </row>
    <row r="66" spans="1:7" x14ac:dyDescent="0.35">
      <c r="A66">
        <v>35.4</v>
      </c>
      <c r="B66">
        <v>200</v>
      </c>
      <c r="C66">
        <v>60</v>
      </c>
      <c r="E66">
        <f t="shared" ref="E66:E97" si="4">A66*101325</f>
        <v>3586905</v>
      </c>
      <c r="F66">
        <f t="shared" si="1"/>
        <v>473.15</v>
      </c>
      <c r="G66">
        <f t="shared" si="2"/>
        <v>16.666666666666668</v>
      </c>
    </row>
    <row r="67" spans="1:7" x14ac:dyDescent="0.35">
      <c r="A67">
        <v>41.89</v>
      </c>
      <c r="B67">
        <v>200</v>
      </c>
      <c r="C67">
        <v>50</v>
      </c>
      <c r="E67">
        <f t="shared" si="4"/>
        <v>4244504.25</v>
      </c>
      <c r="F67">
        <f t="shared" ref="F67:F130" si="5">B67+273.15</f>
        <v>473.15</v>
      </c>
      <c r="G67">
        <f t="shared" ref="G67:G130" si="6">1/C67*0.001*1000000</f>
        <v>20</v>
      </c>
    </row>
    <row r="68" spans="1:7" x14ac:dyDescent="0.35">
      <c r="A68">
        <v>46.12</v>
      </c>
      <c r="B68">
        <v>200</v>
      </c>
      <c r="C68">
        <v>45</v>
      </c>
      <c r="E68">
        <f t="shared" si="4"/>
        <v>4673109</v>
      </c>
      <c r="F68">
        <f t="shared" si="5"/>
        <v>473.15</v>
      </c>
      <c r="G68">
        <f t="shared" si="6"/>
        <v>22.222222222222225</v>
      </c>
    </row>
    <row r="69" spans="1:7" x14ac:dyDescent="0.35">
      <c r="A69">
        <v>51.29</v>
      </c>
      <c r="B69">
        <v>200</v>
      </c>
      <c r="C69">
        <v>40</v>
      </c>
      <c r="E69">
        <f t="shared" si="4"/>
        <v>5196959.25</v>
      </c>
      <c r="F69">
        <f t="shared" si="5"/>
        <v>473.15</v>
      </c>
      <c r="G69">
        <f t="shared" si="6"/>
        <v>25</v>
      </c>
    </row>
    <row r="70" spans="1:7" x14ac:dyDescent="0.35">
      <c r="A70">
        <v>57.74</v>
      </c>
      <c r="B70">
        <v>200</v>
      </c>
      <c r="C70">
        <v>35</v>
      </c>
      <c r="E70">
        <f t="shared" si="4"/>
        <v>5850505.5</v>
      </c>
      <c r="F70">
        <f t="shared" si="5"/>
        <v>473.15</v>
      </c>
      <c r="G70">
        <f t="shared" si="6"/>
        <v>28.571428571428569</v>
      </c>
    </row>
    <row r="71" spans="1:7" x14ac:dyDescent="0.35">
      <c r="A71">
        <v>66.05</v>
      </c>
      <c r="B71">
        <v>200</v>
      </c>
      <c r="C71">
        <v>30</v>
      </c>
      <c r="E71">
        <f t="shared" si="4"/>
        <v>6692516.25</v>
      </c>
      <c r="F71">
        <f t="shared" si="5"/>
        <v>473.15</v>
      </c>
      <c r="G71">
        <f t="shared" si="6"/>
        <v>33.333333333333336</v>
      </c>
    </row>
    <row r="72" spans="1:7" x14ac:dyDescent="0.35">
      <c r="A72">
        <v>77.13</v>
      </c>
      <c r="B72">
        <v>200</v>
      </c>
      <c r="C72">
        <v>25</v>
      </c>
      <c r="E72">
        <f t="shared" si="4"/>
        <v>7815197.25</v>
      </c>
      <c r="F72">
        <f t="shared" si="5"/>
        <v>473.15</v>
      </c>
      <c r="G72">
        <f t="shared" si="6"/>
        <v>40</v>
      </c>
    </row>
    <row r="73" spans="1:7" x14ac:dyDescent="0.35">
      <c r="A73">
        <v>92.57</v>
      </c>
      <c r="B73">
        <v>200</v>
      </c>
      <c r="C73">
        <v>20</v>
      </c>
      <c r="E73">
        <f t="shared" si="4"/>
        <v>9379655.25</v>
      </c>
      <c r="F73">
        <f t="shared" si="5"/>
        <v>473.15</v>
      </c>
      <c r="G73">
        <f t="shared" si="6"/>
        <v>50</v>
      </c>
    </row>
    <row r="74" spans="1:7" x14ac:dyDescent="0.35">
      <c r="A74">
        <v>21.56</v>
      </c>
      <c r="B74">
        <v>175</v>
      </c>
      <c r="C74">
        <v>95</v>
      </c>
      <c r="E74">
        <f t="shared" si="4"/>
        <v>2184567</v>
      </c>
      <c r="F74">
        <f t="shared" si="5"/>
        <v>448.15</v>
      </c>
      <c r="G74">
        <f t="shared" si="6"/>
        <v>10.526315789473685</v>
      </c>
    </row>
    <row r="75" spans="1:7" x14ac:dyDescent="0.35">
      <c r="A75">
        <v>22.7</v>
      </c>
      <c r="B75">
        <v>175</v>
      </c>
      <c r="C75">
        <v>90</v>
      </c>
      <c r="E75">
        <f t="shared" si="4"/>
        <v>2300077.5</v>
      </c>
      <c r="F75">
        <f t="shared" si="5"/>
        <v>448.15</v>
      </c>
      <c r="G75">
        <f t="shared" si="6"/>
        <v>11.111111111111112</v>
      </c>
    </row>
    <row r="76" spans="1:7" x14ac:dyDescent="0.35">
      <c r="A76">
        <v>25.36</v>
      </c>
      <c r="B76">
        <v>175</v>
      </c>
      <c r="C76">
        <v>80</v>
      </c>
      <c r="E76">
        <f t="shared" si="4"/>
        <v>2569602</v>
      </c>
      <c r="F76">
        <f t="shared" si="5"/>
        <v>448.15</v>
      </c>
      <c r="G76">
        <f t="shared" si="6"/>
        <v>12.5</v>
      </c>
    </row>
    <row r="77" spans="1:7" x14ac:dyDescent="0.35">
      <c r="A77">
        <v>28.74</v>
      </c>
      <c r="B77">
        <v>175</v>
      </c>
      <c r="C77">
        <v>70</v>
      </c>
      <c r="E77">
        <f t="shared" si="4"/>
        <v>2912080.5</v>
      </c>
      <c r="F77">
        <f t="shared" si="5"/>
        <v>448.15</v>
      </c>
      <c r="G77">
        <f t="shared" si="6"/>
        <v>14.285714285714285</v>
      </c>
    </row>
    <row r="78" spans="1:7" x14ac:dyDescent="0.35">
      <c r="A78">
        <v>33.14</v>
      </c>
      <c r="B78">
        <v>175</v>
      </c>
      <c r="C78">
        <v>60</v>
      </c>
      <c r="E78">
        <f t="shared" si="4"/>
        <v>3357910.5</v>
      </c>
      <c r="F78">
        <f t="shared" si="5"/>
        <v>448.15</v>
      </c>
      <c r="G78">
        <f t="shared" si="6"/>
        <v>16.666666666666668</v>
      </c>
    </row>
    <row r="79" spans="1:7" x14ac:dyDescent="0.35">
      <c r="A79">
        <v>39.130000000000003</v>
      </c>
      <c r="B79">
        <v>175</v>
      </c>
      <c r="C79">
        <v>50</v>
      </c>
      <c r="E79">
        <f t="shared" si="4"/>
        <v>3964847.2500000005</v>
      </c>
      <c r="F79">
        <f t="shared" si="5"/>
        <v>448.15</v>
      </c>
      <c r="G79">
        <f t="shared" si="6"/>
        <v>20</v>
      </c>
    </row>
    <row r="80" spans="1:7" x14ac:dyDescent="0.35">
      <c r="A80">
        <v>43.01</v>
      </c>
      <c r="B80">
        <v>175</v>
      </c>
      <c r="C80">
        <v>45</v>
      </c>
      <c r="E80">
        <f t="shared" si="4"/>
        <v>4357988.25</v>
      </c>
      <c r="F80">
        <f t="shared" si="5"/>
        <v>448.15</v>
      </c>
      <c r="G80">
        <f t="shared" si="6"/>
        <v>22.222222222222225</v>
      </c>
    </row>
    <row r="81" spans="1:7" x14ac:dyDescent="0.35">
      <c r="A81">
        <v>47.73</v>
      </c>
      <c r="B81">
        <v>175</v>
      </c>
      <c r="C81">
        <v>40</v>
      </c>
      <c r="E81">
        <f t="shared" si="4"/>
        <v>4836242.25</v>
      </c>
      <c r="F81">
        <f t="shared" si="5"/>
        <v>448.15</v>
      </c>
      <c r="G81">
        <f t="shared" si="6"/>
        <v>25</v>
      </c>
    </row>
    <row r="82" spans="1:7" x14ac:dyDescent="0.35">
      <c r="A82">
        <v>53.61</v>
      </c>
      <c r="B82">
        <v>175</v>
      </c>
      <c r="C82">
        <v>35</v>
      </c>
      <c r="E82">
        <f t="shared" si="4"/>
        <v>5432033.25</v>
      </c>
      <c r="F82">
        <f t="shared" si="5"/>
        <v>448.15</v>
      </c>
      <c r="G82">
        <f t="shared" si="6"/>
        <v>28.571428571428569</v>
      </c>
    </row>
    <row r="83" spans="1:7" x14ac:dyDescent="0.35">
      <c r="A83">
        <v>61.11</v>
      </c>
      <c r="B83">
        <v>175</v>
      </c>
      <c r="C83">
        <v>30</v>
      </c>
      <c r="E83">
        <f t="shared" si="4"/>
        <v>6191970.75</v>
      </c>
      <c r="F83">
        <f t="shared" si="5"/>
        <v>448.15</v>
      </c>
      <c r="G83">
        <f t="shared" si="6"/>
        <v>33.333333333333336</v>
      </c>
    </row>
    <row r="84" spans="1:7" x14ac:dyDescent="0.35">
      <c r="A84">
        <v>70.98</v>
      </c>
      <c r="B84">
        <v>175</v>
      </c>
      <c r="C84">
        <v>25</v>
      </c>
      <c r="E84">
        <f t="shared" si="4"/>
        <v>7192048.5</v>
      </c>
      <c r="F84">
        <f t="shared" si="5"/>
        <v>448.15</v>
      </c>
      <c r="G84">
        <f t="shared" si="6"/>
        <v>40</v>
      </c>
    </row>
    <row r="85" spans="1:7" x14ac:dyDescent="0.35">
      <c r="A85">
        <v>84.54</v>
      </c>
      <c r="B85">
        <v>175</v>
      </c>
      <c r="C85">
        <v>20</v>
      </c>
      <c r="E85">
        <f t="shared" si="4"/>
        <v>8566015.5</v>
      </c>
      <c r="F85">
        <f t="shared" si="5"/>
        <v>448.15</v>
      </c>
      <c r="G85">
        <f t="shared" si="6"/>
        <v>50</v>
      </c>
    </row>
    <row r="86" spans="1:7" x14ac:dyDescent="0.35">
      <c r="A86">
        <v>20.18</v>
      </c>
      <c r="B86">
        <v>150</v>
      </c>
      <c r="C86">
        <v>95</v>
      </c>
      <c r="E86">
        <f t="shared" si="4"/>
        <v>2044738.5</v>
      </c>
      <c r="F86">
        <f t="shared" si="5"/>
        <v>423.15</v>
      </c>
      <c r="G86">
        <f t="shared" si="6"/>
        <v>10.526315789473685</v>
      </c>
    </row>
    <row r="87" spans="1:7" x14ac:dyDescent="0.35">
      <c r="A87">
        <v>21.23</v>
      </c>
      <c r="B87">
        <v>150</v>
      </c>
      <c r="C87">
        <v>90</v>
      </c>
      <c r="E87">
        <f t="shared" si="4"/>
        <v>2151129.75</v>
      </c>
      <c r="F87">
        <f t="shared" si="5"/>
        <v>423.15</v>
      </c>
      <c r="G87">
        <f t="shared" si="6"/>
        <v>11.111111111111112</v>
      </c>
    </row>
    <row r="88" spans="1:7" x14ac:dyDescent="0.35">
      <c r="A88">
        <v>23.7</v>
      </c>
      <c r="B88">
        <v>150</v>
      </c>
      <c r="C88">
        <v>80</v>
      </c>
      <c r="E88">
        <f t="shared" si="4"/>
        <v>2401402.5</v>
      </c>
      <c r="F88">
        <f t="shared" si="5"/>
        <v>423.15</v>
      </c>
      <c r="G88">
        <f t="shared" si="6"/>
        <v>12.5</v>
      </c>
    </row>
    <row r="89" spans="1:7" x14ac:dyDescent="0.35">
      <c r="A89">
        <v>26.81</v>
      </c>
      <c r="B89">
        <v>150</v>
      </c>
      <c r="C89">
        <v>70</v>
      </c>
      <c r="E89">
        <f t="shared" si="4"/>
        <v>2716523.25</v>
      </c>
      <c r="F89">
        <f t="shared" si="5"/>
        <v>423.15</v>
      </c>
      <c r="G89">
        <f t="shared" si="6"/>
        <v>14.285714285714285</v>
      </c>
    </row>
    <row r="90" spans="1:7" x14ac:dyDescent="0.35">
      <c r="A90">
        <v>30.86</v>
      </c>
      <c r="B90">
        <v>150</v>
      </c>
      <c r="C90">
        <v>60</v>
      </c>
      <c r="E90">
        <f t="shared" si="4"/>
        <v>3126889.5</v>
      </c>
      <c r="F90">
        <f t="shared" si="5"/>
        <v>423.15</v>
      </c>
      <c r="G90">
        <f t="shared" si="6"/>
        <v>16.666666666666668</v>
      </c>
    </row>
    <row r="91" spans="1:7" x14ac:dyDescent="0.35">
      <c r="A91">
        <v>36.33</v>
      </c>
      <c r="B91">
        <v>150</v>
      </c>
      <c r="C91">
        <v>50</v>
      </c>
      <c r="E91">
        <f t="shared" si="4"/>
        <v>3681137.25</v>
      </c>
      <c r="F91">
        <f t="shared" si="5"/>
        <v>423.15</v>
      </c>
      <c r="G91">
        <f t="shared" si="6"/>
        <v>20</v>
      </c>
    </row>
    <row r="92" spans="1:7" x14ac:dyDescent="0.35">
      <c r="A92">
        <v>39.85</v>
      </c>
      <c r="B92">
        <v>150</v>
      </c>
      <c r="C92">
        <v>45</v>
      </c>
      <c r="E92">
        <f t="shared" si="4"/>
        <v>4037801.25</v>
      </c>
      <c r="F92">
        <f t="shared" si="5"/>
        <v>423.15</v>
      </c>
      <c r="G92">
        <f t="shared" si="6"/>
        <v>22.222222222222225</v>
      </c>
    </row>
    <row r="93" spans="1:7" x14ac:dyDescent="0.35">
      <c r="A93">
        <v>44.11</v>
      </c>
      <c r="B93">
        <v>150</v>
      </c>
      <c r="C93">
        <v>40</v>
      </c>
      <c r="E93">
        <f t="shared" si="4"/>
        <v>4469445.75</v>
      </c>
      <c r="F93">
        <f t="shared" si="5"/>
        <v>423.15</v>
      </c>
      <c r="G93">
        <f t="shared" si="6"/>
        <v>25</v>
      </c>
    </row>
    <row r="94" spans="1:7" x14ac:dyDescent="0.35">
      <c r="A94">
        <v>49.36</v>
      </c>
      <c r="B94">
        <v>150</v>
      </c>
      <c r="C94">
        <v>35</v>
      </c>
      <c r="E94">
        <f t="shared" si="4"/>
        <v>5001402</v>
      </c>
      <c r="F94">
        <f t="shared" si="5"/>
        <v>423.15</v>
      </c>
      <c r="G94">
        <f t="shared" si="6"/>
        <v>28.571428571428569</v>
      </c>
    </row>
    <row r="95" spans="1:7" x14ac:dyDescent="0.35">
      <c r="A95">
        <v>56.01</v>
      </c>
      <c r="B95">
        <v>150</v>
      </c>
      <c r="C95">
        <v>30</v>
      </c>
      <c r="E95">
        <f t="shared" si="4"/>
        <v>5675213.25</v>
      </c>
      <c r="F95">
        <f t="shared" si="5"/>
        <v>423.15</v>
      </c>
      <c r="G95">
        <f t="shared" si="6"/>
        <v>33.333333333333336</v>
      </c>
    </row>
    <row r="96" spans="1:7" x14ac:dyDescent="0.35">
      <c r="A96">
        <v>64.650000000000006</v>
      </c>
      <c r="B96">
        <v>150</v>
      </c>
      <c r="C96">
        <v>25</v>
      </c>
      <c r="E96">
        <f t="shared" si="4"/>
        <v>6550661.2500000009</v>
      </c>
      <c r="F96">
        <f t="shared" si="5"/>
        <v>423.15</v>
      </c>
      <c r="G96">
        <f t="shared" si="6"/>
        <v>40</v>
      </c>
    </row>
    <row r="97" spans="1:7" x14ac:dyDescent="0.35">
      <c r="A97">
        <v>76.239999999999995</v>
      </c>
      <c r="B97">
        <v>150</v>
      </c>
      <c r="C97">
        <v>20</v>
      </c>
      <c r="E97">
        <f t="shared" si="4"/>
        <v>7725017.9999999991</v>
      </c>
      <c r="F97">
        <f t="shared" si="5"/>
        <v>423.15</v>
      </c>
      <c r="G97">
        <f t="shared" si="6"/>
        <v>50</v>
      </c>
    </row>
    <row r="98" spans="1:7" x14ac:dyDescent="0.35">
      <c r="A98">
        <v>18.78</v>
      </c>
      <c r="B98">
        <v>125</v>
      </c>
      <c r="C98">
        <v>95</v>
      </c>
      <c r="E98">
        <f t="shared" ref="E98:E129" si="7">A98*101325</f>
        <v>1902883.5</v>
      </c>
      <c r="F98">
        <f t="shared" si="5"/>
        <v>398.15</v>
      </c>
      <c r="G98">
        <f t="shared" si="6"/>
        <v>10.526315789473685</v>
      </c>
    </row>
    <row r="99" spans="1:7" x14ac:dyDescent="0.35">
      <c r="A99">
        <v>19.75</v>
      </c>
      <c r="B99">
        <v>125</v>
      </c>
      <c r="C99">
        <v>90</v>
      </c>
      <c r="E99">
        <f t="shared" si="7"/>
        <v>2001168.75</v>
      </c>
      <c r="F99">
        <f t="shared" si="5"/>
        <v>398.15</v>
      </c>
      <c r="G99">
        <f t="shared" si="6"/>
        <v>11.111111111111112</v>
      </c>
    </row>
    <row r="100" spans="1:7" x14ac:dyDescent="0.35">
      <c r="A100">
        <v>22</v>
      </c>
      <c r="B100">
        <v>125</v>
      </c>
      <c r="C100">
        <v>80</v>
      </c>
      <c r="E100">
        <f t="shared" si="7"/>
        <v>2229150</v>
      </c>
      <c r="F100">
        <f t="shared" si="5"/>
        <v>398.15</v>
      </c>
      <c r="G100">
        <f t="shared" si="6"/>
        <v>12.5</v>
      </c>
    </row>
    <row r="101" spans="1:7" x14ac:dyDescent="0.35">
      <c r="A101">
        <v>24.85</v>
      </c>
      <c r="B101">
        <v>125</v>
      </c>
      <c r="C101">
        <v>70</v>
      </c>
      <c r="E101">
        <f t="shared" si="7"/>
        <v>2517926.25</v>
      </c>
      <c r="F101">
        <f t="shared" si="5"/>
        <v>398.15</v>
      </c>
      <c r="G101">
        <f t="shared" si="6"/>
        <v>14.285714285714285</v>
      </c>
    </row>
    <row r="102" spans="1:7" x14ac:dyDescent="0.35">
      <c r="A102">
        <v>28.51</v>
      </c>
      <c r="B102">
        <v>125</v>
      </c>
      <c r="C102">
        <v>60</v>
      </c>
      <c r="E102">
        <f t="shared" si="7"/>
        <v>2888775.75</v>
      </c>
      <c r="F102">
        <f t="shared" si="5"/>
        <v>398.15</v>
      </c>
      <c r="G102">
        <f t="shared" si="6"/>
        <v>16.666666666666668</v>
      </c>
    </row>
    <row r="103" spans="1:7" x14ac:dyDescent="0.35">
      <c r="A103">
        <v>33.44</v>
      </c>
      <c r="B103">
        <v>125</v>
      </c>
      <c r="C103">
        <v>50</v>
      </c>
      <c r="E103">
        <f t="shared" si="7"/>
        <v>3388308</v>
      </c>
      <c r="F103">
        <f t="shared" si="5"/>
        <v>398.15</v>
      </c>
      <c r="G103">
        <f t="shared" si="6"/>
        <v>20</v>
      </c>
    </row>
    <row r="104" spans="1:7" x14ac:dyDescent="0.35">
      <c r="A104">
        <v>36.590000000000003</v>
      </c>
      <c r="B104">
        <v>125</v>
      </c>
      <c r="C104">
        <v>45</v>
      </c>
      <c r="E104">
        <f t="shared" si="7"/>
        <v>3707481.7500000005</v>
      </c>
      <c r="F104">
        <f t="shared" si="5"/>
        <v>398.15</v>
      </c>
      <c r="G104">
        <f t="shared" si="6"/>
        <v>22.222222222222225</v>
      </c>
    </row>
    <row r="105" spans="1:7" x14ac:dyDescent="0.35">
      <c r="A105">
        <v>40.36</v>
      </c>
      <c r="B105">
        <v>125</v>
      </c>
      <c r="C105">
        <v>40</v>
      </c>
      <c r="E105">
        <f t="shared" si="7"/>
        <v>4089477</v>
      </c>
      <c r="F105">
        <f t="shared" si="5"/>
        <v>398.15</v>
      </c>
      <c r="G105">
        <f t="shared" si="6"/>
        <v>25</v>
      </c>
    </row>
    <row r="106" spans="1:7" x14ac:dyDescent="0.35">
      <c r="A106">
        <v>44.99</v>
      </c>
      <c r="B106">
        <v>125</v>
      </c>
      <c r="C106">
        <v>35</v>
      </c>
      <c r="E106">
        <f t="shared" si="7"/>
        <v>4558611.75</v>
      </c>
      <c r="F106">
        <f t="shared" si="5"/>
        <v>398.15</v>
      </c>
      <c r="G106">
        <f t="shared" si="6"/>
        <v>28.571428571428569</v>
      </c>
    </row>
    <row r="107" spans="1:7" x14ac:dyDescent="0.35">
      <c r="A107">
        <v>50.74</v>
      </c>
      <c r="B107">
        <v>125</v>
      </c>
      <c r="C107">
        <v>30</v>
      </c>
      <c r="E107">
        <f t="shared" si="7"/>
        <v>5141230.5</v>
      </c>
      <c r="F107">
        <f t="shared" si="5"/>
        <v>398.15</v>
      </c>
      <c r="G107">
        <f t="shared" si="6"/>
        <v>33.333333333333336</v>
      </c>
    </row>
    <row r="108" spans="1:7" x14ac:dyDescent="0.35">
      <c r="A108">
        <v>58.06</v>
      </c>
      <c r="B108">
        <v>125</v>
      </c>
      <c r="C108">
        <v>25</v>
      </c>
      <c r="E108">
        <f t="shared" si="7"/>
        <v>5882929.5</v>
      </c>
      <c r="F108">
        <f t="shared" si="5"/>
        <v>398.15</v>
      </c>
      <c r="G108">
        <f t="shared" si="6"/>
        <v>40</v>
      </c>
    </row>
    <row r="109" spans="1:7" x14ac:dyDescent="0.35">
      <c r="A109">
        <v>67.56</v>
      </c>
      <c r="B109">
        <v>125</v>
      </c>
      <c r="C109">
        <v>20</v>
      </c>
      <c r="E109">
        <f t="shared" si="7"/>
        <v>6845517</v>
      </c>
      <c r="F109">
        <f t="shared" si="5"/>
        <v>398.15</v>
      </c>
      <c r="G109">
        <f t="shared" si="6"/>
        <v>50</v>
      </c>
    </row>
    <row r="110" spans="1:7" x14ac:dyDescent="0.35">
      <c r="A110">
        <v>17.36</v>
      </c>
      <c r="B110">
        <v>100</v>
      </c>
      <c r="C110">
        <v>95</v>
      </c>
      <c r="E110">
        <f t="shared" si="7"/>
        <v>1759002</v>
      </c>
      <c r="F110">
        <f t="shared" si="5"/>
        <v>373.15</v>
      </c>
      <c r="G110">
        <f t="shared" si="6"/>
        <v>10.526315789473685</v>
      </c>
    </row>
    <row r="111" spans="1:7" x14ac:dyDescent="0.35">
      <c r="A111">
        <v>18.239999999999998</v>
      </c>
      <c r="B111">
        <v>100</v>
      </c>
      <c r="C111">
        <v>90</v>
      </c>
      <c r="E111">
        <f t="shared" si="7"/>
        <v>1848167.9999999998</v>
      </c>
      <c r="F111">
        <f t="shared" si="5"/>
        <v>373.15</v>
      </c>
      <c r="G111">
        <f t="shared" si="6"/>
        <v>11.111111111111112</v>
      </c>
    </row>
    <row r="112" spans="1:7" x14ac:dyDescent="0.35">
      <c r="A112">
        <v>20.28</v>
      </c>
      <c r="B112">
        <v>100</v>
      </c>
      <c r="C112">
        <v>80</v>
      </c>
      <c r="E112">
        <f t="shared" si="7"/>
        <v>2054871</v>
      </c>
      <c r="F112">
        <f t="shared" si="5"/>
        <v>373.15</v>
      </c>
      <c r="G112">
        <f t="shared" si="6"/>
        <v>12.5</v>
      </c>
    </row>
    <row r="113" spans="1:7" x14ac:dyDescent="0.35">
      <c r="A113">
        <v>22.84</v>
      </c>
      <c r="B113">
        <v>100</v>
      </c>
      <c r="C113">
        <v>70</v>
      </c>
      <c r="E113">
        <f t="shared" si="7"/>
        <v>2314263</v>
      </c>
      <c r="F113">
        <f t="shared" si="5"/>
        <v>373.15</v>
      </c>
      <c r="G113">
        <f t="shared" si="6"/>
        <v>14.285714285714285</v>
      </c>
    </row>
    <row r="114" spans="1:7" x14ac:dyDescent="0.35">
      <c r="A114">
        <v>26.12</v>
      </c>
      <c r="B114">
        <v>100</v>
      </c>
      <c r="C114">
        <v>60</v>
      </c>
      <c r="E114">
        <f t="shared" si="7"/>
        <v>2646609</v>
      </c>
      <c r="F114">
        <f t="shared" si="5"/>
        <v>373.15</v>
      </c>
      <c r="G114">
        <f t="shared" si="6"/>
        <v>16.666666666666668</v>
      </c>
    </row>
    <row r="115" spans="1:7" x14ac:dyDescent="0.35">
      <c r="A115">
        <v>30.47</v>
      </c>
      <c r="B115">
        <v>100</v>
      </c>
      <c r="C115">
        <v>50</v>
      </c>
      <c r="E115">
        <f t="shared" si="7"/>
        <v>3087372.75</v>
      </c>
      <c r="F115">
        <f t="shared" si="5"/>
        <v>373.15</v>
      </c>
      <c r="G115">
        <f t="shared" si="6"/>
        <v>20</v>
      </c>
    </row>
    <row r="116" spans="1:7" x14ac:dyDescent="0.35">
      <c r="A116">
        <v>33.21</v>
      </c>
      <c r="B116">
        <v>100</v>
      </c>
      <c r="C116">
        <v>45</v>
      </c>
      <c r="E116">
        <f t="shared" si="7"/>
        <v>3365003.25</v>
      </c>
      <c r="F116">
        <f t="shared" si="5"/>
        <v>373.15</v>
      </c>
      <c r="G116">
        <f t="shared" si="6"/>
        <v>22.222222222222225</v>
      </c>
    </row>
    <row r="117" spans="1:7" x14ac:dyDescent="0.35">
      <c r="A117">
        <v>36.47</v>
      </c>
      <c r="B117">
        <v>100</v>
      </c>
      <c r="C117">
        <v>40</v>
      </c>
      <c r="E117">
        <f t="shared" si="7"/>
        <v>3695322.75</v>
      </c>
      <c r="F117">
        <f t="shared" si="5"/>
        <v>373.15</v>
      </c>
      <c r="G117">
        <f t="shared" si="6"/>
        <v>25</v>
      </c>
    </row>
    <row r="118" spans="1:7" x14ac:dyDescent="0.35">
      <c r="A118">
        <v>40.409999999999997</v>
      </c>
      <c r="B118">
        <v>100</v>
      </c>
      <c r="C118">
        <v>35</v>
      </c>
      <c r="E118">
        <f t="shared" si="7"/>
        <v>4094543.2499999995</v>
      </c>
      <c r="F118">
        <f t="shared" si="5"/>
        <v>373.15</v>
      </c>
      <c r="G118">
        <f t="shared" si="6"/>
        <v>28.571428571428569</v>
      </c>
    </row>
    <row r="119" spans="1:7" x14ac:dyDescent="0.35">
      <c r="A119">
        <v>45.19</v>
      </c>
      <c r="B119">
        <v>100</v>
      </c>
      <c r="C119">
        <v>30</v>
      </c>
      <c r="E119">
        <f t="shared" si="7"/>
        <v>4578876.75</v>
      </c>
      <c r="F119">
        <f t="shared" si="5"/>
        <v>373.15</v>
      </c>
      <c r="G119">
        <f t="shared" si="6"/>
        <v>33.333333333333336</v>
      </c>
    </row>
    <row r="120" spans="1:7" x14ac:dyDescent="0.35">
      <c r="A120">
        <v>51.09</v>
      </c>
      <c r="B120">
        <v>100</v>
      </c>
      <c r="C120">
        <v>25</v>
      </c>
      <c r="E120">
        <f t="shared" si="7"/>
        <v>5176694.25</v>
      </c>
      <c r="F120">
        <f t="shared" si="5"/>
        <v>373.15</v>
      </c>
      <c r="G120">
        <f t="shared" si="6"/>
        <v>40</v>
      </c>
    </row>
    <row r="121" spans="1:7" x14ac:dyDescent="0.35">
      <c r="A121">
        <v>58.28</v>
      </c>
      <c r="B121">
        <v>100</v>
      </c>
      <c r="C121">
        <v>20</v>
      </c>
      <c r="E121">
        <f t="shared" si="7"/>
        <v>5905221</v>
      </c>
      <c r="F121">
        <f t="shared" si="5"/>
        <v>373.15</v>
      </c>
      <c r="G121">
        <f t="shared" si="6"/>
        <v>50</v>
      </c>
    </row>
    <row r="122" spans="1:7" x14ac:dyDescent="0.35">
      <c r="A122">
        <v>15.9</v>
      </c>
      <c r="B122">
        <v>75</v>
      </c>
      <c r="C122">
        <v>95</v>
      </c>
      <c r="E122">
        <f t="shared" si="7"/>
        <v>1611067.5</v>
      </c>
      <c r="F122">
        <f t="shared" si="5"/>
        <v>348.15</v>
      </c>
      <c r="G122">
        <f t="shared" si="6"/>
        <v>10.526315789473685</v>
      </c>
    </row>
    <row r="123" spans="1:7" x14ac:dyDescent="0.35">
      <c r="A123">
        <v>16.68</v>
      </c>
      <c r="B123">
        <v>75</v>
      </c>
      <c r="C123">
        <v>90</v>
      </c>
      <c r="E123">
        <f t="shared" si="7"/>
        <v>1690101</v>
      </c>
      <c r="F123">
        <f t="shared" si="5"/>
        <v>348.15</v>
      </c>
      <c r="G123">
        <f t="shared" si="6"/>
        <v>11.111111111111112</v>
      </c>
    </row>
    <row r="124" spans="1:7" x14ac:dyDescent="0.35">
      <c r="A124">
        <v>18.5</v>
      </c>
      <c r="B124">
        <v>75</v>
      </c>
      <c r="C124">
        <v>80</v>
      </c>
      <c r="E124">
        <f t="shared" si="7"/>
        <v>1874512.5</v>
      </c>
      <c r="F124">
        <f t="shared" si="5"/>
        <v>348.15</v>
      </c>
      <c r="G124">
        <f t="shared" si="6"/>
        <v>12.5</v>
      </c>
    </row>
    <row r="125" spans="1:7" x14ac:dyDescent="0.35">
      <c r="A125">
        <v>20.76</v>
      </c>
      <c r="B125">
        <v>75</v>
      </c>
      <c r="C125">
        <v>70</v>
      </c>
      <c r="E125">
        <f t="shared" si="7"/>
        <v>2103507</v>
      </c>
      <c r="F125">
        <f t="shared" si="5"/>
        <v>348.15</v>
      </c>
      <c r="G125">
        <f t="shared" si="6"/>
        <v>14.285714285714285</v>
      </c>
    </row>
    <row r="126" spans="1:7" x14ac:dyDescent="0.35">
      <c r="A126">
        <v>23.61</v>
      </c>
      <c r="B126">
        <v>75</v>
      </c>
      <c r="C126">
        <v>60</v>
      </c>
      <c r="E126">
        <f t="shared" si="7"/>
        <v>2392283.25</v>
      </c>
      <c r="F126">
        <f t="shared" si="5"/>
        <v>348.15</v>
      </c>
      <c r="G126">
        <f t="shared" si="6"/>
        <v>16.666666666666668</v>
      </c>
    </row>
    <row r="127" spans="1:7" x14ac:dyDescent="0.35">
      <c r="A127">
        <v>27.34</v>
      </c>
      <c r="B127">
        <v>75</v>
      </c>
      <c r="C127">
        <v>50</v>
      </c>
      <c r="E127">
        <f t="shared" si="7"/>
        <v>2770225.5</v>
      </c>
      <c r="F127">
        <f t="shared" si="5"/>
        <v>348.15</v>
      </c>
      <c r="G127">
        <f t="shared" si="6"/>
        <v>20</v>
      </c>
    </row>
    <row r="128" spans="1:7" x14ac:dyDescent="0.35">
      <c r="A128">
        <v>29.65</v>
      </c>
      <c r="B128">
        <v>75</v>
      </c>
      <c r="C128">
        <v>45</v>
      </c>
      <c r="E128">
        <f t="shared" si="7"/>
        <v>3004286.25</v>
      </c>
      <c r="F128">
        <f t="shared" si="5"/>
        <v>348.15</v>
      </c>
      <c r="G128">
        <f t="shared" si="6"/>
        <v>22.222222222222225</v>
      </c>
    </row>
    <row r="129" spans="1:7" x14ac:dyDescent="0.35">
      <c r="A129">
        <v>32.35</v>
      </c>
      <c r="B129">
        <v>75</v>
      </c>
      <c r="C129">
        <v>40</v>
      </c>
      <c r="E129">
        <f t="shared" si="7"/>
        <v>3277863.75</v>
      </c>
      <c r="F129">
        <f t="shared" si="5"/>
        <v>348.15</v>
      </c>
      <c r="G129">
        <f t="shared" si="6"/>
        <v>25</v>
      </c>
    </row>
    <row r="130" spans="1:7" x14ac:dyDescent="0.35">
      <c r="A130">
        <v>35.520000000000003</v>
      </c>
      <c r="B130">
        <v>75</v>
      </c>
      <c r="C130">
        <v>35</v>
      </c>
      <c r="E130">
        <f t="shared" ref="E130:E161" si="8">A130*101325</f>
        <v>3599064.0000000005</v>
      </c>
      <c r="F130">
        <f t="shared" si="5"/>
        <v>348.15</v>
      </c>
      <c r="G130">
        <f t="shared" si="6"/>
        <v>28.571428571428569</v>
      </c>
    </row>
    <row r="131" spans="1:7" x14ac:dyDescent="0.35">
      <c r="A131">
        <v>14.37</v>
      </c>
      <c r="B131">
        <v>50</v>
      </c>
      <c r="C131">
        <v>95</v>
      </c>
      <c r="E131">
        <f t="shared" si="8"/>
        <v>1456040.25</v>
      </c>
      <c r="F131">
        <f t="shared" ref="F131:F189" si="9">B131+273.15</f>
        <v>323.14999999999998</v>
      </c>
      <c r="G131">
        <f t="shared" ref="G131:G189" si="10">1/C131*0.001*1000000</f>
        <v>10.526315789473685</v>
      </c>
    </row>
    <row r="132" spans="1:7" x14ac:dyDescent="0.35">
      <c r="A132">
        <v>15.05</v>
      </c>
      <c r="B132">
        <v>50</v>
      </c>
      <c r="C132">
        <v>90</v>
      </c>
      <c r="E132">
        <f t="shared" si="8"/>
        <v>1524941.25</v>
      </c>
      <c r="F132">
        <f t="shared" si="9"/>
        <v>323.14999999999998</v>
      </c>
      <c r="G132">
        <f t="shared" si="10"/>
        <v>11.111111111111112</v>
      </c>
    </row>
    <row r="133" spans="1:7" x14ac:dyDescent="0.35">
      <c r="A133">
        <v>16.62</v>
      </c>
      <c r="B133">
        <v>50</v>
      </c>
      <c r="C133">
        <v>80</v>
      </c>
      <c r="E133">
        <f t="shared" si="8"/>
        <v>1684021.5</v>
      </c>
      <c r="F133">
        <f t="shared" si="9"/>
        <v>323.14999999999998</v>
      </c>
      <c r="G133">
        <f t="shared" si="10"/>
        <v>12.5</v>
      </c>
    </row>
    <row r="134" spans="1:7" x14ac:dyDescent="0.35">
      <c r="A134">
        <v>18.54</v>
      </c>
      <c r="B134">
        <v>50</v>
      </c>
      <c r="C134">
        <v>70</v>
      </c>
      <c r="E134">
        <f t="shared" si="8"/>
        <v>1878565.5</v>
      </c>
      <c r="F134">
        <f t="shared" si="9"/>
        <v>323.14999999999998</v>
      </c>
      <c r="G134">
        <f t="shared" si="10"/>
        <v>14.285714285714285</v>
      </c>
    </row>
    <row r="135" spans="1:7" x14ac:dyDescent="0.35">
      <c r="A135">
        <v>9.1259999999999994</v>
      </c>
      <c r="B135">
        <v>300</v>
      </c>
      <c r="C135">
        <v>300</v>
      </c>
      <c r="E135">
        <f t="shared" si="8"/>
        <v>924691.95</v>
      </c>
      <c r="F135">
        <f t="shared" si="9"/>
        <v>573.15</v>
      </c>
      <c r="G135">
        <f t="shared" si="10"/>
        <v>3.3333333333333339</v>
      </c>
    </row>
    <row r="136" spans="1:7" x14ac:dyDescent="0.35">
      <c r="A136">
        <v>13.631</v>
      </c>
      <c r="B136">
        <v>300</v>
      </c>
      <c r="C136">
        <v>200</v>
      </c>
      <c r="E136">
        <f t="shared" si="8"/>
        <v>1381161.075</v>
      </c>
      <c r="F136">
        <f t="shared" si="9"/>
        <v>573.15</v>
      </c>
      <c r="G136">
        <f t="shared" si="10"/>
        <v>5</v>
      </c>
    </row>
    <row r="137" spans="1:7" x14ac:dyDescent="0.35">
      <c r="A137">
        <v>18.100999999999999</v>
      </c>
      <c r="B137">
        <v>300</v>
      </c>
      <c r="C137">
        <v>150</v>
      </c>
      <c r="E137">
        <f t="shared" si="8"/>
        <v>1834083.825</v>
      </c>
      <c r="F137">
        <f t="shared" si="9"/>
        <v>573.15</v>
      </c>
      <c r="G137">
        <f t="shared" si="10"/>
        <v>6.6666666666666679</v>
      </c>
    </row>
    <row r="138" spans="1:7" x14ac:dyDescent="0.35">
      <c r="A138">
        <v>23.497</v>
      </c>
      <c r="B138">
        <v>300</v>
      </c>
      <c r="C138">
        <v>115</v>
      </c>
      <c r="E138">
        <f t="shared" si="8"/>
        <v>2380833.5249999999</v>
      </c>
      <c r="F138">
        <f t="shared" si="9"/>
        <v>573.15</v>
      </c>
      <c r="G138">
        <f t="shared" si="10"/>
        <v>8.6956521739130448</v>
      </c>
    </row>
    <row r="139" spans="1:7" x14ac:dyDescent="0.35">
      <c r="A139">
        <v>5.0069999999999997</v>
      </c>
      <c r="B139">
        <v>250</v>
      </c>
      <c r="C139">
        <v>500</v>
      </c>
      <c r="E139">
        <f t="shared" si="8"/>
        <v>507334.27499999997</v>
      </c>
      <c r="F139">
        <f t="shared" si="9"/>
        <v>523.15</v>
      </c>
      <c r="G139">
        <f t="shared" si="10"/>
        <v>2</v>
      </c>
    </row>
    <row r="140" spans="1:7" x14ac:dyDescent="0.35">
      <c r="A140">
        <v>8.3079999999999998</v>
      </c>
      <c r="B140">
        <v>250</v>
      </c>
      <c r="C140">
        <v>300</v>
      </c>
      <c r="E140">
        <f t="shared" si="8"/>
        <v>841808.1</v>
      </c>
      <c r="F140">
        <f t="shared" si="9"/>
        <v>523.15</v>
      </c>
      <c r="G140">
        <f t="shared" si="10"/>
        <v>3.3333333333333339</v>
      </c>
    </row>
    <row r="141" spans="1:7" x14ac:dyDescent="0.35">
      <c r="A141">
        <v>12.395</v>
      </c>
      <c r="B141">
        <v>250</v>
      </c>
      <c r="C141">
        <v>200</v>
      </c>
      <c r="E141">
        <f t="shared" si="8"/>
        <v>1255923.375</v>
      </c>
      <c r="F141">
        <f t="shared" si="9"/>
        <v>523.15</v>
      </c>
      <c r="G141">
        <f t="shared" si="10"/>
        <v>5</v>
      </c>
    </row>
    <row r="142" spans="1:7" x14ac:dyDescent="0.35">
      <c r="A142">
        <v>16.439</v>
      </c>
      <c r="B142">
        <v>250</v>
      </c>
      <c r="C142">
        <v>150</v>
      </c>
      <c r="E142">
        <f t="shared" si="8"/>
        <v>1665681.675</v>
      </c>
      <c r="F142">
        <f t="shared" si="9"/>
        <v>523.15</v>
      </c>
      <c r="G142">
        <f t="shared" si="10"/>
        <v>6.6666666666666679</v>
      </c>
    </row>
    <row r="143" spans="1:7" x14ac:dyDescent="0.35">
      <c r="A143">
        <v>21.305</v>
      </c>
      <c r="B143">
        <v>250</v>
      </c>
      <c r="C143">
        <v>115</v>
      </c>
      <c r="E143">
        <f t="shared" si="8"/>
        <v>2158729.125</v>
      </c>
      <c r="F143">
        <f t="shared" si="9"/>
        <v>523.15</v>
      </c>
      <c r="G143">
        <f t="shared" si="10"/>
        <v>8.6956521739130448</v>
      </c>
    </row>
    <row r="144" spans="1:7" x14ac:dyDescent="0.35">
      <c r="A144">
        <v>28.378</v>
      </c>
      <c r="B144">
        <v>250</v>
      </c>
      <c r="C144">
        <v>85.5</v>
      </c>
      <c r="E144">
        <f t="shared" si="8"/>
        <v>2875400.85</v>
      </c>
      <c r="F144">
        <f t="shared" si="9"/>
        <v>523.15</v>
      </c>
      <c r="G144">
        <f t="shared" si="10"/>
        <v>11.695906432748536</v>
      </c>
    </row>
    <row r="145" spans="1:7" x14ac:dyDescent="0.35">
      <c r="A145">
        <v>1.7470000000000001</v>
      </c>
      <c r="B145">
        <v>200</v>
      </c>
      <c r="C145">
        <v>1300</v>
      </c>
      <c r="E145">
        <f t="shared" si="8"/>
        <v>177014.77500000002</v>
      </c>
      <c r="F145">
        <f t="shared" si="9"/>
        <v>473.15</v>
      </c>
      <c r="G145">
        <f t="shared" si="10"/>
        <v>0.76923076923076927</v>
      </c>
    </row>
    <row r="146" spans="1:7" x14ac:dyDescent="0.35">
      <c r="A146">
        <v>4.5190000000000001</v>
      </c>
      <c r="B146">
        <v>200</v>
      </c>
      <c r="C146">
        <v>500</v>
      </c>
      <c r="E146">
        <f t="shared" si="8"/>
        <v>457887.67499999999</v>
      </c>
      <c r="F146">
        <f t="shared" si="9"/>
        <v>473.15</v>
      </c>
      <c r="G146">
        <f t="shared" si="10"/>
        <v>2</v>
      </c>
    </row>
    <row r="147" spans="1:7" x14ac:dyDescent="0.35">
      <c r="A147">
        <v>7.4889999999999999</v>
      </c>
      <c r="B147">
        <v>200</v>
      </c>
      <c r="C147">
        <v>300</v>
      </c>
      <c r="E147">
        <f t="shared" si="8"/>
        <v>758822.92499999993</v>
      </c>
      <c r="F147">
        <f t="shared" si="9"/>
        <v>473.15</v>
      </c>
      <c r="G147">
        <f t="shared" si="10"/>
        <v>3.3333333333333339</v>
      </c>
    </row>
    <row r="148" spans="1:7" x14ac:dyDescent="0.35">
      <c r="A148">
        <v>11.153</v>
      </c>
      <c r="B148">
        <v>200</v>
      </c>
      <c r="C148">
        <v>200</v>
      </c>
      <c r="E148">
        <f t="shared" si="8"/>
        <v>1130077.7250000001</v>
      </c>
      <c r="F148">
        <f t="shared" si="9"/>
        <v>473.15</v>
      </c>
      <c r="G148">
        <f t="shared" si="10"/>
        <v>5</v>
      </c>
    </row>
    <row r="149" spans="1:7" x14ac:dyDescent="0.35">
      <c r="A149">
        <v>14.766</v>
      </c>
      <c r="B149">
        <v>200</v>
      </c>
      <c r="C149">
        <v>150</v>
      </c>
      <c r="E149">
        <f t="shared" si="8"/>
        <v>1496164.95</v>
      </c>
      <c r="F149">
        <f t="shared" si="9"/>
        <v>473.15</v>
      </c>
      <c r="G149">
        <f t="shared" si="10"/>
        <v>6.6666666666666679</v>
      </c>
    </row>
    <row r="150" spans="1:7" x14ac:dyDescent="0.35">
      <c r="A150">
        <v>19.097999999999999</v>
      </c>
      <c r="B150">
        <v>200</v>
      </c>
      <c r="C150">
        <v>115</v>
      </c>
      <c r="E150">
        <f t="shared" si="8"/>
        <v>1935104.8499999999</v>
      </c>
      <c r="F150">
        <f t="shared" si="9"/>
        <v>473.15</v>
      </c>
      <c r="G150">
        <f t="shared" si="10"/>
        <v>8.6956521739130448</v>
      </c>
    </row>
    <row r="151" spans="1:7" x14ac:dyDescent="0.35">
      <c r="A151">
        <v>25.361000000000001</v>
      </c>
      <c r="B151">
        <v>200</v>
      </c>
      <c r="C151">
        <v>85.5</v>
      </c>
      <c r="E151">
        <f t="shared" si="8"/>
        <v>2569703.3250000002</v>
      </c>
      <c r="F151">
        <f t="shared" si="9"/>
        <v>473.15</v>
      </c>
      <c r="G151">
        <f t="shared" si="10"/>
        <v>11.695906432748536</v>
      </c>
    </row>
    <row r="152" spans="1:7" x14ac:dyDescent="0.35">
      <c r="A152">
        <v>1.5609999999999999</v>
      </c>
      <c r="B152">
        <v>150</v>
      </c>
      <c r="C152">
        <v>1300</v>
      </c>
      <c r="E152">
        <f t="shared" si="8"/>
        <v>158168.32499999998</v>
      </c>
      <c r="F152">
        <f t="shared" si="9"/>
        <v>423.15</v>
      </c>
      <c r="G152">
        <f t="shared" si="10"/>
        <v>0.76923076923076927</v>
      </c>
    </row>
    <row r="153" spans="1:7" x14ac:dyDescent="0.35">
      <c r="A153">
        <v>4.03</v>
      </c>
      <c r="B153">
        <v>150</v>
      </c>
      <c r="C153">
        <v>500</v>
      </c>
      <c r="E153">
        <f t="shared" si="8"/>
        <v>408339.75</v>
      </c>
      <c r="F153">
        <f t="shared" si="9"/>
        <v>423.15</v>
      </c>
      <c r="G153">
        <f t="shared" si="10"/>
        <v>2</v>
      </c>
    </row>
    <row r="154" spans="1:7" x14ac:dyDescent="0.35">
      <c r="A154">
        <v>6.6639999999999997</v>
      </c>
      <c r="B154">
        <v>150</v>
      </c>
      <c r="C154">
        <v>300</v>
      </c>
      <c r="E154">
        <f t="shared" si="8"/>
        <v>675229.79999999993</v>
      </c>
      <c r="F154">
        <f t="shared" si="9"/>
        <v>423.15</v>
      </c>
      <c r="G154">
        <f t="shared" si="10"/>
        <v>3.3333333333333339</v>
      </c>
    </row>
    <row r="155" spans="1:7" x14ac:dyDescent="0.35">
      <c r="A155">
        <v>9.9019999999999992</v>
      </c>
      <c r="B155">
        <v>150</v>
      </c>
      <c r="C155">
        <v>200</v>
      </c>
      <c r="E155">
        <f t="shared" si="8"/>
        <v>1003320.1499999999</v>
      </c>
      <c r="F155">
        <f t="shared" si="9"/>
        <v>423.15</v>
      </c>
      <c r="G155">
        <f t="shared" si="10"/>
        <v>5</v>
      </c>
    </row>
    <row r="156" spans="1:7" x14ac:dyDescent="0.35">
      <c r="A156">
        <v>13.074999999999999</v>
      </c>
      <c r="B156">
        <v>150</v>
      </c>
      <c r="C156">
        <v>150</v>
      </c>
      <c r="E156">
        <f t="shared" si="8"/>
        <v>1324824.375</v>
      </c>
      <c r="F156">
        <f t="shared" si="9"/>
        <v>423.15</v>
      </c>
      <c r="G156">
        <f t="shared" si="10"/>
        <v>6.6666666666666679</v>
      </c>
    </row>
    <row r="157" spans="1:7" x14ac:dyDescent="0.35">
      <c r="A157">
        <v>16.858000000000001</v>
      </c>
      <c r="B157">
        <v>150</v>
      </c>
      <c r="C157">
        <v>115</v>
      </c>
      <c r="E157">
        <f t="shared" si="8"/>
        <v>1708136.85</v>
      </c>
      <c r="F157">
        <f t="shared" si="9"/>
        <v>423.15</v>
      </c>
      <c r="G157">
        <f t="shared" si="10"/>
        <v>8.6956521739130448</v>
      </c>
    </row>
    <row r="158" spans="1:7" x14ac:dyDescent="0.35">
      <c r="A158">
        <v>22.285</v>
      </c>
      <c r="B158">
        <v>150</v>
      </c>
      <c r="C158">
        <v>85.5</v>
      </c>
      <c r="E158">
        <f t="shared" si="8"/>
        <v>2258027.625</v>
      </c>
      <c r="F158">
        <f t="shared" si="9"/>
        <v>423.15</v>
      </c>
      <c r="G158">
        <f t="shared" si="10"/>
        <v>11.695906432748536</v>
      </c>
    </row>
    <row r="159" spans="1:7" x14ac:dyDescent="0.35">
      <c r="A159">
        <v>1.3740000000000001</v>
      </c>
      <c r="B159">
        <v>100</v>
      </c>
      <c r="C159">
        <v>1300</v>
      </c>
      <c r="E159">
        <f t="shared" si="8"/>
        <v>139220.55000000002</v>
      </c>
      <c r="F159">
        <f t="shared" si="9"/>
        <v>373.15</v>
      </c>
      <c r="G159">
        <f t="shared" si="10"/>
        <v>0.76923076923076927</v>
      </c>
    </row>
    <row r="160" spans="1:7" x14ac:dyDescent="0.35">
      <c r="A160">
        <v>3.5369999999999999</v>
      </c>
      <c r="B160">
        <v>100</v>
      </c>
      <c r="C160">
        <v>500</v>
      </c>
      <c r="E160">
        <f t="shared" si="8"/>
        <v>358386.52499999997</v>
      </c>
      <c r="F160">
        <f t="shared" si="9"/>
        <v>373.15</v>
      </c>
      <c r="G160">
        <f t="shared" si="10"/>
        <v>2</v>
      </c>
    </row>
    <row r="161" spans="1:7" x14ac:dyDescent="0.35">
      <c r="A161">
        <v>5.8319999999999999</v>
      </c>
      <c r="B161">
        <v>100</v>
      </c>
      <c r="C161">
        <v>300</v>
      </c>
      <c r="E161">
        <f t="shared" si="8"/>
        <v>590927.4</v>
      </c>
      <c r="F161">
        <f t="shared" si="9"/>
        <v>373.15</v>
      </c>
      <c r="G161">
        <f t="shared" si="10"/>
        <v>3.3333333333333339</v>
      </c>
    </row>
    <row r="162" spans="1:7" x14ac:dyDescent="0.35">
      <c r="A162">
        <v>8.6319999999999997</v>
      </c>
      <c r="B162">
        <v>100</v>
      </c>
      <c r="C162">
        <v>200</v>
      </c>
      <c r="E162">
        <f t="shared" ref="E162:E189" si="11">A162*101325</f>
        <v>874637.4</v>
      </c>
      <c r="F162">
        <f t="shared" si="9"/>
        <v>373.15</v>
      </c>
      <c r="G162">
        <f t="shared" si="10"/>
        <v>5</v>
      </c>
    </row>
    <row r="163" spans="1:7" x14ac:dyDescent="0.35">
      <c r="A163">
        <v>11.352</v>
      </c>
      <c r="B163">
        <v>100</v>
      </c>
      <c r="C163">
        <v>150</v>
      </c>
      <c r="E163">
        <f t="shared" si="11"/>
        <v>1150241.4000000001</v>
      </c>
      <c r="F163">
        <f t="shared" si="9"/>
        <v>373.15</v>
      </c>
      <c r="G163">
        <f t="shared" si="10"/>
        <v>6.6666666666666679</v>
      </c>
    </row>
    <row r="164" spans="1:7" x14ac:dyDescent="0.35">
      <c r="A164">
        <v>14.567</v>
      </c>
      <c r="B164">
        <v>100</v>
      </c>
      <c r="C164">
        <v>115</v>
      </c>
      <c r="E164">
        <f t="shared" si="11"/>
        <v>1476001.2749999999</v>
      </c>
      <c r="F164">
        <f t="shared" si="9"/>
        <v>373.15</v>
      </c>
      <c r="G164">
        <f t="shared" si="10"/>
        <v>8.6956521739130448</v>
      </c>
    </row>
    <row r="165" spans="1:7" x14ac:dyDescent="0.35">
      <c r="A165">
        <v>19.109000000000002</v>
      </c>
      <c r="B165">
        <v>100</v>
      </c>
      <c r="C165">
        <v>85.5</v>
      </c>
      <c r="E165">
        <f t="shared" si="11"/>
        <v>1936219.4250000003</v>
      </c>
      <c r="F165">
        <f t="shared" si="9"/>
        <v>373.15</v>
      </c>
      <c r="G165">
        <f t="shared" si="10"/>
        <v>11.695906432748536</v>
      </c>
    </row>
    <row r="166" spans="1:7" x14ac:dyDescent="0.35">
      <c r="A166">
        <v>1.1870000000000001</v>
      </c>
      <c r="B166">
        <v>50</v>
      </c>
      <c r="C166">
        <v>1300</v>
      </c>
      <c r="E166">
        <f t="shared" si="11"/>
        <v>120272.77500000001</v>
      </c>
      <c r="F166">
        <f t="shared" si="9"/>
        <v>323.14999999999998</v>
      </c>
      <c r="G166">
        <f t="shared" si="10"/>
        <v>0.76923076923076927</v>
      </c>
    </row>
    <row r="167" spans="1:7" x14ac:dyDescent="0.35">
      <c r="A167">
        <v>3.0390000000000001</v>
      </c>
      <c r="B167">
        <v>50</v>
      </c>
      <c r="C167">
        <v>500</v>
      </c>
      <c r="E167">
        <f t="shared" si="11"/>
        <v>307926.67499999999</v>
      </c>
      <c r="F167">
        <f t="shared" si="9"/>
        <v>323.14999999999998</v>
      </c>
      <c r="G167">
        <f t="shared" si="10"/>
        <v>2</v>
      </c>
    </row>
    <row r="168" spans="1:7" x14ac:dyDescent="0.35">
      <c r="A168">
        <v>4.9850000000000003</v>
      </c>
      <c r="B168">
        <v>50</v>
      </c>
      <c r="C168">
        <v>300</v>
      </c>
      <c r="E168">
        <f t="shared" si="11"/>
        <v>505105.12500000006</v>
      </c>
      <c r="F168">
        <f t="shared" si="9"/>
        <v>323.14999999999998</v>
      </c>
      <c r="G168">
        <f t="shared" si="10"/>
        <v>3.3333333333333339</v>
      </c>
    </row>
    <row r="169" spans="1:7" x14ac:dyDescent="0.35">
      <c r="A169">
        <v>7.327</v>
      </c>
      <c r="B169">
        <v>50</v>
      </c>
      <c r="C169">
        <v>200</v>
      </c>
      <c r="E169">
        <f t="shared" si="11"/>
        <v>742408.27500000002</v>
      </c>
      <c r="F169">
        <f t="shared" si="9"/>
        <v>323.14999999999998</v>
      </c>
      <c r="G169">
        <f t="shared" si="10"/>
        <v>5</v>
      </c>
    </row>
    <row r="170" spans="1:7" x14ac:dyDescent="0.35">
      <c r="A170">
        <v>9.5670000000000002</v>
      </c>
      <c r="B170">
        <v>50</v>
      </c>
      <c r="C170">
        <v>150</v>
      </c>
      <c r="E170">
        <f t="shared" si="11"/>
        <v>969376.27500000002</v>
      </c>
      <c r="F170">
        <f t="shared" si="9"/>
        <v>323.14999999999998</v>
      </c>
      <c r="G170">
        <f t="shared" si="10"/>
        <v>6.6666666666666679</v>
      </c>
    </row>
    <row r="171" spans="1:7" x14ac:dyDescent="0.35">
      <c r="A171">
        <v>12.162000000000001</v>
      </c>
      <c r="B171">
        <v>50</v>
      </c>
      <c r="C171">
        <v>115</v>
      </c>
      <c r="E171">
        <f t="shared" si="11"/>
        <v>1232314.6500000001</v>
      </c>
      <c r="F171">
        <f t="shared" si="9"/>
        <v>323.14999999999998</v>
      </c>
      <c r="G171">
        <f t="shared" si="10"/>
        <v>8.6956521739130448</v>
      </c>
    </row>
    <row r="172" spans="1:7" x14ac:dyDescent="0.35">
      <c r="A172">
        <v>15.722</v>
      </c>
      <c r="B172">
        <v>50</v>
      </c>
      <c r="C172">
        <v>85.5</v>
      </c>
      <c r="E172">
        <f t="shared" si="11"/>
        <v>1593031.65</v>
      </c>
      <c r="F172">
        <f t="shared" si="9"/>
        <v>323.14999999999998</v>
      </c>
      <c r="G172">
        <f t="shared" si="10"/>
        <v>11.695906432748536</v>
      </c>
    </row>
    <row r="173" spans="1:7" x14ac:dyDescent="0.35">
      <c r="A173">
        <v>11.391</v>
      </c>
      <c r="B173">
        <v>35</v>
      </c>
      <c r="C173">
        <v>115</v>
      </c>
      <c r="E173">
        <f t="shared" si="11"/>
        <v>1154193.075</v>
      </c>
      <c r="F173">
        <f t="shared" si="9"/>
        <v>308.14999999999998</v>
      </c>
      <c r="G173">
        <f t="shared" si="10"/>
        <v>8.6956521739130448</v>
      </c>
    </row>
    <row r="174" spans="1:7" x14ac:dyDescent="0.35">
      <c r="A174">
        <v>8.8119999999999994</v>
      </c>
      <c r="B174">
        <v>30</v>
      </c>
      <c r="C174">
        <v>150</v>
      </c>
      <c r="E174">
        <f t="shared" si="11"/>
        <v>892875.89999999991</v>
      </c>
      <c r="F174">
        <f t="shared" si="9"/>
        <v>303.14999999999998</v>
      </c>
      <c r="G174">
        <f t="shared" si="10"/>
        <v>6.6666666666666679</v>
      </c>
    </row>
    <row r="175" spans="1:7" x14ac:dyDescent="0.35">
      <c r="A175">
        <v>11.129</v>
      </c>
      <c r="B175">
        <v>30</v>
      </c>
      <c r="C175">
        <v>115</v>
      </c>
      <c r="E175">
        <f t="shared" si="11"/>
        <v>1127645.925</v>
      </c>
      <c r="F175">
        <f t="shared" si="9"/>
        <v>303.14999999999998</v>
      </c>
      <c r="G175">
        <f t="shared" si="10"/>
        <v>8.6956521739130448</v>
      </c>
    </row>
    <row r="176" spans="1:7" x14ac:dyDescent="0.35">
      <c r="A176">
        <v>1.0920000000000001</v>
      </c>
      <c r="B176">
        <v>25</v>
      </c>
      <c r="C176">
        <v>1300</v>
      </c>
      <c r="E176">
        <f t="shared" si="11"/>
        <v>110646.90000000001</v>
      </c>
      <c r="F176">
        <f t="shared" si="9"/>
        <v>298.14999999999998</v>
      </c>
      <c r="G176">
        <f t="shared" si="10"/>
        <v>0.76923076923076927</v>
      </c>
    </row>
    <row r="177" spans="1:7" x14ac:dyDescent="0.35">
      <c r="A177">
        <v>2.786</v>
      </c>
      <c r="B177">
        <v>25</v>
      </c>
      <c r="C177">
        <v>500</v>
      </c>
      <c r="E177">
        <f t="shared" si="11"/>
        <v>282291.45</v>
      </c>
      <c r="F177">
        <f t="shared" si="9"/>
        <v>298.14999999999998</v>
      </c>
      <c r="G177">
        <f t="shared" si="10"/>
        <v>2</v>
      </c>
    </row>
    <row r="178" spans="1:7" x14ac:dyDescent="0.35">
      <c r="A178">
        <v>4.5490000000000004</v>
      </c>
      <c r="B178">
        <v>25</v>
      </c>
      <c r="C178">
        <v>300</v>
      </c>
      <c r="E178">
        <f t="shared" si="11"/>
        <v>460927.42500000005</v>
      </c>
      <c r="F178">
        <f t="shared" si="9"/>
        <v>298.14999999999998</v>
      </c>
      <c r="G178">
        <f t="shared" si="10"/>
        <v>3.3333333333333339</v>
      </c>
    </row>
    <row r="179" spans="1:7" x14ac:dyDescent="0.35">
      <c r="A179">
        <v>6.6449999999999996</v>
      </c>
      <c r="B179">
        <v>25</v>
      </c>
      <c r="C179">
        <v>200</v>
      </c>
      <c r="E179">
        <f t="shared" si="11"/>
        <v>673304.625</v>
      </c>
      <c r="F179">
        <f t="shared" si="9"/>
        <v>298.14999999999998</v>
      </c>
      <c r="G179">
        <f t="shared" si="10"/>
        <v>5</v>
      </c>
    </row>
    <row r="180" spans="1:7" x14ac:dyDescent="0.35">
      <c r="A180">
        <v>8.6180000000000003</v>
      </c>
      <c r="B180">
        <v>25</v>
      </c>
      <c r="C180">
        <v>150</v>
      </c>
      <c r="E180">
        <f t="shared" si="11"/>
        <v>873218.85</v>
      </c>
      <c r="F180">
        <f t="shared" si="9"/>
        <v>298.14999999999998</v>
      </c>
      <c r="G180">
        <f t="shared" si="10"/>
        <v>6.6666666666666679</v>
      </c>
    </row>
    <row r="181" spans="1:7" x14ac:dyDescent="0.35">
      <c r="A181">
        <v>6.3609999999999998</v>
      </c>
      <c r="B181">
        <v>15</v>
      </c>
      <c r="C181">
        <v>200</v>
      </c>
      <c r="E181">
        <f t="shared" si="11"/>
        <v>644528.32499999995</v>
      </c>
      <c r="F181">
        <f t="shared" si="9"/>
        <v>288.14999999999998</v>
      </c>
      <c r="G181">
        <f t="shared" si="10"/>
        <v>5</v>
      </c>
    </row>
    <row r="182" spans="1:7" x14ac:dyDescent="0.35">
      <c r="A182">
        <v>4.2789999999999999</v>
      </c>
      <c r="B182">
        <v>10</v>
      </c>
      <c r="C182">
        <v>300</v>
      </c>
      <c r="E182">
        <f t="shared" si="11"/>
        <v>433569.67499999999</v>
      </c>
      <c r="F182">
        <f t="shared" si="9"/>
        <v>283.14999999999998</v>
      </c>
      <c r="G182">
        <f t="shared" si="10"/>
        <v>3.3333333333333339</v>
      </c>
    </row>
    <row r="183" spans="1:7" x14ac:dyDescent="0.35">
      <c r="A183">
        <v>4.1879999999999997</v>
      </c>
      <c r="B183">
        <v>5</v>
      </c>
      <c r="C183">
        <v>300</v>
      </c>
      <c r="E183">
        <f t="shared" si="11"/>
        <v>424349.1</v>
      </c>
      <c r="F183">
        <f t="shared" si="9"/>
        <v>278.14999999999998</v>
      </c>
      <c r="G183">
        <f t="shared" si="10"/>
        <v>3.3333333333333339</v>
      </c>
    </row>
    <row r="184" spans="1:7" x14ac:dyDescent="0.35">
      <c r="A184">
        <v>0.997</v>
      </c>
      <c r="B184">
        <v>0</v>
      </c>
      <c r="C184">
        <v>1300</v>
      </c>
      <c r="E184">
        <f t="shared" si="11"/>
        <v>101021.02499999999</v>
      </c>
      <c r="F184">
        <f t="shared" si="9"/>
        <v>273.14999999999998</v>
      </c>
      <c r="G184">
        <f t="shared" si="10"/>
        <v>0.76923076923076927</v>
      </c>
    </row>
    <row r="185" spans="1:7" x14ac:dyDescent="0.35">
      <c r="A185">
        <v>2.528</v>
      </c>
      <c r="B185">
        <v>0</v>
      </c>
      <c r="C185">
        <v>500</v>
      </c>
      <c r="E185">
        <f t="shared" si="11"/>
        <v>256149.6</v>
      </c>
      <c r="F185">
        <f t="shared" si="9"/>
        <v>273.14999999999998</v>
      </c>
      <c r="G185">
        <f t="shared" si="10"/>
        <v>2</v>
      </c>
    </row>
    <row r="186" spans="1:7" x14ac:dyDescent="0.35">
      <c r="A186">
        <v>2.4209999999999998</v>
      </c>
      <c r="B186">
        <v>-10</v>
      </c>
      <c r="C186">
        <v>500</v>
      </c>
      <c r="E186">
        <f t="shared" si="11"/>
        <v>245307.82499999998</v>
      </c>
      <c r="F186">
        <f t="shared" si="9"/>
        <v>263.14999999999998</v>
      </c>
      <c r="G186">
        <f t="shared" si="10"/>
        <v>2</v>
      </c>
    </row>
    <row r="187" spans="1:7" x14ac:dyDescent="0.35">
      <c r="A187">
        <v>0.92100000000000004</v>
      </c>
      <c r="B187">
        <v>-20</v>
      </c>
      <c r="C187">
        <v>1300</v>
      </c>
      <c r="E187">
        <f t="shared" si="11"/>
        <v>93320.324999999997</v>
      </c>
      <c r="F187">
        <f t="shared" si="9"/>
        <v>253.14999999999998</v>
      </c>
      <c r="G187">
        <f t="shared" si="10"/>
        <v>0.76923076923076927</v>
      </c>
    </row>
    <row r="188" spans="1:7" x14ac:dyDescent="0.35">
      <c r="A188">
        <v>0.88200000000000001</v>
      </c>
      <c r="B188">
        <v>-30</v>
      </c>
      <c r="C188">
        <v>1300</v>
      </c>
      <c r="E188">
        <f t="shared" si="11"/>
        <v>89368.65</v>
      </c>
      <c r="F188">
        <f t="shared" si="9"/>
        <v>243.14999999999998</v>
      </c>
      <c r="G188">
        <f t="shared" si="10"/>
        <v>0.76923076923076927</v>
      </c>
    </row>
    <row r="189" spans="1:7" x14ac:dyDescent="0.35">
      <c r="A189">
        <v>0.86499999999999999</v>
      </c>
      <c r="B189">
        <v>-35</v>
      </c>
      <c r="C189">
        <v>1300</v>
      </c>
      <c r="E189">
        <f t="shared" si="11"/>
        <v>87646.125</v>
      </c>
      <c r="F189">
        <f t="shared" si="9"/>
        <v>238.14999999999998</v>
      </c>
      <c r="G189">
        <f t="shared" si="10"/>
        <v>0.76923076923076927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Sheet1</vt:lpstr>
      <vt:lpstr>0377 table 1</vt:lpstr>
      <vt:lpstr>0376 page 464</vt:lpstr>
      <vt:lpstr>0374 table 5</vt:lpstr>
      <vt:lpstr>0373 table 4</vt:lpstr>
      <vt:lpstr>0372 table 1</vt:lpstr>
      <vt:lpstr>0371 table 2</vt:lpstr>
      <vt:lpstr>0370 table 2</vt:lpstr>
      <vt:lpstr>0369</vt:lpstr>
      <vt:lpstr>0368 table 1</vt:lpstr>
      <vt:lpstr>0367 table 1</vt:lpstr>
      <vt:lpstr>0365 table 1</vt:lpstr>
      <vt:lpstr>0364 table 1</vt:lpstr>
      <vt:lpstr>0363 table 2</vt:lpstr>
      <vt:lpstr>0363 table1</vt:lpstr>
      <vt:lpstr>0362 table 2</vt:lpstr>
      <vt:lpstr>0361 table 2</vt:lpstr>
      <vt:lpstr>0360 table 4</vt:lpstr>
      <vt:lpstr>0360 table 3</vt:lpstr>
      <vt:lpstr>359 table 1</vt:lpstr>
      <vt:lpstr>0358 table 5</vt:lpstr>
      <vt:lpstr>0358 table 2</vt:lpstr>
      <vt:lpstr>0358 table 1</vt:lpstr>
      <vt:lpstr>0357 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Nunes, Catarina</dc:creator>
  <cp:lastModifiedBy>Duarte Nunes, Catarina</cp:lastModifiedBy>
  <dcterms:created xsi:type="dcterms:W3CDTF">2015-06-05T18:17:20Z</dcterms:created>
  <dcterms:modified xsi:type="dcterms:W3CDTF">2024-08-02T12:31:06Z</dcterms:modified>
</cp:coreProperties>
</file>