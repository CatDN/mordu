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cd318_ic_ac_uk/Documents/UNI/PhD/Code/dataframes/"/>
    </mc:Choice>
  </mc:AlternateContent>
  <xr:revisionPtr revIDLastSave="656" documentId="11_F25DC773A252ABDACC1048DB095B7B685ADE58F5" xr6:coauthVersionLast="47" xr6:coauthVersionMax="47" xr10:uidLastSave="{1A68BF90-3C4F-461A-AD17-82838BBAFE77}"/>
  <bookViews>
    <workbookView xWindow="3300" yWindow="1815" windowWidth="21600" windowHeight="13410" activeTab="4" xr2:uid="{00000000-000D-0000-FFFF-FFFF00000000}"/>
  </bookViews>
  <sheets>
    <sheet name="Sheet1" sheetId="1" r:id="rId1"/>
    <sheet name="0357" sheetId="3" r:id="rId2"/>
    <sheet name="0358" sheetId="7" r:id="rId3"/>
    <sheet name="0359" sheetId="8" r:id="rId4"/>
    <sheet name="0376" sheetId="9" r:id="rId5"/>
    <sheet name="0385" sheetId="2" r:id="rId6"/>
    <sheet name="0386" sheetId="4" r:id="rId7"/>
    <sheet name="0388" sheetId="5" r:id="rId8"/>
    <sheet name="0389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E43" i="1" s="1"/>
  <c r="I19" i="9"/>
  <c r="I20" i="9"/>
  <c r="I21" i="9"/>
  <c r="I22" i="9"/>
  <c r="I23" i="9"/>
  <c r="I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" i="9"/>
  <c r="I3" i="8"/>
  <c r="I4" i="8"/>
  <c r="I5" i="8"/>
  <c r="I6" i="8"/>
  <c r="I7" i="8"/>
  <c r="I2" i="8"/>
  <c r="H3" i="8"/>
  <c r="H4" i="8"/>
  <c r="H5" i="8"/>
  <c r="H6" i="8"/>
  <c r="H7" i="8"/>
  <c r="H2" i="8"/>
  <c r="G3" i="7"/>
  <c r="G4" i="7"/>
  <c r="G5" i="7"/>
  <c r="G6" i="7"/>
  <c r="G2" i="7"/>
  <c r="B21" i="1"/>
  <c r="C21" i="1"/>
  <c r="B22" i="1"/>
  <c r="C22" i="1"/>
  <c r="B23" i="1"/>
  <c r="C23" i="1"/>
  <c r="B24" i="1"/>
  <c r="C24" i="1"/>
  <c r="B25" i="1"/>
  <c r="C25" i="1"/>
  <c r="B26" i="1"/>
  <c r="C26" i="1"/>
  <c r="F3" i="8"/>
  <c r="G3" i="8"/>
  <c r="F4" i="8"/>
  <c r="G4" i="8"/>
  <c r="F5" i="8"/>
  <c r="G5" i="8"/>
  <c r="F6" i="8"/>
  <c r="G6" i="8"/>
  <c r="F7" i="8"/>
  <c r="G7" i="8"/>
  <c r="G2" i="8"/>
  <c r="F2" i="8"/>
  <c r="B20" i="1"/>
  <c r="C20" i="1"/>
  <c r="F3" i="7"/>
  <c r="C17" i="1" s="1"/>
  <c r="F4" i="7"/>
  <c r="C18" i="1" s="1"/>
  <c r="F5" i="7"/>
  <c r="C19" i="1" s="1"/>
  <c r="F6" i="7"/>
  <c r="E6" i="7"/>
  <c r="E3" i="7"/>
  <c r="B17" i="1" s="1"/>
  <c r="E4" i="7"/>
  <c r="B18" i="1" s="1"/>
  <c r="E5" i="7"/>
  <c r="B19" i="1" s="1"/>
  <c r="F2" i="7"/>
  <c r="C16" i="1" s="1"/>
  <c r="E2" i="7"/>
  <c r="B16" i="1" s="1"/>
  <c r="A100" i="6"/>
  <c r="A11" i="6"/>
  <c r="E11" i="6" s="1"/>
  <c r="C122" i="1" s="1"/>
  <c r="E3" i="4"/>
  <c r="E4" i="4"/>
  <c r="E5" i="4"/>
  <c r="E6" i="4"/>
  <c r="E7" i="4"/>
  <c r="E8" i="4"/>
  <c r="E9" i="4"/>
  <c r="E10" i="4"/>
  <c r="C73" i="1" s="1"/>
  <c r="E11" i="4"/>
  <c r="E12" i="4"/>
  <c r="E13" i="4"/>
  <c r="E14" i="4"/>
  <c r="E15" i="4"/>
  <c r="E16" i="4"/>
  <c r="E17" i="4"/>
  <c r="E18" i="4"/>
  <c r="C81" i="1" s="1"/>
  <c r="E2" i="4"/>
  <c r="C65" i="1" s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B123" i="1"/>
  <c r="C123" i="1"/>
  <c r="B124" i="1"/>
  <c r="C124" i="1"/>
  <c r="B125" i="1"/>
  <c r="B126" i="1"/>
  <c r="C126" i="1"/>
  <c r="B127" i="1"/>
  <c r="C127" i="1"/>
  <c r="B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E3" i="6"/>
  <c r="E4" i="6"/>
  <c r="E5" i="6"/>
  <c r="E6" i="6"/>
  <c r="E7" i="6"/>
  <c r="E8" i="6"/>
  <c r="E9" i="6"/>
  <c r="E10" i="6"/>
  <c r="E12" i="6"/>
  <c r="E13" i="6"/>
  <c r="E14" i="6"/>
  <c r="C125" i="1" s="1"/>
  <c r="E15" i="6"/>
  <c r="E16" i="6"/>
  <c r="E17" i="6"/>
  <c r="C128" i="1" s="1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C158" i="1" s="1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C226" i="1" s="1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2" i="6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2" i="5"/>
  <c r="B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2" i="4"/>
  <c r="B2" i="1"/>
  <c r="C2" i="1"/>
  <c r="B3" i="1"/>
  <c r="C3" i="1"/>
  <c r="B4" i="1"/>
  <c r="C4" i="1"/>
  <c r="B5" i="1"/>
  <c r="C5" i="1"/>
  <c r="B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E3" i="3"/>
  <c r="E4" i="3"/>
  <c r="E5" i="3"/>
  <c r="E6" i="3"/>
  <c r="C6" i="1" s="1"/>
  <c r="E7" i="3"/>
  <c r="E8" i="3"/>
  <c r="E9" i="3"/>
  <c r="E10" i="3"/>
  <c r="E11" i="3"/>
  <c r="E12" i="3"/>
  <c r="E13" i="3"/>
  <c r="E14" i="3"/>
  <c r="E15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2" i="3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2" i="2"/>
</calcChain>
</file>

<file path=xl/sharedStrings.xml><?xml version="1.0" encoding="utf-8"?>
<sst xmlns="http://schemas.openxmlformats.org/spreadsheetml/2006/main" count="523" uniqueCount="22">
  <si>
    <t>P</t>
  </si>
  <si>
    <t>T</t>
  </si>
  <si>
    <t>P(Mpa)</t>
  </si>
  <si>
    <t>T(K)</t>
  </si>
  <si>
    <t>P(atm)</t>
  </si>
  <si>
    <t>T©</t>
  </si>
  <si>
    <t>P(mmHg)</t>
  </si>
  <si>
    <t>P*(kPa)</t>
  </si>
  <si>
    <t>Pdelta(kPa)</t>
  </si>
  <si>
    <t>Paper</t>
  </si>
  <si>
    <t>P(kPa)</t>
  </si>
  <si>
    <t>Z</t>
  </si>
  <si>
    <t>rho_v</t>
  </si>
  <si>
    <t>R_NH3</t>
  </si>
  <si>
    <t>rho_l</t>
  </si>
  <si>
    <t>nan</t>
  </si>
  <si>
    <t>1/Vg(mol/L)</t>
  </si>
  <si>
    <t>1/Vl(mol/L)</t>
  </si>
  <si>
    <t>M_NH3</t>
  </si>
  <si>
    <t>v'(cm3/g)</t>
  </si>
  <si>
    <t>v''(cm3/g)</t>
  </si>
  <si>
    <t>P(bar)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</si>
</sst>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2"/>
  <sheetViews>
    <sheetView topLeftCell="A20" workbookViewId="0">
      <selection activeCell="G33" sqref="G33"/>
    </sheetView>
  </sheetViews>
  <sheetFormatPr defaultRowHeight="15" x14ac:dyDescent="0.25"/>
  <sheetData>
    <row r="1" spans="1:5" x14ac:dyDescent="0.25">
      <c r="A1" t="s">
        <v>9</v>
      </c>
      <c r="B1" t="s">
        <v>0</v>
      </c>
      <c r="C1" t="s">
        <v>1</v>
      </c>
      <c r="D1" t="s">
        <v>12</v>
      </c>
      <c r="E1" t="s">
        <v>14</v>
      </c>
    </row>
    <row r="2" spans="1:5" x14ac:dyDescent="0.25">
      <c r="A2">
        <v>357</v>
      </c>
      <c r="B2">
        <f>'0357'!D2</f>
        <v>1166757.375</v>
      </c>
      <c r="C2">
        <f>'0357'!E2</f>
        <v>303.14999999999998</v>
      </c>
      <c r="D2" t="str">
        <f>'0357'!F2</f>
        <v>nan</v>
      </c>
      <c r="E2" t="str">
        <f>'0357'!G2</f>
        <v>nan</v>
      </c>
    </row>
    <row r="3" spans="1:5" x14ac:dyDescent="0.25">
      <c r="A3">
        <v>357</v>
      </c>
      <c r="B3">
        <f>'0357'!D3</f>
        <v>1554629.4750000001</v>
      </c>
      <c r="C3">
        <f>'0357'!E3</f>
        <v>313.14999999999998</v>
      </c>
      <c r="D3" t="str">
        <f>'0357'!F3</f>
        <v>nan</v>
      </c>
      <c r="E3" t="str">
        <f>'0357'!G3</f>
        <v>nan</v>
      </c>
    </row>
    <row r="4" spans="1:5" x14ac:dyDescent="0.25">
      <c r="A4">
        <v>357</v>
      </c>
      <c r="B4">
        <f>'0357'!D4</f>
        <v>2033998.0500000003</v>
      </c>
      <c r="C4">
        <f>'0357'!E4</f>
        <v>323.14999999999998</v>
      </c>
      <c r="D4" t="str">
        <f>'0357'!F4</f>
        <v>nan</v>
      </c>
      <c r="E4" t="str">
        <f>'0357'!G4</f>
        <v>nan</v>
      </c>
    </row>
    <row r="5" spans="1:5" x14ac:dyDescent="0.25">
      <c r="A5">
        <v>357</v>
      </c>
      <c r="B5">
        <f>'0357'!D5</f>
        <v>2615704.875</v>
      </c>
      <c r="C5">
        <f>'0357'!E5</f>
        <v>333.15</v>
      </c>
      <c r="D5" t="str">
        <f>'0357'!F5</f>
        <v>nan</v>
      </c>
      <c r="E5" t="str">
        <f>'0357'!G5</f>
        <v>nan</v>
      </c>
    </row>
    <row r="6" spans="1:5" x14ac:dyDescent="0.25">
      <c r="A6">
        <v>357</v>
      </c>
      <c r="B6">
        <f>'0357'!D6</f>
        <v>3315050.0249999999</v>
      </c>
      <c r="C6">
        <f>'0357'!E6</f>
        <v>343.15</v>
      </c>
      <c r="D6" t="str">
        <f>'0357'!F6</f>
        <v>nan</v>
      </c>
      <c r="E6" t="str">
        <f>'0357'!G6</f>
        <v>nan</v>
      </c>
    </row>
    <row r="7" spans="1:5" x14ac:dyDescent="0.25">
      <c r="A7">
        <v>357</v>
      </c>
      <c r="B7">
        <f>'0357'!D7</f>
        <v>4143584.55</v>
      </c>
      <c r="C7">
        <f>'0357'!E7</f>
        <v>353.15</v>
      </c>
      <c r="D7" t="str">
        <f>'0357'!F7</f>
        <v>nan</v>
      </c>
      <c r="E7" t="str">
        <f>'0357'!G7</f>
        <v>nan</v>
      </c>
    </row>
    <row r="8" spans="1:5" x14ac:dyDescent="0.25">
      <c r="A8">
        <v>357</v>
      </c>
      <c r="B8">
        <f>'0357'!D8</f>
        <v>5119546.95</v>
      </c>
      <c r="C8">
        <f>'0357'!E8</f>
        <v>363.15</v>
      </c>
      <c r="D8" t="str">
        <f>'0357'!F8</f>
        <v>nan</v>
      </c>
      <c r="E8" t="str">
        <f>'0357'!G8</f>
        <v>nan</v>
      </c>
    </row>
    <row r="9" spans="1:5" x14ac:dyDescent="0.25">
      <c r="A9">
        <v>357</v>
      </c>
      <c r="B9">
        <f>'0357'!D9</f>
        <v>6259757.1750000007</v>
      </c>
      <c r="C9">
        <f>'0357'!E9</f>
        <v>373.15</v>
      </c>
      <c r="D9" t="str">
        <f>'0357'!F9</f>
        <v>nan</v>
      </c>
      <c r="E9" t="str">
        <f>'0357'!G9</f>
        <v>nan</v>
      </c>
    </row>
    <row r="10" spans="1:5" x14ac:dyDescent="0.25">
      <c r="A10">
        <v>357</v>
      </c>
      <c r="B10">
        <f>'0357'!D10</f>
        <v>7582149.75</v>
      </c>
      <c r="C10">
        <f>'0357'!E10</f>
        <v>383.15</v>
      </c>
      <c r="D10" t="str">
        <f>'0357'!F10</f>
        <v>nan</v>
      </c>
      <c r="E10" t="str">
        <f>'0357'!G10</f>
        <v>nan</v>
      </c>
    </row>
    <row r="11" spans="1:5" x14ac:dyDescent="0.25">
      <c r="A11">
        <v>357</v>
      </c>
      <c r="B11">
        <f>'0357'!D11</f>
        <v>9117223.5</v>
      </c>
      <c r="C11">
        <f>'0357'!E11</f>
        <v>393.15</v>
      </c>
      <c r="D11" t="str">
        <f>'0357'!F11</f>
        <v>nan</v>
      </c>
      <c r="E11" t="str">
        <f>'0357'!G11</f>
        <v>nan</v>
      </c>
    </row>
    <row r="12" spans="1:5" x14ac:dyDescent="0.25">
      <c r="A12">
        <v>357</v>
      </c>
      <c r="B12">
        <f>'0357'!D12</f>
        <v>9975446.25</v>
      </c>
      <c r="C12">
        <f>'0357'!E12</f>
        <v>398.15</v>
      </c>
      <c r="D12" t="str">
        <f>'0357'!F12</f>
        <v>nan</v>
      </c>
      <c r="E12" t="str">
        <f>'0357'!G12</f>
        <v>nan</v>
      </c>
    </row>
    <row r="13" spans="1:5" x14ac:dyDescent="0.25">
      <c r="A13">
        <v>357</v>
      </c>
      <c r="B13">
        <f>'0357'!D13</f>
        <v>10902570</v>
      </c>
      <c r="C13">
        <f>'0357'!E13</f>
        <v>403.15</v>
      </c>
      <c r="D13" t="str">
        <f>'0357'!F13</f>
        <v>nan</v>
      </c>
      <c r="E13" t="str">
        <f>'0357'!G13</f>
        <v>nan</v>
      </c>
    </row>
    <row r="14" spans="1:5" x14ac:dyDescent="0.25">
      <c r="A14">
        <v>357</v>
      </c>
      <c r="B14">
        <f>'0357'!D14</f>
        <v>11105220</v>
      </c>
      <c r="C14">
        <f>'0357'!E14</f>
        <v>404.15</v>
      </c>
      <c r="D14" t="str">
        <f>'0357'!F14</f>
        <v>nan</v>
      </c>
      <c r="E14" t="str">
        <f>'0357'!G14</f>
        <v>nan</v>
      </c>
    </row>
    <row r="15" spans="1:5" x14ac:dyDescent="0.25">
      <c r="A15">
        <v>357</v>
      </c>
      <c r="B15">
        <f>'0357'!D15</f>
        <v>11297737.5</v>
      </c>
      <c r="C15">
        <f>'0357'!E15</f>
        <v>405.15</v>
      </c>
      <c r="D15" t="str">
        <f>'0357'!F15</f>
        <v>nan</v>
      </c>
      <c r="E15" t="str">
        <f>'0357'!G15</f>
        <v>nan</v>
      </c>
    </row>
    <row r="16" spans="1:5" x14ac:dyDescent="0.25">
      <c r="A16">
        <v>358</v>
      </c>
      <c r="B16">
        <f>'0358'!E2</f>
        <v>1011223.5</v>
      </c>
      <c r="C16">
        <f>'0358'!F2</f>
        <v>298.14999999999998</v>
      </c>
      <c r="D16">
        <f>'0358'!G2</f>
        <v>600.96297960920992</v>
      </c>
      <c r="E16" t="str">
        <f>'0358'!H2</f>
        <v>nan</v>
      </c>
    </row>
    <row r="17" spans="1:5" x14ac:dyDescent="0.25">
      <c r="A17">
        <v>358</v>
      </c>
      <c r="B17">
        <f>'0358'!E3</f>
        <v>2031566.25</v>
      </c>
      <c r="C17">
        <f>'0358'!F3</f>
        <v>323.14999999999998</v>
      </c>
      <c r="D17">
        <f>'0358'!G3</f>
        <v>561.83065189524007</v>
      </c>
      <c r="E17" t="str">
        <f>'0358'!H3</f>
        <v>nan</v>
      </c>
    </row>
    <row r="18" spans="1:5" x14ac:dyDescent="0.25">
      <c r="A18">
        <v>358</v>
      </c>
      <c r="B18">
        <f>'0358'!E4</f>
        <v>3706468.5</v>
      </c>
      <c r="C18">
        <f>'0358'!F4</f>
        <v>348.15</v>
      </c>
      <c r="D18">
        <f>'0358'!G4</f>
        <v>516.3759966312158</v>
      </c>
      <c r="E18" t="str">
        <f>'0358'!H4</f>
        <v>nan</v>
      </c>
    </row>
    <row r="19" spans="1:5" x14ac:dyDescent="0.25">
      <c r="A19">
        <v>358</v>
      </c>
      <c r="B19">
        <f>'0358'!E5</f>
        <v>6246686.25</v>
      </c>
      <c r="C19">
        <f>'0358'!F5</f>
        <v>373.15</v>
      </c>
      <c r="D19">
        <f>'0358'!G5</f>
        <v>456.7044013595127</v>
      </c>
      <c r="E19" t="str">
        <f>'0358'!H5</f>
        <v>nan</v>
      </c>
    </row>
    <row r="20" spans="1:5" x14ac:dyDescent="0.25">
      <c r="A20">
        <v>358</v>
      </c>
      <c r="B20">
        <f>'0358'!E6</f>
        <v>9945048.75</v>
      </c>
      <c r="C20">
        <f>'0358'!F6</f>
        <v>398.15</v>
      </c>
      <c r="D20">
        <f>'0358'!G6</f>
        <v>357.53105968449927</v>
      </c>
      <c r="E20" t="str">
        <f>'0358'!H6</f>
        <v>nan</v>
      </c>
    </row>
    <row r="21" spans="1:5" x14ac:dyDescent="0.25">
      <c r="A21">
        <v>359</v>
      </c>
      <c r="B21">
        <f>'0359'!F2</f>
        <v>6246686.25</v>
      </c>
      <c r="C21">
        <f>'0359'!G2</f>
        <v>373.15</v>
      </c>
      <c r="D21">
        <f>'0359'!H2</f>
        <v>56.200649999999996</v>
      </c>
      <c r="E21">
        <f>'0359'!I2</f>
        <v>456.58770500000003</v>
      </c>
    </row>
    <row r="22" spans="1:5" x14ac:dyDescent="0.25">
      <c r="A22">
        <v>359</v>
      </c>
      <c r="B22">
        <f>'0359'!F3</f>
        <v>9945048.75</v>
      </c>
      <c r="C22">
        <f>'0359'!G3</f>
        <v>398.15</v>
      </c>
      <c r="D22">
        <f>'0359'!H3</f>
        <v>125.00386999999999</v>
      </c>
      <c r="E22">
        <f>'0359'!I3</f>
        <v>357.64050000000003</v>
      </c>
    </row>
    <row r="23" spans="1:5" x14ac:dyDescent="0.25">
      <c r="A23">
        <v>359</v>
      </c>
      <c r="B23">
        <f>'0359'!F4</f>
        <v>11060637</v>
      </c>
      <c r="C23">
        <f>'0359'!G4</f>
        <v>404.2</v>
      </c>
      <c r="D23">
        <f>'0359'!H4</f>
        <v>184.61062000000001</v>
      </c>
      <c r="E23">
        <f>'0359'!I4</f>
        <v>292.07307499999996</v>
      </c>
    </row>
    <row r="24" spans="1:5" x14ac:dyDescent="0.25">
      <c r="A24">
        <v>359</v>
      </c>
      <c r="B24">
        <f>'0359'!F5</f>
        <v>11154869.25</v>
      </c>
      <c r="C24">
        <f>'0359'!G5</f>
        <v>404.68999999999994</v>
      </c>
      <c r="D24">
        <f>'0359'!H5</f>
        <v>192.78526000000002</v>
      </c>
      <c r="E24">
        <f>'0359'!I5</f>
        <v>280.49233499999997</v>
      </c>
    </row>
    <row r="25" spans="1:5" x14ac:dyDescent="0.25">
      <c r="A25">
        <v>359</v>
      </c>
      <c r="B25">
        <f>'0359'!F6</f>
        <v>11253154.5</v>
      </c>
      <c r="C25">
        <f>'0359'!G6</f>
        <v>405.18999999999994</v>
      </c>
      <c r="D25">
        <f>'0359'!H6</f>
        <v>205.72844000000001</v>
      </c>
      <c r="E25">
        <f>'0359'!I6</f>
        <v>267.54915500000004</v>
      </c>
    </row>
    <row r="26" spans="1:5" x14ac:dyDescent="0.25">
      <c r="A26">
        <v>359</v>
      </c>
      <c r="B26">
        <f>'0359'!F7</f>
        <v>11302803.75</v>
      </c>
      <c r="C26">
        <f>'0359'!G7</f>
        <v>405.4</v>
      </c>
      <c r="D26">
        <f>'0359'!H7</f>
        <v>218.16070500000001</v>
      </c>
      <c r="E26">
        <f>'0359'!I7</f>
        <v>252.73262000000003</v>
      </c>
    </row>
    <row r="27" spans="1:5" x14ac:dyDescent="0.25">
      <c r="A27">
        <v>376</v>
      </c>
      <c r="B27">
        <f>'0376'!F2</f>
        <v>8666</v>
      </c>
      <c r="C27">
        <f>'0376'!G2</f>
        <v>200</v>
      </c>
      <c r="D27">
        <f>'0376'!H2</f>
        <v>8.9766606822262132E-2</v>
      </c>
      <c r="E27">
        <f>'0376'!I2</f>
        <v>728.86297376093296</v>
      </c>
    </row>
    <row r="28" spans="1:5" x14ac:dyDescent="0.25">
      <c r="A28">
        <v>376</v>
      </c>
      <c r="B28">
        <f>'0376'!F3</f>
        <v>17790</v>
      </c>
      <c r="C28">
        <f>'0376'!G3</f>
        <v>210</v>
      </c>
      <c r="D28">
        <f>'0376'!H3</f>
        <v>0.17584581838643878</v>
      </c>
      <c r="E28">
        <f>'0376'!I3</f>
        <v>717.36011477761838</v>
      </c>
    </row>
    <row r="29" spans="1:5" x14ac:dyDescent="0.25">
      <c r="A29">
        <v>376</v>
      </c>
      <c r="B29">
        <f>'0376'!F4</f>
        <v>33910</v>
      </c>
      <c r="C29">
        <f>'0376'!G4</f>
        <v>220</v>
      </c>
      <c r="D29">
        <f>'0376'!H4</f>
        <v>0.29019994776400942</v>
      </c>
      <c r="E29">
        <f>'0376'!I4</f>
        <v>705.7163020465772</v>
      </c>
    </row>
    <row r="30" spans="1:5" x14ac:dyDescent="0.25">
      <c r="A30">
        <v>376</v>
      </c>
      <c r="B30">
        <f>'0376'!F5</f>
        <v>60610</v>
      </c>
      <c r="C30">
        <f>'0376'!G5</f>
        <v>230</v>
      </c>
      <c r="D30">
        <f>'0376'!H5</f>
        <v>0.55129830751419595</v>
      </c>
      <c r="E30">
        <f>'0376'!I5</f>
        <v>693.96252602359471</v>
      </c>
    </row>
    <row r="31" spans="1:5" x14ac:dyDescent="0.25">
      <c r="A31">
        <v>376</v>
      </c>
      <c r="B31">
        <f>'0376'!F6</f>
        <v>102580</v>
      </c>
      <c r="C31">
        <f>'0376'!G6</f>
        <v>240</v>
      </c>
      <c r="D31">
        <f>'0376'!H6</f>
        <v>0.90090090090090102</v>
      </c>
      <c r="E31">
        <f>'0376'!I6</f>
        <v>681.66325835037492</v>
      </c>
    </row>
    <row r="32" spans="1:5" x14ac:dyDescent="0.25">
      <c r="A32">
        <v>376</v>
      </c>
      <c r="B32">
        <f>'0376'!F7</f>
        <v>165360</v>
      </c>
      <c r="C32">
        <f>'0376'!G7</f>
        <v>250</v>
      </c>
      <c r="D32">
        <f>'0376'!H7</f>
        <v>1.4090063687087866</v>
      </c>
      <c r="E32">
        <f>'0376'!I7</f>
        <v>668.89632107023408</v>
      </c>
    </row>
    <row r="33" spans="1:5" x14ac:dyDescent="0.25">
      <c r="A33">
        <v>376</v>
      </c>
      <c r="B33">
        <f>'0376'!F8</f>
        <v>255900.00000000003</v>
      </c>
      <c r="C33">
        <f>'0376'!G8</f>
        <v>260</v>
      </c>
      <c r="D33">
        <f>'0376'!H8</f>
        <v>2.1212956874058677</v>
      </c>
      <c r="E33">
        <f>'0376'!I8</f>
        <v>656.16797900262463</v>
      </c>
    </row>
    <row r="34" spans="1:5" x14ac:dyDescent="0.25">
      <c r="A34">
        <v>376</v>
      </c>
      <c r="B34">
        <f>'0376'!F9</f>
        <v>381900</v>
      </c>
      <c r="C34">
        <f>'0376'!G9</f>
        <v>270</v>
      </c>
      <c r="D34">
        <f>'0376'!H9</f>
        <v>3.0940594059405941</v>
      </c>
      <c r="E34">
        <f>'0376'!I9</f>
        <v>642.67352185089976</v>
      </c>
    </row>
    <row r="35" spans="1:5" x14ac:dyDescent="0.25">
      <c r="A35">
        <v>376</v>
      </c>
      <c r="B35">
        <f>'0376'!F10</f>
        <v>551800</v>
      </c>
      <c r="C35">
        <f>'0376'!G10</f>
        <v>280</v>
      </c>
      <c r="D35">
        <f>'0376'!H10</f>
        <v>4.3878894251864855</v>
      </c>
      <c r="E35">
        <f>'0376'!I10</f>
        <v>629.32662051604791</v>
      </c>
    </row>
    <row r="36" spans="1:5" x14ac:dyDescent="0.25">
      <c r="A36">
        <v>376</v>
      </c>
      <c r="B36">
        <f>'0376'!F11</f>
        <v>775300</v>
      </c>
      <c r="C36">
        <f>'0376'!G11</f>
        <v>290</v>
      </c>
      <c r="D36">
        <f>'0376'!H11</f>
        <v>6.0753341433778862</v>
      </c>
      <c r="E36">
        <f>'0376'!I11</f>
        <v>615.00615006150065</v>
      </c>
    </row>
    <row r="37" spans="1:5" x14ac:dyDescent="0.25">
      <c r="A37">
        <v>376</v>
      </c>
      <c r="B37">
        <f>'0376'!F12</f>
        <v>1062400</v>
      </c>
      <c r="C37">
        <f>'0376'!G12</f>
        <v>300</v>
      </c>
      <c r="D37">
        <f>'0376'!H12</f>
        <v>8.2440230832646328</v>
      </c>
      <c r="E37">
        <f>'0376'!I12</f>
        <v>599.88002399520087</v>
      </c>
    </row>
    <row r="38" spans="1:5" x14ac:dyDescent="0.25">
      <c r="A38">
        <v>376</v>
      </c>
      <c r="B38">
        <f>'0376'!F13</f>
        <v>1424900</v>
      </c>
      <c r="C38">
        <f>'0376'!G13</f>
        <v>310</v>
      </c>
      <c r="D38">
        <f>'0376'!H13</f>
        <v>11.024142872891634</v>
      </c>
      <c r="E38">
        <f>'0376'!I13</f>
        <v>584.45353594389258</v>
      </c>
    </row>
    <row r="39" spans="1:5" x14ac:dyDescent="0.25">
      <c r="A39">
        <v>376</v>
      </c>
      <c r="B39">
        <f>'0376'!F14</f>
        <v>1866000</v>
      </c>
      <c r="C39">
        <f>'0376'!G14</f>
        <v>320</v>
      </c>
      <c r="D39">
        <f>'0376'!H14</f>
        <v>14.507471347744087</v>
      </c>
      <c r="E39">
        <f>'0376'!I14</f>
        <v>568.18181818181824</v>
      </c>
    </row>
    <row r="40" spans="1:5" x14ac:dyDescent="0.25">
      <c r="A40">
        <v>376</v>
      </c>
      <c r="B40">
        <f>'0376'!F15</f>
        <v>2422000</v>
      </c>
      <c r="C40">
        <f>'0376'!G15</f>
        <v>330</v>
      </c>
      <c r="D40">
        <f>'0376'!H15</f>
        <v>18.921475875118258</v>
      </c>
      <c r="E40">
        <f>'0376'!I15</f>
        <v>550.96418732782377</v>
      </c>
    </row>
    <row r="41" spans="1:5" x14ac:dyDescent="0.25">
      <c r="A41">
        <v>376</v>
      </c>
      <c r="B41">
        <f>'0376'!F16</f>
        <v>3082000</v>
      </c>
      <c r="C41">
        <f>'0376'!G16</f>
        <v>340</v>
      </c>
      <c r="D41">
        <f>'0376'!H16</f>
        <v>24.46782481037436</v>
      </c>
      <c r="E41">
        <f>'0376'!I16</f>
        <v>532.48136315228976</v>
      </c>
    </row>
    <row r="42" spans="1:5" x14ac:dyDescent="0.25">
      <c r="A42">
        <v>376</v>
      </c>
      <c r="B42">
        <f>'0376'!F17</f>
        <v>3870000.0000000005</v>
      </c>
      <c r="C42">
        <f>'0376'!G17</f>
        <v>350</v>
      </c>
      <c r="D42">
        <f>'0376'!H17</f>
        <v>31.515915537346359</v>
      </c>
      <c r="E42">
        <f>'0376'!I17</f>
        <v>512.29508196721304</v>
      </c>
    </row>
    <row r="43" spans="1:5" x14ac:dyDescent="0.25">
      <c r="A43">
        <v>376</v>
      </c>
      <c r="B43">
        <f>'0376'!F18</f>
        <v>4803000</v>
      </c>
      <c r="C43">
        <f>'0376'!G18</f>
        <v>360</v>
      </c>
      <c r="D43">
        <f>'0376'!H18</f>
        <v>40.617384240454911</v>
      </c>
      <c r="E43">
        <f>'0376'!I18</f>
        <v>490.43648847474242</v>
      </c>
    </row>
    <row r="44" spans="1:5" x14ac:dyDescent="0.25">
      <c r="A44">
        <v>376</v>
      </c>
      <c r="B44">
        <f>'0376'!F19</f>
        <v>5891000</v>
      </c>
      <c r="C44">
        <f>'0376'!G19</f>
        <v>370</v>
      </c>
      <c r="D44">
        <f>'0376'!H19</f>
        <v>52.576235541535226</v>
      </c>
      <c r="E44">
        <f>'0376'!I19</f>
        <v>465.54934823091241</v>
      </c>
    </row>
    <row r="45" spans="1:5" x14ac:dyDescent="0.25">
      <c r="A45">
        <v>376</v>
      </c>
      <c r="B45">
        <f>'0376'!F20</f>
        <v>7154000.0000000009</v>
      </c>
      <c r="C45">
        <f>'0376'!G20</f>
        <v>380</v>
      </c>
      <c r="D45">
        <f>'0376'!H20</f>
        <v>68.965517241379317</v>
      </c>
      <c r="E45">
        <f>'0376'!I20</f>
        <v>436.30017452006985</v>
      </c>
    </row>
    <row r="46" spans="1:5" x14ac:dyDescent="0.25">
      <c r="A46">
        <v>376</v>
      </c>
      <c r="B46">
        <f>'0376'!F21</f>
        <v>8606000</v>
      </c>
      <c r="C46">
        <f>'0376'!G21</f>
        <v>390</v>
      </c>
      <c r="D46">
        <f>'0376'!H21</f>
        <v>93.283582089552226</v>
      </c>
      <c r="E46">
        <f>'0376'!I21</f>
        <v>399.68025579536373</v>
      </c>
    </row>
    <row r="47" spans="1:5" x14ac:dyDescent="0.25">
      <c r="A47">
        <v>376</v>
      </c>
      <c r="B47">
        <f>'0376'!F22</f>
        <v>10280000</v>
      </c>
      <c r="C47">
        <f>'0376'!G22</f>
        <v>400</v>
      </c>
      <c r="D47">
        <f>'0376'!H22</f>
        <v>136.79890560875512</v>
      </c>
      <c r="E47">
        <f>'0376'!I22</f>
        <v>344.47123665173956</v>
      </c>
    </row>
    <row r="48" spans="1:5" x14ac:dyDescent="0.25">
      <c r="A48">
        <v>376</v>
      </c>
      <c r="B48">
        <f>'0376'!F23</f>
        <v>11300000</v>
      </c>
      <c r="C48">
        <f>'0376'!G23</f>
        <v>405.6</v>
      </c>
      <c r="D48">
        <f>'0376'!H23</f>
        <v>235.01762632197415</v>
      </c>
      <c r="E48">
        <f>'0376'!I23</f>
        <v>235.01762632197415</v>
      </c>
    </row>
    <row r="49" spans="1:5" x14ac:dyDescent="0.25">
      <c r="A49">
        <v>385</v>
      </c>
      <c r="B49">
        <f>'0385'!D2</f>
        <v>2325460</v>
      </c>
      <c r="C49">
        <f>'0385'!E2</f>
        <v>328.42500000000001</v>
      </c>
      <c r="D49" t="str">
        <f>'0385'!F2</f>
        <v>nan</v>
      </c>
      <c r="E49" t="str">
        <f>'0385'!G2</f>
        <v>nan</v>
      </c>
    </row>
    <row r="50" spans="1:5" x14ac:dyDescent="0.25">
      <c r="A50">
        <v>385</v>
      </c>
      <c r="B50">
        <f>'0385'!D3</f>
        <v>2627690</v>
      </c>
      <c r="C50">
        <f>'0385'!E3</f>
        <v>333.36799999999999</v>
      </c>
      <c r="D50" t="str">
        <f>'0385'!F3</f>
        <v>nan</v>
      </c>
      <c r="E50" t="str">
        <f>'0385'!G3</f>
        <v>nan</v>
      </c>
    </row>
    <row r="51" spans="1:5" x14ac:dyDescent="0.25">
      <c r="A51">
        <v>385</v>
      </c>
      <c r="B51">
        <f>'0385'!D4</f>
        <v>2959430</v>
      </c>
      <c r="C51">
        <f>'0385'!E4</f>
        <v>338.32400000000001</v>
      </c>
      <c r="D51" t="str">
        <f>'0385'!F4</f>
        <v>nan</v>
      </c>
      <c r="E51" t="str">
        <f>'0385'!G4</f>
        <v>nan</v>
      </c>
    </row>
    <row r="52" spans="1:5" x14ac:dyDescent="0.25">
      <c r="A52">
        <v>385</v>
      </c>
      <c r="B52">
        <f>'0385'!D5</f>
        <v>3322730</v>
      </c>
      <c r="C52">
        <f>'0385'!E5</f>
        <v>343.29599999999999</v>
      </c>
      <c r="D52" t="str">
        <f>'0385'!F5</f>
        <v>nan</v>
      </c>
      <c r="E52" t="str">
        <f>'0385'!G5</f>
        <v>nan</v>
      </c>
    </row>
    <row r="53" spans="1:5" x14ac:dyDescent="0.25">
      <c r="A53">
        <v>385</v>
      </c>
      <c r="B53">
        <f>'0385'!D6</f>
        <v>3715890</v>
      </c>
      <c r="C53">
        <f>'0385'!E6</f>
        <v>348.24200000000002</v>
      </c>
      <c r="D53" t="str">
        <f>'0385'!F6</f>
        <v>nan</v>
      </c>
      <c r="E53" t="str">
        <f>'0385'!G6</f>
        <v>nan</v>
      </c>
    </row>
    <row r="54" spans="1:5" x14ac:dyDescent="0.25">
      <c r="A54">
        <v>385</v>
      </c>
      <c r="B54">
        <f>'0385'!D7</f>
        <v>4139690</v>
      </c>
      <c r="C54">
        <f>'0385'!E7</f>
        <v>353.15100000000001</v>
      </c>
      <c r="D54" t="str">
        <f>'0385'!F7</f>
        <v>nan</v>
      </c>
      <c r="E54" t="str">
        <f>'0385'!G7</f>
        <v>nan</v>
      </c>
    </row>
    <row r="55" spans="1:5" x14ac:dyDescent="0.25">
      <c r="A55">
        <v>385</v>
      </c>
      <c r="B55">
        <f>'0385'!D8</f>
        <v>4607540</v>
      </c>
      <c r="C55">
        <f>'0385'!E8</f>
        <v>358.14800000000002</v>
      </c>
      <c r="D55" t="str">
        <f>'0385'!F8</f>
        <v>nan</v>
      </c>
      <c r="E55" t="str">
        <f>'0385'!G8</f>
        <v>nan</v>
      </c>
    </row>
    <row r="56" spans="1:5" x14ac:dyDescent="0.25">
      <c r="A56">
        <v>385</v>
      </c>
      <c r="B56">
        <f>'0385'!D9</f>
        <v>5107840</v>
      </c>
      <c r="C56">
        <f>'0385'!E9</f>
        <v>363.09</v>
      </c>
      <c r="D56" t="str">
        <f>'0385'!F9</f>
        <v>nan</v>
      </c>
      <c r="E56" t="str">
        <f>'0385'!G9</f>
        <v>nan</v>
      </c>
    </row>
    <row r="57" spans="1:5" x14ac:dyDescent="0.25">
      <c r="A57">
        <v>385</v>
      </c>
      <c r="B57">
        <f>'0385'!D10</f>
        <v>5684490</v>
      </c>
      <c r="C57">
        <f>'0385'!E10</f>
        <v>368.351</v>
      </c>
      <c r="D57" t="str">
        <f>'0385'!F10</f>
        <v>nan</v>
      </c>
      <c r="E57" t="str">
        <f>'0385'!G10</f>
        <v>nan</v>
      </c>
    </row>
    <row r="58" spans="1:5" x14ac:dyDescent="0.25">
      <c r="A58">
        <v>385</v>
      </c>
      <c r="B58">
        <f>'0385'!D11</f>
        <v>6333290</v>
      </c>
      <c r="C58">
        <f>'0385'!E11</f>
        <v>373.80599999999998</v>
      </c>
      <c r="D58" t="str">
        <f>'0385'!F11</f>
        <v>nan</v>
      </c>
      <c r="E58" t="str">
        <f>'0385'!G11</f>
        <v>nan</v>
      </c>
    </row>
    <row r="59" spans="1:5" x14ac:dyDescent="0.25">
      <c r="A59">
        <v>385</v>
      </c>
      <c r="B59">
        <f>'0385'!D12</f>
        <v>6972130</v>
      </c>
      <c r="C59">
        <f>'0385'!E12</f>
        <v>378.77800000000002</v>
      </c>
      <c r="D59" t="str">
        <f>'0385'!F12</f>
        <v>nan</v>
      </c>
      <c r="E59" t="str">
        <f>'0385'!G12</f>
        <v>nan</v>
      </c>
    </row>
    <row r="60" spans="1:5" x14ac:dyDescent="0.25">
      <c r="A60">
        <v>385</v>
      </c>
      <c r="B60">
        <f>'0385'!D13</f>
        <v>7659060</v>
      </c>
      <c r="C60">
        <f>'0385'!E13</f>
        <v>383.74400000000003</v>
      </c>
      <c r="D60" t="str">
        <f>'0385'!F13</f>
        <v>nan</v>
      </c>
      <c r="E60" t="str">
        <f>'0385'!G13</f>
        <v>nan</v>
      </c>
    </row>
    <row r="61" spans="1:5" x14ac:dyDescent="0.25">
      <c r="A61">
        <v>385</v>
      </c>
      <c r="B61">
        <f>'0385'!D14</f>
        <v>8392490</v>
      </c>
      <c r="C61">
        <f>'0385'!E14</f>
        <v>388.67399999999998</v>
      </c>
      <c r="D61" t="str">
        <f>'0385'!F14</f>
        <v>nan</v>
      </c>
      <c r="E61" t="str">
        <f>'0385'!G14</f>
        <v>nan</v>
      </c>
    </row>
    <row r="62" spans="1:5" x14ac:dyDescent="0.25">
      <c r="A62">
        <v>385</v>
      </c>
      <c r="B62">
        <f>'0385'!D15</f>
        <v>9182600</v>
      </c>
      <c r="C62">
        <f>'0385'!E15</f>
        <v>393.60700000000003</v>
      </c>
      <c r="D62" t="str">
        <f>'0385'!F15</f>
        <v>nan</v>
      </c>
      <c r="E62" t="str">
        <f>'0385'!G15</f>
        <v>nan</v>
      </c>
    </row>
    <row r="63" spans="1:5" x14ac:dyDescent="0.25">
      <c r="A63">
        <v>385</v>
      </c>
      <c r="B63">
        <f>'0385'!D16</f>
        <v>10038450</v>
      </c>
      <c r="C63">
        <f>'0385'!E16</f>
        <v>398.57</v>
      </c>
      <c r="D63" t="str">
        <f>'0385'!F16</f>
        <v>nan</v>
      </c>
      <c r="E63" t="str">
        <f>'0385'!G16</f>
        <v>nan</v>
      </c>
    </row>
    <row r="64" spans="1:5" x14ac:dyDescent="0.25">
      <c r="A64">
        <v>385</v>
      </c>
      <c r="B64">
        <f>'0385'!D17</f>
        <v>10973690</v>
      </c>
      <c r="C64">
        <f>'0385'!E17</f>
        <v>403.58800000000002</v>
      </c>
      <c r="D64" t="str">
        <f>'0385'!F17</f>
        <v>nan</v>
      </c>
      <c r="E64" t="str">
        <f>'0385'!G17</f>
        <v>nan</v>
      </c>
    </row>
    <row r="65" spans="1:5" x14ac:dyDescent="0.25">
      <c r="A65">
        <v>386</v>
      </c>
      <c r="B65">
        <f>'0386'!D2</f>
        <v>101324.72</v>
      </c>
      <c r="C65">
        <f>'0386'!E2</f>
        <v>238.5</v>
      </c>
      <c r="D65" t="str">
        <f>'0386'!F2</f>
        <v>nan</v>
      </c>
      <c r="E65" t="str">
        <f>'0386'!G2</f>
        <v>nan</v>
      </c>
    </row>
    <row r="66" spans="1:5" x14ac:dyDescent="0.25">
      <c r="A66">
        <v>386</v>
      </c>
      <c r="B66">
        <f>'0386'!D3</f>
        <v>97325.06</v>
      </c>
      <c r="C66">
        <f>'0386'!E3</f>
        <v>237.7</v>
      </c>
      <c r="D66" t="str">
        <f>'0386'!F3</f>
        <v>nan</v>
      </c>
      <c r="E66" t="str">
        <f>'0386'!G3</f>
        <v>nan</v>
      </c>
    </row>
    <row r="67" spans="1:5" x14ac:dyDescent="0.25">
      <c r="A67">
        <v>386</v>
      </c>
      <c r="B67">
        <f>'0386'!D4</f>
        <v>93325.400000000009</v>
      </c>
      <c r="C67">
        <f>'0386'!E4</f>
        <v>236.8</v>
      </c>
      <c r="D67" t="str">
        <f>'0386'!F4</f>
        <v>nan</v>
      </c>
      <c r="E67" t="str">
        <f>'0386'!G4</f>
        <v>nan</v>
      </c>
    </row>
    <row r="68" spans="1:5" x14ac:dyDescent="0.25">
      <c r="A68">
        <v>386</v>
      </c>
      <c r="B68">
        <f>'0386'!D5</f>
        <v>86659.3</v>
      </c>
      <c r="C68">
        <f>'0386'!E5</f>
        <v>235.4</v>
      </c>
      <c r="D68" t="str">
        <f>'0386'!F5</f>
        <v>nan</v>
      </c>
      <c r="E68" t="str">
        <f>'0386'!G5</f>
        <v>nan</v>
      </c>
    </row>
    <row r="69" spans="1:5" x14ac:dyDescent="0.25">
      <c r="A69">
        <v>386</v>
      </c>
      <c r="B69">
        <f>'0386'!D6</f>
        <v>79993.2</v>
      </c>
      <c r="C69">
        <f>'0386'!E6</f>
        <v>233.8</v>
      </c>
      <c r="D69" t="str">
        <f>'0386'!F6</f>
        <v>nan</v>
      </c>
      <c r="E69" t="str">
        <f>'0386'!G6</f>
        <v>nan</v>
      </c>
    </row>
    <row r="70" spans="1:5" x14ac:dyDescent="0.25">
      <c r="A70">
        <v>386</v>
      </c>
      <c r="B70">
        <f>'0386'!D7</f>
        <v>66661</v>
      </c>
      <c r="C70">
        <f>'0386'!E7</f>
        <v>230.7</v>
      </c>
      <c r="D70" t="str">
        <f>'0386'!F7</f>
        <v>nan</v>
      </c>
      <c r="E70" t="str">
        <f>'0386'!G7</f>
        <v>nan</v>
      </c>
    </row>
    <row r="71" spans="1:5" x14ac:dyDescent="0.25">
      <c r="A71">
        <v>386</v>
      </c>
      <c r="B71">
        <f>'0386'!D8</f>
        <v>53328.800000000003</v>
      </c>
      <c r="C71">
        <f>'0386'!E8</f>
        <v>226.8</v>
      </c>
      <c r="D71" t="str">
        <f>'0386'!F8</f>
        <v>nan</v>
      </c>
      <c r="E71" t="str">
        <f>'0386'!G8</f>
        <v>nan</v>
      </c>
    </row>
    <row r="72" spans="1:5" x14ac:dyDescent="0.25">
      <c r="A72">
        <v>386</v>
      </c>
      <c r="B72">
        <f>'0386'!D9</f>
        <v>39996.6</v>
      </c>
      <c r="C72">
        <f>'0386'!E9</f>
        <v>222.4</v>
      </c>
      <c r="D72" t="str">
        <f>'0386'!F9</f>
        <v>nan</v>
      </c>
      <c r="E72" t="str">
        <f>'0386'!G9</f>
        <v>nan</v>
      </c>
    </row>
    <row r="73" spans="1:5" x14ac:dyDescent="0.25">
      <c r="A73">
        <v>386</v>
      </c>
      <c r="B73">
        <f>'0386'!D10</f>
        <v>26664.400000000001</v>
      </c>
      <c r="C73">
        <f>'0386'!E10</f>
        <v>216.3</v>
      </c>
      <c r="D73" t="str">
        <f>'0386'!F10</f>
        <v>nan</v>
      </c>
      <c r="E73" t="str">
        <f>'0386'!G10</f>
        <v>nan</v>
      </c>
    </row>
    <row r="74" spans="1:5" x14ac:dyDescent="0.25">
      <c r="A74">
        <v>386</v>
      </c>
      <c r="B74">
        <f>'0386'!D11</f>
        <v>19998.3</v>
      </c>
      <c r="C74">
        <f>'0386'!E11</f>
        <v>212.3</v>
      </c>
      <c r="D74" t="str">
        <f>'0386'!F11</f>
        <v>nan</v>
      </c>
      <c r="E74" t="str">
        <f>'0386'!G11</f>
        <v>nan</v>
      </c>
    </row>
    <row r="75" spans="1:5" x14ac:dyDescent="0.25">
      <c r="A75">
        <v>386</v>
      </c>
      <c r="B75">
        <f>'0386'!D12</f>
        <v>13332.2</v>
      </c>
      <c r="C75">
        <f>'0386'!E12</f>
        <v>206.5</v>
      </c>
      <c r="D75" t="str">
        <f>'0386'!F12</f>
        <v>nan</v>
      </c>
      <c r="E75" t="str">
        <f>'0386'!G12</f>
        <v>nan</v>
      </c>
    </row>
    <row r="76" spans="1:5" x14ac:dyDescent="0.25">
      <c r="A76">
        <v>386</v>
      </c>
      <c r="B76">
        <f>'0386'!D13</f>
        <v>6666.1</v>
      </c>
      <c r="C76">
        <f>'0386'!E13</f>
        <v>197</v>
      </c>
      <c r="D76" t="str">
        <f>'0386'!F13</f>
        <v>nan</v>
      </c>
      <c r="E76" t="str">
        <f>'0386'!G13</f>
        <v>nan</v>
      </c>
    </row>
    <row r="77" spans="1:5" x14ac:dyDescent="0.25">
      <c r="A77">
        <v>386</v>
      </c>
      <c r="B77">
        <f>'0386'!D14</f>
        <v>3999.66</v>
      </c>
      <c r="C77">
        <f>'0386'!E14</f>
        <v>191</v>
      </c>
      <c r="D77" t="str">
        <f>'0386'!F14</f>
        <v>nan</v>
      </c>
      <c r="E77" t="str">
        <f>'0386'!G14</f>
        <v>nan</v>
      </c>
    </row>
    <row r="78" spans="1:5" x14ac:dyDescent="0.25">
      <c r="A78">
        <v>386</v>
      </c>
      <c r="B78">
        <f>'0386'!D15</f>
        <v>1999.83</v>
      </c>
      <c r="C78">
        <f>'0386'!E15</f>
        <v>184.2</v>
      </c>
      <c r="D78" t="str">
        <f>'0386'!F15</f>
        <v>nan</v>
      </c>
      <c r="E78" t="str">
        <f>'0386'!G15</f>
        <v>nan</v>
      </c>
    </row>
    <row r="79" spans="1:5" x14ac:dyDescent="0.25">
      <c r="A79">
        <v>386</v>
      </c>
      <c r="B79">
        <f>'0386'!D16</f>
        <v>933.25400000000002</v>
      </c>
      <c r="C79">
        <f>'0386'!E16</f>
        <v>176.4</v>
      </c>
      <c r="D79" t="str">
        <f>'0386'!F16</f>
        <v>nan</v>
      </c>
      <c r="E79" t="str">
        <f>'0386'!G16</f>
        <v>nan</v>
      </c>
    </row>
    <row r="80" spans="1:5" x14ac:dyDescent="0.25">
      <c r="A80">
        <v>386</v>
      </c>
      <c r="B80">
        <f>'0386'!D17</f>
        <v>533.28800000000001</v>
      </c>
      <c r="C80">
        <f>'0386'!E17</f>
        <v>171.9</v>
      </c>
      <c r="D80" t="str">
        <f>'0386'!F17</f>
        <v>nan</v>
      </c>
      <c r="E80" t="str">
        <f>'0386'!G17</f>
        <v>nan</v>
      </c>
    </row>
    <row r="81" spans="1:5" x14ac:dyDescent="0.25">
      <c r="A81">
        <v>386</v>
      </c>
      <c r="B81">
        <f>'0386'!D18</f>
        <v>133.322</v>
      </c>
      <c r="C81">
        <f>'0386'!E18</f>
        <v>159.80000000000001</v>
      </c>
      <c r="D81" t="str">
        <f>'0386'!F18</f>
        <v>nan</v>
      </c>
      <c r="E81" t="str">
        <f>'0386'!G18</f>
        <v>nan</v>
      </c>
    </row>
    <row r="82" spans="1:5" x14ac:dyDescent="0.25">
      <c r="A82">
        <v>388</v>
      </c>
      <c r="B82">
        <f>'0388'!F2</f>
        <v>55753.700000000004</v>
      </c>
      <c r="C82">
        <f>'0388'!G2</f>
        <v>228.55</v>
      </c>
      <c r="D82" t="str">
        <f>'0388'!H2</f>
        <v>nan</v>
      </c>
      <c r="E82" t="str">
        <f>'0388'!I2</f>
        <v>nan</v>
      </c>
    </row>
    <row r="83" spans="1:5" x14ac:dyDescent="0.25">
      <c r="A83">
        <v>388</v>
      </c>
      <c r="B83">
        <f>'0388'!F3</f>
        <v>58686</v>
      </c>
      <c r="C83">
        <f>'0388'!G3</f>
        <v>229.51</v>
      </c>
      <c r="D83" t="str">
        <f>'0388'!H3</f>
        <v>nan</v>
      </c>
      <c r="E83" t="str">
        <f>'0388'!I3</f>
        <v>nan</v>
      </c>
    </row>
    <row r="84" spans="1:5" x14ac:dyDescent="0.25">
      <c r="A84">
        <v>388</v>
      </c>
      <c r="B84">
        <f>'0388'!F4</f>
        <v>60167.7</v>
      </c>
      <c r="C84">
        <f>'0388'!G4</f>
        <v>229.94</v>
      </c>
      <c r="D84" t="str">
        <f>'0388'!H4</f>
        <v>nan</v>
      </c>
      <c r="E84" t="str">
        <f>'0388'!I4</f>
        <v>nan</v>
      </c>
    </row>
    <row r="85" spans="1:5" x14ac:dyDescent="0.25">
      <c r="A85">
        <v>388</v>
      </c>
      <c r="B85">
        <f>'0388'!F5</f>
        <v>61765.1</v>
      </c>
      <c r="C85">
        <f>'0388'!G5</f>
        <v>230.38</v>
      </c>
      <c r="D85" t="str">
        <f>'0388'!H5</f>
        <v>nan</v>
      </c>
      <c r="E85" t="str">
        <f>'0388'!I5</f>
        <v>nan</v>
      </c>
    </row>
    <row r="86" spans="1:5" x14ac:dyDescent="0.25">
      <c r="A86">
        <v>388</v>
      </c>
      <c r="B86">
        <f>'0388'!F6</f>
        <v>62003.7</v>
      </c>
      <c r="C86">
        <f>'0388'!G6</f>
        <v>230.47</v>
      </c>
      <c r="D86" t="str">
        <f>'0388'!H6</f>
        <v>nan</v>
      </c>
      <c r="E86" t="str">
        <f>'0388'!I6</f>
        <v>nan</v>
      </c>
    </row>
    <row r="87" spans="1:5" x14ac:dyDescent="0.25">
      <c r="A87">
        <v>388</v>
      </c>
      <c r="B87">
        <f>'0388'!F7</f>
        <v>63717.7</v>
      </c>
      <c r="C87">
        <f>'0388'!G7</f>
        <v>230.98</v>
      </c>
      <c r="D87" t="str">
        <f>'0388'!H7</f>
        <v>nan</v>
      </c>
      <c r="E87" t="str">
        <f>'0388'!I7</f>
        <v>nan</v>
      </c>
    </row>
    <row r="88" spans="1:5" x14ac:dyDescent="0.25">
      <c r="A88">
        <v>388</v>
      </c>
      <c r="B88">
        <f>'0388'!F8</f>
        <v>64048.999999999993</v>
      </c>
      <c r="C88">
        <f>'0388'!G8</f>
        <v>231.07</v>
      </c>
      <c r="D88" t="str">
        <f>'0388'!H8</f>
        <v>nan</v>
      </c>
      <c r="E88" t="str">
        <f>'0388'!I8</f>
        <v>nan</v>
      </c>
    </row>
    <row r="89" spans="1:5" x14ac:dyDescent="0.25">
      <c r="A89">
        <v>388</v>
      </c>
      <c r="B89">
        <f>'0388'!F9</f>
        <v>65120.3</v>
      </c>
      <c r="C89">
        <f>'0388'!G9</f>
        <v>231.37</v>
      </c>
      <c r="D89" t="str">
        <f>'0388'!H9</f>
        <v>nan</v>
      </c>
      <c r="E89" t="str">
        <f>'0388'!I9</f>
        <v>nan</v>
      </c>
    </row>
    <row r="90" spans="1:5" x14ac:dyDescent="0.25">
      <c r="A90">
        <v>388</v>
      </c>
      <c r="B90">
        <f>'0388'!F10</f>
        <v>65288.600000000006</v>
      </c>
      <c r="C90">
        <f>'0388'!G10</f>
        <v>231.43</v>
      </c>
      <c r="D90" t="str">
        <f>'0388'!H10</f>
        <v>nan</v>
      </c>
      <c r="E90" t="str">
        <f>'0388'!I10</f>
        <v>nan</v>
      </c>
    </row>
    <row r="91" spans="1:5" x14ac:dyDescent="0.25">
      <c r="A91">
        <v>388</v>
      </c>
      <c r="B91">
        <f>'0388'!F11</f>
        <v>65593.3</v>
      </c>
      <c r="C91">
        <f>'0388'!G11</f>
        <v>231.54</v>
      </c>
      <c r="D91" t="str">
        <f>'0388'!H11</f>
        <v>nan</v>
      </c>
      <c r="E91" t="str">
        <f>'0388'!I11</f>
        <v>nan</v>
      </c>
    </row>
    <row r="92" spans="1:5" x14ac:dyDescent="0.25">
      <c r="A92">
        <v>388</v>
      </c>
      <c r="B92">
        <f>'0388'!F12</f>
        <v>66820.3</v>
      </c>
      <c r="C92">
        <f>'0388'!G12</f>
        <v>231.89</v>
      </c>
      <c r="D92" t="str">
        <f>'0388'!H12</f>
        <v>nan</v>
      </c>
      <c r="E92" t="str">
        <f>'0388'!I12</f>
        <v>nan</v>
      </c>
    </row>
    <row r="93" spans="1:5" x14ac:dyDescent="0.25">
      <c r="A93">
        <v>388</v>
      </c>
      <c r="B93">
        <f>'0388'!F13</f>
        <v>69945.899999999994</v>
      </c>
      <c r="C93">
        <f>'0388'!G13</f>
        <v>232.69</v>
      </c>
      <c r="D93" t="str">
        <f>'0388'!H13</f>
        <v>nan</v>
      </c>
      <c r="E93" t="str">
        <f>'0388'!I13</f>
        <v>nan</v>
      </c>
    </row>
    <row r="94" spans="1:5" x14ac:dyDescent="0.25">
      <c r="A94">
        <v>388</v>
      </c>
      <c r="B94">
        <f>'0388'!F14</f>
        <v>71062.299999999988</v>
      </c>
      <c r="C94">
        <f>'0388'!G14</f>
        <v>233</v>
      </c>
      <c r="D94" t="str">
        <f>'0388'!H14</f>
        <v>nan</v>
      </c>
      <c r="E94" t="str">
        <f>'0388'!I14</f>
        <v>nan</v>
      </c>
    </row>
    <row r="95" spans="1:5" x14ac:dyDescent="0.25">
      <c r="A95">
        <v>388</v>
      </c>
      <c r="B95">
        <f>'0388'!F15</f>
        <v>72321.600000000006</v>
      </c>
      <c r="C95">
        <f>'0388'!G15</f>
        <v>233.33</v>
      </c>
      <c r="D95" t="str">
        <f>'0388'!H15</f>
        <v>nan</v>
      </c>
      <c r="E95" t="str">
        <f>'0388'!I15</f>
        <v>nan</v>
      </c>
    </row>
    <row r="96" spans="1:5" x14ac:dyDescent="0.25">
      <c r="A96">
        <v>388</v>
      </c>
      <c r="B96">
        <f>'0388'!F16</f>
        <v>72405.200000000012</v>
      </c>
      <c r="C96">
        <f>'0388'!G16</f>
        <v>233.37</v>
      </c>
      <c r="D96" t="str">
        <f>'0388'!H16</f>
        <v>nan</v>
      </c>
      <c r="E96" t="str">
        <f>'0388'!I16</f>
        <v>nan</v>
      </c>
    </row>
    <row r="97" spans="1:5" x14ac:dyDescent="0.25">
      <c r="A97">
        <v>388</v>
      </c>
      <c r="B97">
        <f>'0388'!F17</f>
        <v>74349.8</v>
      </c>
      <c r="C97">
        <f>'0388'!G17</f>
        <v>233.83</v>
      </c>
      <c r="D97" t="str">
        <f>'0388'!H17</f>
        <v>nan</v>
      </c>
      <c r="E97" t="str">
        <f>'0388'!I17</f>
        <v>nan</v>
      </c>
    </row>
    <row r="98" spans="1:5" x14ac:dyDescent="0.25">
      <c r="A98">
        <v>388</v>
      </c>
      <c r="B98">
        <f>'0388'!F18</f>
        <v>75540.2</v>
      </c>
      <c r="C98">
        <f>'0388'!G18</f>
        <v>234.15</v>
      </c>
      <c r="D98" t="str">
        <f>'0388'!H18</f>
        <v>nan</v>
      </c>
      <c r="E98" t="str">
        <f>'0388'!I18</f>
        <v>nan</v>
      </c>
    </row>
    <row r="99" spans="1:5" x14ac:dyDescent="0.25">
      <c r="A99">
        <v>388</v>
      </c>
      <c r="B99">
        <f>'0388'!F19</f>
        <v>75977.200000000012</v>
      </c>
      <c r="C99">
        <f>'0388'!G19</f>
        <v>234.25</v>
      </c>
      <c r="D99" t="str">
        <f>'0388'!H19</f>
        <v>nan</v>
      </c>
      <c r="E99" t="str">
        <f>'0388'!I19</f>
        <v>nan</v>
      </c>
    </row>
    <row r="100" spans="1:5" x14ac:dyDescent="0.25">
      <c r="A100">
        <v>388</v>
      </c>
      <c r="B100">
        <f>'0388'!F20</f>
        <v>76903.500000000015</v>
      </c>
      <c r="C100">
        <f>'0388'!G20</f>
        <v>234.47</v>
      </c>
      <c r="D100" t="str">
        <f>'0388'!H20</f>
        <v>nan</v>
      </c>
      <c r="E100" t="str">
        <f>'0388'!I20</f>
        <v>nan</v>
      </c>
    </row>
    <row r="101" spans="1:5" x14ac:dyDescent="0.25">
      <c r="A101">
        <v>388</v>
      </c>
      <c r="B101">
        <f>'0388'!F21</f>
        <v>78808.500000000015</v>
      </c>
      <c r="C101">
        <f>'0388'!G21</f>
        <v>234.95</v>
      </c>
      <c r="D101" t="str">
        <f>'0388'!H21</f>
        <v>nan</v>
      </c>
      <c r="E101" t="str">
        <f>'0388'!I21</f>
        <v>nan</v>
      </c>
    </row>
    <row r="102" spans="1:5" x14ac:dyDescent="0.25">
      <c r="A102">
        <v>388</v>
      </c>
      <c r="B102">
        <f>'0388'!F22</f>
        <v>79512.5</v>
      </c>
      <c r="C102">
        <f>'0388'!G22</f>
        <v>235.15</v>
      </c>
      <c r="D102" t="str">
        <f>'0388'!H22</f>
        <v>nan</v>
      </c>
      <c r="E102" t="str">
        <f>'0388'!I22</f>
        <v>nan</v>
      </c>
    </row>
    <row r="103" spans="1:5" x14ac:dyDescent="0.25">
      <c r="A103">
        <v>388</v>
      </c>
      <c r="B103">
        <f>'0388'!F23</f>
        <v>81379.8</v>
      </c>
      <c r="C103">
        <f>'0388'!G23</f>
        <v>235.57</v>
      </c>
      <c r="D103" t="str">
        <f>'0388'!H23</f>
        <v>nan</v>
      </c>
      <c r="E103" t="str">
        <f>'0388'!I23</f>
        <v>nan</v>
      </c>
    </row>
    <row r="104" spans="1:5" x14ac:dyDescent="0.25">
      <c r="A104">
        <v>388</v>
      </c>
      <c r="B104">
        <f>'0388'!F24</f>
        <v>81488.200000000012</v>
      </c>
      <c r="C104">
        <f>'0388'!G24</f>
        <v>235.58</v>
      </c>
      <c r="D104" t="str">
        <f>'0388'!H24</f>
        <v>nan</v>
      </c>
      <c r="E104" t="str">
        <f>'0388'!I24</f>
        <v>nan</v>
      </c>
    </row>
    <row r="105" spans="1:5" x14ac:dyDescent="0.25">
      <c r="A105">
        <v>388</v>
      </c>
      <c r="B105">
        <f>'0388'!F25</f>
        <v>82873.2</v>
      </c>
      <c r="C105">
        <f>'0388'!G25</f>
        <v>235.9</v>
      </c>
      <c r="D105" t="str">
        <f>'0388'!H25</f>
        <v>nan</v>
      </c>
      <c r="E105" t="str">
        <f>'0388'!I25</f>
        <v>nan</v>
      </c>
    </row>
    <row r="106" spans="1:5" x14ac:dyDescent="0.25">
      <c r="A106">
        <v>388</v>
      </c>
      <c r="B106">
        <f>'0388'!F26</f>
        <v>85272.799999999988</v>
      </c>
      <c r="C106">
        <f>'0388'!G26</f>
        <v>236.47</v>
      </c>
      <c r="D106" t="str">
        <f>'0388'!H26</f>
        <v>nan</v>
      </c>
      <c r="E106" t="str">
        <f>'0388'!I26</f>
        <v>nan</v>
      </c>
    </row>
    <row r="107" spans="1:5" x14ac:dyDescent="0.25">
      <c r="A107">
        <v>388</v>
      </c>
      <c r="B107">
        <f>'0388'!F27</f>
        <v>86492.099999999991</v>
      </c>
      <c r="C107">
        <f>'0388'!G27</f>
        <v>236.73</v>
      </c>
      <c r="D107" t="str">
        <f>'0388'!H27</f>
        <v>nan</v>
      </c>
      <c r="E107" t="str">
        <f>'0388'!I27</f>
        <v>nan</v>
      </c>
    </row>
    <row r="108" spans="1:5" x14ac:dyDescent="0.25">
      <c r="A108">
        <v>388</v>
      </c>
      <c r="B108">
        <f>'0388'!F28</f>
        <v>86659.1</v>
      </c>
      <c r="C108">
        <f>'0388'!G28</f>
        <v>236.77</v>
      </c>
      <c r="D108" t="str">
        <f>'0388'!H28</f>
        <v>nan</v>
      </c>
      <c r="E108" t="str">
        <f>'0388'!I28</f>
        <v>nan</v>
      </c>
    </row>
    <row r="109" spans="1:5" x14ac:dyDescent="0.25">
      <c r="A109">
        <v>388</v>
      </c>
      <c r="B109">
        <f>'0388'!F29</f>
        <v>89171.4</v>
      </c>
      <c r="C109">
        <f>'0388'!G29</f>
        <v>237.32</v>
      </c>
      <c r="D109" t="str">
        <f>'0388'!H29</f>
        <v>nan</v>
      </c>
      <c r="E109" t="str">
        <f>'0388'!I29</f>
        <v>nan</v>
      </c>
    </row>
    <row r="110" spans="1:5" x14ac:dyDescent="0.25">
      <c r="A110">
        <v>388</v>
      </c>
      <c r="B110">
        <f>'0388'!F30</f>
        <v>89412.099999999991</v>
      </c>
      <c r="C110">
        <f>'0388'!G30</f>
        <v>237.38</v>
      </c>
      <c r="D110" t="str">
        <f>'0388'!H30</f>
        <v>nan</v>
      </c>
      <c r="E110" t="str">
        <f>'0388'!I30</f>
        <v>nan</v>
      </c>
    </row>
    <row r="111" spans="1:5" x14ac:dyDescent="0.25">
      <c r="A111">
        <v>388</v>
      </c>
      <c r="B111">
        <f>'0388'!F31</f>
        <v>89955.000000000015</v>
      </c>
      <c r="C111">
        <f>'0388'!G31</f>
        <v>237.46</v>
      </c>
      <c r="D111" t="str">
        <f>'0388'!H31</f>
        <v>nan</v>
      </c>
      <c r="E111" t="str">
        <f>'0388'!I31</f>
        <v>nan</v>
      </c>
    </row>
    <row r="112" spans="1:5" x14ac:dyDescent="0.25">
      <c r="A112">
        <v>388</v>
      </c>
      <c r="B112">
        <f>'0388'!F32</f>
        <v>91760.099999999991</v>
      </c>
      <c r="C112">
        <f>'0388'!G32</f>
        <v>237.92</v>
      </c>
      <c r="D112" t="str">
        <f>'0388'!H32</f>
        <v>nan</v>
      </c>
      <c r="E112" t="str">
        <f>'0388'!I32</f>
        <v>nan</v>
      </c>
    </row>
    <row r="113" spans="1:5" x14ac:dyDescent="0.25">
      <c r="A113">
        <v>389</v>
      </c>
      <c r="B113">
        <f>'0389'!D2</f>
        <v>5626.1884000000009</v>
      </c>
      <c r="C113">
        <f>'0389'!E2</f>
        <v>194.70999999999998</v>
      </c>
      <c r="D113" t="str">
        <f>'0389'!F2</f>
        <v>nan</v>
      </c>
      <c r="E113" t="str">
        <f>'0389'!G2</f>
        <v>nan</v>
      </c>
    </row>
    <row r="114" spans="1:5" x14ac:dyDescent="0.25">
      <c r="A114">
        <v>389</v>
      </c>
      <c r="B114">
        <f>'0389'!D3</f>
        <v>5706.1815999999999</v>
      </c>
      <c r="C114">
        <f>'0389'!E3</f>
        <v>194.7</v>
      </c>
      <c r="D114" t="str">
        <f>'0389'!F3</f>
        <v>nan</v>
      </c>
      <c r="E114" t="str">
        <f>'0389'!G3</f>
        <v>nan</v>
      </c>
    </row>
    <row r="115" spans="1:5" x14ac:dyDescent="0.25">
      <c r="A115">
        <v>389</v>
      </c>
      <c r="B115">
        <f>'0389'!D4</f>
        <v>5986.1578</v>
      </c>
      <c r="C115">
        <f>'0389'!E4</f>
        <v>195.45</v>
      </c>
      <c r="D115" t="str">
        <f>'0389'!F4</f>
        <v>nan</v>
      </c>
      <c r="E115" t="str">
        <f>'0389'!G4</f>
        <v>nan</v>
      </c>
    </row>
    <row r="116" spans="1:5" x14ac:dyDescent="0.25">
      <c r="A116">
        <v>389</v>
      </c>
      <c r="B116">
        <f>'0389'!D5</f>
        <v>16158.626400000001</v>
      </c>
      <c r="C116">
        <f>'0389'!E5</f>
        <v>208.64999999999998</v>
      </c>
      <c r="D116" t="str">
        <f>'0389'!F5</f>
        <v>nan</v>
      </c>
      <c r="E116" t="str">
        <f>'0389'!G5</f>
        <v>nan</v>
      </c>
    </row>
    <row r="117" spans="1:5" x14ac:dyDescent="0.25">
      <c r="A117">
        <v>389</v>
      </c>
      <c r="B117">
        <f>'0389'!D6</f>
        <v>16371.9416</v>
      </c>
      <c r="C117">
        <f>'0389'!E6</f>
        <v>208.88</v>
      </c>
      <c r="D117" t="str">
        <f>'0389'!F6</f>
        <v>nan</v>
      </c>
      <c r="E117" t="str">
        <f>'0389'!G6</f>
        <v>nan</v>
      </c>
    </row>
    <row r="118" spans="1:5" x14ac:dyDescent="0.25">
      <c r="A118">
        <v>389</v>
      </c>
      <c r="B118">
        <f>'0389'!D7</f>
        <v>34170.428599999999</v>
      </c>
      <c r="C118">
        <f>'0389'!E7</f>
        <v>220.11399999999998</v>
      </c>
      <c r="D118" t="str">
        <f>'0389'!F7</f>
        <v>nan</v>
      </c>
      <c r="E118" t="str">
        <f>'0389'!G7</f>
        <v>nan</v>
      </c>
    </row>
    <row r="119" spans="1:5" x14ac:dyDescent="0.25">
      <c r="A119">
        <v>389</v>
      </c>
      <c r="B119">
        <f>'0389'!D8</f>
        <v>36876.8652</v>
      </c>
      <c r="C119">
        <f>'0389'!E8</f>
        <v>221.39</v>
      </c>
      <c r="D119" t="str">
        <f>'0389'!F8</f>
        <v>nan</v>
      </c>
      <c r="E119" t="str">
        <f>'0389'!G8</f>
        <v>nan</v>
      </c>
    </row>
    <row r="120" spans="1:5" x14ac:dyDescent="0.25">
      <c r="A120">
        <v>389</v>
      </c>
      <c r="B120">
        <f>'0389'!D9</f>
        <v>37183.505799999999</v>
      </c>
      <c r="C120">
        <f>'0389'!E9</f>
        <v>221.54699999999997</v>
      </c>
      <c r="D120" t="str">
        <f>'0389'!F9</f>
        <v>nan</v>
      </c>
      <c r="E120" t="str">
        <f>'0389'!G9</f>
        <v>nan</v>
      </c>
    </row>
    <row r="121" spans="1:5" x14ac:dyDescent="0.25">
      <c r="A121">
        <v>389</v>
      </c>
      <c r="B121">
        <f>'0389'!D10</f>
        <v>39263.328999999998</v>
      </c>
      <c r="C121">
        <f>'0389'!E10</f>
        <v>222.43299999999999</v>
      </c>
      <c r="D121" t="str">
        <f>'0389'!F10</f>
        <v>nan</v>
      </c>
      <c r="E121" t="str">
        <f>'0389'!G10</f>
        <v>nan</v>
      </c>
    </row>
    <row r="122" spans="1:5" x14ac:dyDescent="0.25">
      <c r="A122">
        <v>389</v>
      </c>
      <c r="B122">
        <f>'0389'!D11</f>
        <v>39249.996800000001</v>
      </c>
      <c r="C122">
        <f>'0389'!E11</f>
        <v>222.43299999999999</v>
      </c>
      <c r="D122" t="str">
        <f>'0389'!F11</f>
        <v>nan</v>
      </c>
      <c r="E122" t="str">
        <f>'0389'!G11</f>
        <v>nan</v>
      </c>
    </row>
    <row r="123" spans="1:5" x14ac:dyDescent="0.25">
      <c r="A123">
        <v>389</v>
      </c>
      <c r="B123">
        <f>'0389'!D12</f>
        <v>44689.534399999997</v>
      </c>
      <c r="C123">
        <f>'0389'!E12</f>
        <v>224.65499999999997</v>
      </c>
      <c r="D123" t="str">
        <f>'0389'!F12</f>
        <v>nan</v>
      </c>
      <c r="E123" t="str">
        <f>'0389'!G12</f>
        <v>nan</v>
      </c>
    </row>
    <row r="124" spans="1:5" x14ac:dyDescent="0.25">
      <c r="A124">
        <v>389</v>
      </c>
      <c r="B124">
        <f>'0389'!D13</f>
        <v>45582.791799999999</v>
      </c>
      <c r="C124">
        <f>'0389'!E13</f>
        <v>224.97799999999998</v>
      </c>
      <c r="D124" t="str">
        <f>'0389'!F13</f>
        <v>nan</v>
      </c>
      <c r="E124" t="str">
        <f>'0389'!G13</f>
        <v>nan</v>
      </c>
    </row>
    <row r="125" spans="1:5" x14ac:dyDescent="0.25">
      <c r="A125">
        <v>389</v>
      </c>
      <c r="B125">
        <f>'0389'!D14</f>
        <v>46596.039000000004</v>
      </c>
      <c r="C125">
        <f>'0389'!E14</f>
        <v>225.36899999999997</v>
      </c>
      <c r="D125" t="str">
        <f>'0389'!F14</f>
        <v>nan</v>
      </c>
      <c r="E125" t="str">
        <f>'0389'!G14</f>
        <v>nan</v>
      </c>
    </row>
    <row r="126" spans="1:5" x14ac:dyDescent="0.25">
      <c r="A126">
        <v>389</v>
      </c>
      <c r="B126">
        <f>'0389'!D15</f>
        <v>46969.340600000003</v>
      </c>
      <c r="C126">
        <f>'0389'!E15</f>
        <v>225.52999999999997</v>
      </c>
      <c r="D126" t="str">
        <f>'0389'!F15</f>
        <v>nan</v>
      </c>
      <c r="E126" t="str">
        <f>'0389'!G15</f>
        <v>nan</v>
      </c>
    </row>
    <row r="127" spans="1:5" x14ac:dyDescent="0.25">
      <c r="A127">
        <v>389</v>
      </c>
      <c r="B127">
        <f>'0389'!D16</f>
        <v>51768.9326</v>
      </c>
      <c r="C127">
        <f>'0389'!E16</f>
        <v>227.20399999999998</v>
      </c>
      <c r="D127" t="str">
        <f>'0389'!F16</f>
        <v>nan</v>
      </c>
      <c r="E127" t="str">
        <f>'0389'!G16</f>
        <v>nan</v>
      </c>
    </row>
    <row r="128" spans="1:5" x14ac:dyDescent="0.25">
      <c r="A128">
        <v>389</v>
      </c>
      <c r="B128">
        <f>'0389'!D17</f>
        <v>55861.917999999998</v>
      </c>
      <c r="C128">
        <f>'0389'!E17</f>
        <v>228.55299999999997</v>
      </c>
      <c r="D128" t="str">
        <f>'0389'!F17</f>
        <v>nan</v>
      </c>
      <c r="E128" t="str">
        <f>'0389'!G17</f>
        <v>nan</v>
      </c>
    </row>
    <row r="129" spans="1:5" x14ac:dyDescent="0.25">
      <c r="A129">
        <v>389</v>
      </c>
      <c r="B129">
        <f>'0389'!D18</f>
        <v>56821.8364</v>
      </c>
      <c r="C129">
        <f>'0389'!E18</f>
        <v>228.87999999999997</v>
      </c>
      <c r="D129" t="str">
        <f>'0389'!F18</f>
        <v>nan</v>
      </c>
      <c r="E129" t="str">
        <f>'0389'!G18</f>
        <v>nan</v>
      </c>
    </row>
    <row r="130" spans="1:5" x14ac:dyDescent="0.25">
      <c r="A130">
        <v>389</v>
      </c>
      <c r="B130">
        <f>'0389'!D19</f>
        <v>57141.809200000003</v>
      </c>
      <c r="C130">
        <f>'0389'!E19</f>
        <v>228.98099999999999</v>
      </c>
      <c r="D130" t="str">
        <f>'0389'!F19</f>
        <v>nan</v>
      </c>
      <c r="E130" t="str">
        <f>'0389'!G19</f>
        <v>nan</v>
      </c>
    </row>
    <row r="131" spans="1:5" x14ac:dyDescent="0.25">
      <c r="A131">
        <v>389</v>
      </c>
      <c r="B131">
        <f>'0389'!D20</f>
        <v>57581.771799999995</v>
      </c>
      <c r="C131">
        <f>'0389'!E20</f>
        <v>229.09099999999998</v>
      </c>
      <c r="D131" t="str">
        <f>'0389'!F20</f>
        <v>nan</v>
      </c>
      <c r="E131" t="str">
        <f>'0389'!G20</f>
        <v>nan</v>
      </c>
    </row>
    <row r="132" spans="1:5" x14ac:dyDescent="0.25">
      <c r="A132">
        <v>389</v>
      </c>
      <c r="B132">
        <f>'0389'!D21</f>
        <v>57648.432799999995</v>
      </c>
      <c r="C132">
        <f>'0389'!E21</f>
        <v>229.11599999999999</v>
      </c>
      <c r="D132" t="str">
        <f>'0389'!F21</f>
        <v>nan</v>
      </c>
      <c r="E132" t="str">
        <f>'0389'!G21</f>
        <v>nan</v>
      </c>
    </row>
    <row r="133" spans="1:5" x14ac:dyDescent="0.25">
      <c r="A133">
        <v>389</v>
      </c>
      <c r="B133">
        <f>'0389'!D22</f>
        <v>57901.744600000005</v>
      </c>
      <c r="C133">
        <f>'0389'!E22</f>
        <v>229.21299999999997</v>
      </c>
      <c r="D133" t="str">
        <f>'0389'!F22</f>
        <v>nan</v>
      </c>
      <c r="E133" t="str">
        <f>'0389'!G22</f>
        <v>nan</v>
      </c>
    </row>
    <row r="134" spans="1:5" x14ac:dyDescent="0.25">
      <c r="A134">
        <v>389</v>
      </c>
      <c r="B134">
        <f>'0389'!D23</f>
        <v>59581.601799999997</v>
      </c>
      <c r="C134">
        <f>'0389'!E23</f>
        <v>229.72699999999998</v>
      </c>
      <c r="D134" t="str">
        <f>'0389'!F23</f>
        <v>nan</v>
      </c>
      <c r="E134" t="str">
        <f>'0389'!G23</f>
        <v>nan</v>
      </c>
    </row>
    <row r="135" spans="1:5" x14ac:dyDescent="0.25">
      <c r="A135">
        <v>389</v>
      </c>
      <c r="B135">
        <f>'0389'!D24</f>
        <v>62821.326399999998</v>
      </c>
      <c r="C135">
        <f>'0389'!E24</f>
        <v>230.67399999999998</v>
      </c>
      <c r="D135" t="str">
        <f>'0389'!F24</f>
        <v>nan</v>
      </c>
      <c r="E135" t="str">
        <f>'0389'!G24</f>
        <v>nan</v>
      </c>
    </row>
    <row r="136" spans="1:5" x14ac:dyDescent="0.25">
      <c r="A136">
        <v>389</v>
      </c>
      <c r="B136">
        <f>'0389'!D25</f>
        <v>70740.653200000001</v>
      </c>
      <c r="C136">
        <f>'0389'!E25</f>
        <v>232.87599999999998</v>
      </c>
      <c r="D136" t="str">
        <f>'0389'!F25</f>
        <v>nan</v>
      </c>
      <c r="E136" t="str">
        <f>'0389'!G25</f>
        <v>nan</v>
      </c>
    </row>
    <row r="137" spans="1:5" x14ac:dyDescent="0.25">
      <c r="A137">
        <v>389</v>
      </c>
      <c r="B137">
        <f>'0389'!D26</f>
        <v>70900.639599999995</v>
      </c>
      <c r="C137">
        <f>'0389'!E26</f>
        <v>232.90999999999997</v>
      </c>
      <c r="D137" t="str">
        <f>'0389'!F26</f>
        <v>nan</v>
      </c>
      <c r="E137" t="str">
        <f>'0389'!G26</f>
        <v>nan</v>
      </c>
    </row>
    <row r="138" spans="1:5" x14ac:dyDescent="0.25">
      <c r="A138">
        <v>389</v>
      </c>
      <c r="B138">
        <f>'0389'!D27</f>
        <v>76260.184000000008</v>
      </c>
      <c r="C138">
        <f>'0389'!E27</f>
        <v>234.27499999999998</v>
      </c>
      <c r="D138" t="str">
        <f>'0389'!F27</f>
        <v>nan</v>
      </c>
      <c r="E138" t="str">
        <f>'0389'!G27</f>
        <v>nan</v>
      </c>
    </row>
    <row r="139" spans="1:5" x14ac:dyDescent="0.25">
      <c r="A139">
        <v>389</v>
      </c>
      <c r="B139">
        <f>'0389'!D28</f>
        <v>76206.855200000005</v>
      </c>
      <c r="C139">
        <f>'0389'!E28</f>
        <v>234.27699999999999</v>
      </c>
      <c r="D139" t="str">
        <f>'0389'!F28</f>
        <v>nan</v>
      </c>
      <c r="E139" t="str">
        <f>'0389'!G28</f>
        <v>nan</v>
      </c>
    </row>
    <row r="140" spans="1:5" x14ac:dyDescent="0.25">
      <c r="A140">
        <v>389</v>
      </c>
      <c r="B140">
        <f>'0389'!D29</f>
        <v>76166.858599999992</v>
      </c>
      <c r="C140">
        <f>'0389'!E29</f>
        <v>234.27699999999999</v>
      </c>
      <c r="D140" t="str">
        <f>'0389'!F29</f>
        <v>nan</v>
      </c>
      <c r="E140" t="str">
        <f>'0389'!G29</f>
        <v>nan</v>
      </c>
    </row>
    <row r="141" spans="1:5" x14ac:dyDescent="0.25">
      <c r="A141">
        <v>389</v>
      </c>
      <c r="B141">
        <f>'0389'!D30</f>
        <v>76246.851800000004</v>
      </c>
      <c r="C141">
        <f>'0389'!E30</f>
        <v>234.27699999999999</v>
      </c>
      <c r="D141" t="str">
        <f>'0389'!F30</f>
        <v>nan</v>
      </c>
      <c r="E141" t="str">
        <f>'0389'!G30</f>
        <v>nan</v>
      </c>
    </row>
    <row r="142" spans="1:5" x14ac:dyDescent="0.25">
      <c r="A142">
        <v>389</v>
      </c>
      <c r="B142">
        <f>'0389'!D31</f>
        <v>76220.18740000001</v>
      </c>
      <c r="C142">
        <f>'0389'!E31</f>
        <v>234.27799999999996</v>
      </c>
      <c r="D142" t="str">
        <f>'0389'!F31</f>
        <v>nan</v>
      </c>
      <c r="E142" t="str">
        <f>'0389'!G31</f>
        <v>nan</v>
      </c>
    </row>
    <row r="143" spans="1:5" x14ac:dyDescent="0.25">
      <c r="A143">
        <v>389</v>
      </c>
      <c r="B143">
        <f>'0389'!D32</f>
        <v>76233.5196</v>
      </c>
      <c r="C143">
        <f>'0389'!E32</f>
        <v>234.27799999999996</v>
      </c>
      <c r="D143" t="str">
        <f>'0389'!F32</f>
        <v>nan</v>
      </c>
      <c r="E143" t="str">
        <f>'0389'!G32</f>
        <v>nan</v>
      </c>
    </row>
    <row r="144" spans="1:5" x14ac:dyDescent="0.25">
      <c r="A144">
        <v>389</v>
      </c>
      <c r="B144">
        <f>'0389'!D33</f>
        <v>76220.18740000001</v>
      </c>
      <c r="C144">
        <f>'0389'!E33</f>
        <v>234.27799999999996</v>
      </c>
      <c r="D144" t="str">
        <f>'0389'!F33</f>
        <v>nan</v>
      </c>
      <c r="E144" t="str">
        <f>'0389'!G33</f>
        <v>nan</v>
      </c>
    </row>
    <row r="145" spans="1:5" x14ac:dyDescent="0.25">
      <c r="A145">
        <v>389</v>
      </c>
      <c r="B145">
        <f>'0389'!D34</f>
        <v>76206.855200000005</v>
      </c>
      <c r="C145">
        <f>'0389'!E34</f>
        <v>234.27799999999996</v>
      </c>
      <c r="D145" t="str">
        <f>'0389'!F34</f>
        <v>nan</v>
      </c>
      <c r="E145" t="str">
        <f>'0389'!G34</f>
        <v>nan</v>
      </c>
    </row>
    <row r="146" spans="1:5" x14ac:dyDescent="0.25">
      <c r="A146">
        <v>389</v>
      </c>
      <c r="B146">
        <f>'0389'!D35</f>
        <v>76220.18740000001</v>
      </c>
      <c r="C146">
        <f>'0389'!E35</f>
        <v>234.27799999999996</v>
      </c>
      <c r="D146" t="str">
        <f>'0389'!F35</f>
        <v>nan</v>
      </c>
      <c r="E146" t="str">
        <f>'0389'!G35</f>
        <v>nan</v>
      </c>
    </row>
    <row r="147" spans="1:5" x14ac:dyDescent="0.25">
      <c r="A147">
        <v>389</v>
      </c>
      <c r="B147">
        <f>'0389'!D36</f>
        <v>76246.851800000004</v>
      </c>
      <c r="C147">
        <f>'0389'!E36</f>
        <v>234.27999999999997</v>
      </c>
      <c r="D147" t="str">
        <f>'0389'!F36</f>
        <v>nan</v>
      </c>
      <c r="E147" t="str">
        <f>'0389'!G36</f>
        <v>nan</v>
      </c>
    </row>
    <row r="148" spans="1:5" x14ac:dyDescent="0.25">
      <c r="A148">
        <v>389</v>
      </c>
      <c r="B148">
        <f>'0389'!D37</f>
        <v>151533.78519999998</v>
      </c>
      <c r="C148">
        <f>'0389'!E37</f>
        <v>248.13099999999997</v>
      </c>
      <c r="D148" t="str">
        <f>'0389'!F37</f>
        <v>nan</v>
      </c>
      <c r="E148" t="str">
        <f>'0389'!G37</f>
        <v>nan</v>
      </c>
    </row>
    <row r="149" spans="1:5" x14ac:dyDescent="0.25">
      <c r="A149">
        <v>389</v>
      </c>
      <c r="B149">
        <f>'0389'!D38</f>
        <v>151493.7886</v>
      </c>
      <c r="C149">
        <f>'0389'!E38</f>
        <v>248.13199999999998</v>
      </c>
      <c r="D149" t="str">
        <f>'0389'!F38</f>
        <v>nan</v>
      </c>
      <c r="E149" t="str">
        <f>'0389'!G38</f>
        <v>nan</v>
      </c>
    </row>
    <row r="150" spans="1:5" x14ac:dyDescent="0.25">
      <c r="A150">
        <v>389</v>
      </c>
      <c r="B150">
        <f>'0389'!D39</f>
        <v>151587.114</v>
      </c>
      <c r="C150">
        <f>'0389'!E39</f>
        <v>248.14499999999998</v>
      </c>
      <c r="D150" t="str">
        <f>'0389'!F39</f>
        <v>nan</v>
      </c>
      <c r="E150" t="str">
        <f>'0389'!G39</f>
        <v>nan</v>
      </c>
    </row>
    <row r="151" spans="1:5" x14ac:dyDescent="0.25">
      <c r="A151">
        <v>389</v>
      </c>
      <c r="B151">
        <f>'0389'!D40</f>
        <v>167625.7506</v>
      </c>
      <c r="C151">
        <f>'0389'!E40</f>
        <v>250.33799999999997</v>
      </c>
      <c r="D151" t="str">
        <f>'0389'!F40</f>
        <v>nan</v>
      </c>
      <c r="E151" t="str">
        <f>'0389'!G40</f>
        <v>nan</v>
      </c>
    </row>
    <row r="152" spans="1:5" x14ac:dyDescent="0.25">
      <c r="A152">
        <v>389</v>
      </c>
      <c r="B152">
        <f>'0389'!D41</f>
        <v>167879.0624</v>
      </c>
      <c r="C152">
        <f>'0389'!E41</f>
        <v>250.36799999999997</v>
      </c>
      <c r="D152" t="str">
        <f>'0389'!F41</f>
        <v>nan</v>
      </c>
      <c r="E152" t="str">
        <f>'0389'!G41</f>
        <v>nan</v>
      </c>
    </row>
    <row r="153" spans="1:5" x14ac:dyDescent="0.25">
      <c r="A153">
        <v>389</v>
      </c>
      <c r="B153">
        <f>'0389'!D42</f>
        <v>190157.1686</v>
      </c>
      <c r="C153">
        <f>'0389'!E42</f>
        <v>253.13799999999998</v>
      </c>
      <c r="D153" t="str">
        <f>'0389'!F42</f>
        <v>nan</v>
      </c>
      <c r="E153" t="str">
        <f>'0389'!G42</f>
        <v>nan</v>
      </c>
    </row>
    <row r="154" spans="1:5" x14ac:dyDescent="0.25">
      <c r="A154">
        <v>389</v>
      </c>
      <c r="B154">
        <f>'0389'!D43</f>
        <v>190237.1618</v>
      </c>
      <c r="C154">
        <f>'0389'!E43</f>
        <v>253.14199999999997</v>
      </c>
      <c r="D154" t="str">
        <f>'0389'!F43</f>
        <v>nan</v>
      </c>
      <c r="E154" t="str">
        <f>'0389'!G43</f>
        <v>nan</v>
      </c>
    </row>
    <row r="155" spans="1:5" x14ac:dyDescent="0.25">
      <c r="A155">
        <v>389</v>
      </c>
      <c r="B155">
        <f>'0389'!D44</f>
        <v>190197.16519999999</v>
      </c>
      <c r="C155">
        <f>'0389'!E44</f>
        <v>253.14499999999998</v>
      </c>
      <c r="D155" t="str">
        <f>'0389'!F44</f>
        <v>nan</v>
      </c>
      <c r="E155" t="str">
        <f>'0389'!G44</f>
        <v>nan</v>
      </c>
    </row>
    <row r="156" spans="1:5" x14ac:dyDescent="0.25">
      <c r="A156">
        <v>389</v>
      </c>
      <c r="B156">
        <f>'0389'!D45</f>
        <v>190143.8364</v>
      </c>
      <c r="C156">
        <f>'0389'!E45</f>
        <v>253.14599999999999</v>
      </c>
      <c r="D156" t="str">
        <f>'0389'!F45</f>
        <v>nan</v>
      </c>
      <c r="E156" t="str">
        <f>'0389'!G45</f>
        <v>nan</v>
      </c>
    </row>
    <row r="157" spans="1:5" x14ac:dyDescent="0.25">
      <c r="A157">
        <v>389</v>
      </c>
      <c r="B157">
        <f>'0389'!D46</f>
        <v>190290.49059999999</v>
      </c>
      <c r="C157">
        <f>'0389'!E46</f>
        <v>253.14799999999997</v>
      </c>
      <c r="D157" t="str">
        <f>'0389'!F46</f>
        <v>nan</v>
      </c>
      <c r="E157" t="str">
        <f>'0389'!G46</f>
        <v>nan</v>
      </c>
    </row>
    <row r="158" spans="1:5" x14ac:dyDescent="0.25">
      <c r="A158">
        <v>389</v>
      </c>
      <c r="B158">
        <f>'0389'!D47</f>
        <v>235953.27559999999</v>
      </c>
      <c r="C158">
        <f>'0389'!E47</f>
        <v>258.10399999999998</v>
      </c>
      <c r="D158" t="str">
        <f>'0389'!F47</f>
        <v>nan</v>
      </c>
      <c r="E158" t="str">
        <f>'0389'!G47</f>
        <v>nan</v>
      </c>
    </row>
    <row r="159" spans="1:5" x14ac:dyDescent="0.25">
      <c r="A159">
        <v>389</v>
      </c>
      <c r="B159">
        <f>'0389'!D48</f>
        <v>236099.92980000001</v>
      </c>
      <c r="C159">
        <f>'0389'!E48</f>
        <v>258.125</v>
      </c>
      <c r="D159" t="str">
        <f>'0389'!F48</f>
        <v>nan</v>
      </c>
      <c r="E159" t="str">
        <f>'0389'!G48</f>
        <v>nan</v>
      </c>
    </row>
    <row r="160" spans="1:5" x14ac:dyDescent="0.25">
      <c r="A160">
        <v>389</v>
      </c>
      <c r="B160">
        <f>'0389'!D49</f>
        <v>236099.92980000001</v>
      </c>
      <c r="C160">
        <f>'0389'!E49</f>
        <v>258.13</v>
      </c>
      <c r="D160" t="str">
        <f>'0389'!F49</f>
        <v>nan</v>
      </c>
      <c r="E160" t="str">
        <f>'0389'!G49</f>
        <v>nan</v>
      </c>
    </row>
    <row r="161" spans="1:5" x14ac:dyDescent="0.25">
      <c r="A161">
        <v>389</v>
      </c>
      <c r="B161">
        <f>'0389'!D50</f>
        <v>236313.245</v>
      </c>
      <c r="C161">
        <f>'0389'!E50</f>
        <v>258.14699999999999</v>
      </c>
      <c r="D161" t="str">
        <f>'0389'!F50</f>
        <v>nan</v>
      </c>
      <c r="E161" t="str">
        <f>'0389'!G50</f>
        <v>nan</v>
      </c>
    </row>
    <row r="162" spans="1:5" x14ac:dyDescent="0.25">
      <c r="A162">
        <v>389</v>
      </c>
      <c r="B162">
        <f>'0389'!D51</f>
        <v>236326.5772</v>
      </c>
      <c r="C162">
        <f>'0389'!E51</f>
        <v>258.14799999999997</v>
      </c>
      <c r="D162" t="str">
        <f>'0389'!F51</f>
        <v>nan</v>
      </c>
      <c r="E162" t="str">
        <f>'0389'!G51</f>
        <v>nan</v>
      </c>
    </row>
    <row r="163" spans="1:5" x14ac:dyDescent="0.25">
      <c r="A163">
        <v>389</v>
      </c>
      <c r="B163">
        <f>'0389'!D52</f>
        <v>290628.62780000002</v>
      </c>
      <c r="C163">
        <f>'0389'!E52</f>
        <v>263.12599999999998</v>
      </c>
      <c r="D163" t="str">
        <f>'0389'!F52</f>
        <v>nan</v>
      </c>
      <c r="E163" t="str">
        <f>'0389'!G52</f>
        <v>nan</v>
      </c>
    </row>
    <row r="164" spans="1:5" x14ac:dyDescent="0.25">
      <c r="A164">
        <v>389</v>
      </c>
      <c r="B164">
        <f>'0389'!D53</f>
        <v>290615.29560000001</v>
      </c>
      <c r="C164">
        <f>'0389'!E53</f>
        <v>263.13</v>
      </c>
      <c r="D164" t="str">
        <f>'0389'!F53</f>
        <v>nan</v>
      </c>
      <c r="E164" t="str">
        <f>'0389'!G53</f>
        <v>nan</v>
      </c>
    </row>
    <row r="165" spans="1:5" x14ac:dyDescent="0.25">
      <c r="A165">
        <v>389</v>
      </c>
      <c r="B165">
        <f>'0389'!D54</f>
        <v>290828.61080000002</v>
      </c>
      <c r="C165">
        <f>'0389'!E54</f>
        <v>263.14</v>
      </c>
      <c r="D165" t="str">
        <f>'0389'!F54</f>
        <v>nan</v>
      </c>
      <c r="E165" t="str">
        <f>'0389'!G54</f>
        <v>nan</v>
      </c>
    </row>
    <row r="166" spans="1:5" x14ac:dyDescent="0.25">
      <c r="A166">
        <v>389</v>
      </c>
      <c r="B166">
        <f>'0389'!D55</f>
        <v>290735.28539999999</v>
      </c>
      <c r="C166">
        <f>'0389'!E55</f>
        <v>263.14099999999996</v>
      </c>
      <c r="D166" t="str">
        <f>'0389'!F55</f>
        <v>nan</v>
      </c>
      <c r="E166" t="str">
        <f>'0389'!G55</f>
        <v>nan</v>
      </c>
    </row>
    <row r="167" spans="1:5" x14ac:dyDescent="0.25">
      <c r="A167">
        <v>389</v>
      </c>
      <c r="B167">
        <f>'0389'!D56</f>
        <v>290708.62099999998</v>
      </c>
      <c r="C167">
        <f>'0389'!E56</f>
        <v>263.15099999999995</v>
      </c>
      <c r="D167" t="str">
        <f>'0389'!F56</f>
        <v>nan</v>
      </c>
      <c r="E167" t="str">
        <f>'0389'!G56</f>
        <v>nan</v>
      </c>
    </row>
    <row r="168" spans="1:5" x14ac:dyDescent="0.25">
      <c r="A168">
        <v>389</v>
      </c>
      <c r="B168">
        <f>'0389'!D57</f>
        <v>353849.92019999999</v>
      </c>
      <c r="C168">
        <f>'0389'!E57</f>
        <v>268.089</v>
      </c>
      <c r="D168" t="str">
        <f>'0389'!F57</f>
        <v>nan</v>
      </c>
      <c r="E168" t="str">
        <f>'0389'!G57</f>
        <v>nan</v>
      </c>
    </row>
    <row r="169" spans="1:5" x14ac:dyDescent="0.25">
      <c r="A169">
        <v>389</v>
      </c>
      <c r="B169">
        <f>'0389'!D58</f>
        <v>354609.85560000001</v>
      </c>
      <c r="C169">
        <f>'0389'!E58</f>
        <v>268.12899999999996</v>
      </c>
      <c r="D169" t="str">
        <f>'0389'!F58</f>
        <v>nan</v>
      </c>
      <c r="E169" t="str">
        <f>'0389'!G58</f>
        <v>nan</v>
      </c>
    </row>
    <row r="170" spans="1:5" x14ac:dyDescent="0.25">
      <c r="A170">
        <v>389</v>
      </c>
      <c r="B170">
        <f>'0389'!D59</f>
        <v>354596.52340000001</v>
      </c>
      <c r="C170">
        <f>'0389'!E59</f>
        <v>268.13399999999996</v>
      </c>
      <c r="D170" t="str">
        <f>'0389'!F59</f>
        <v>nan</v>
      </c>
      <c r="E170" t="str">
        <f>'0389'!G59</f>
        <v>nan</v>
      </c>
    </row>
    <row r="171" spans="1:5" x14ac:dyDescent="0.25">
      <c r="A171">
        <v>389</v>
      </c>
      <c r="B171">
        <f>'0389'!D60</f>
        <v>354663.18439999997</v>
      </c>
      <c r="C171">
        <f>'0389'!E60</f>
        <v>268.13599999999997</v>
      </c>
      <c r="D171" t="str">
        <f>'0389'!F60</f>
        <v>nan</v>
      </c>
      <c r="E171" t="str">
        <f>'0389'!G60</f>
        <v>nan</v>
      </c>
    </row>
    <row r="172" spans="1:5" x14ac:dyDescent="0.25">
      <c r="A172">
        <v>389</v>
      </c>
      <c r="B172">
        <f>'0389'!D61</f>
        <v>354676.51660000003</v>
      </c>
      <c r="C172">
        <f>'0389'!E61</f>
        <v>268.14</v>
      </c>
      <c r="D172" t="str">
        <f>'0389'!F61</f>
        <v>nan</v>
      </c>
      <c r="E172" t="str">
        <f>'0389'!G61</f>
        <v>nan</v>
      </c>
    </row>
    <row r="173" spans="1:5" x14ac:dyDescent="0.25">
      <c r="A173">
        <v>389</v>
      </c>
      <c r="B173">
        <f>'0389'!D62</f>
        <v>354863.16739999998</v>
      </c>
      <c r="C173">
        <f>'0389'!E62</f>
        <v>268.14499999999998</v>
      </c>
      <c r="D173" t="str">
        <f>'0389'!F62</f>
        <v>nan</v>
      </c>
      <c r="E173" t="str">
        <f>'0389'!G62</f>
        <v>nan</v>
      </c>
    </row>
    <row r="174" spans="1:5" x14ac:dyDescent="0.25">
      <c r="A174">
        <v>389</v>
      </c>
      <c r="B174">
        <f>'0389'!D63</f>
        <v>429390.1654</v>
      </c>
      <c r="C174">
        <f>'0389'!E63</f>
        <v>273.14699999999999</v>
      </c>
      <c r="D174" t="str">
        <f>'0389'!F63</f>
        <v>nan</v>
      </c>
      <c r="E174" t="str">
        <f>'0389'!G63</f>
        <v>nan</v>
      </c>
    </row>
    <row r="175" spans="1:5" x14ac:dyDescent="0.25">
      <c r="A175">
        <v>389</v>
      </c>
      <c r="B175">
        <f>'0389'!D64</f>
        <v>429363.50099999999</v>
      </c>
      <c r="C175">
        <f>'0389'!E64</f>
        <v>273.14999999999998</v>
      </c>
      <c r="D175" t="str">
        <f>'0389'!F64</f>
        <v>nan</v>
      </c>
      <c r="E175" t="str">
        <f>'0389'!G64</f>
        <v>nan</v>
      </c>
    </row>
    <row r="176" spans="1:5" x14ac:dyDescent="0.25">
      <c r="A176">
        <v>389</v>
      </c>
      <c r="B176">
        <f>'0389'!D65</f>
        <v>429403.49760000006</v>
      </c>
      <c r="C176">
        <f>'0389'!E65</f>
        <v>273.14999999999998</v>
      </c>
      <c r="D176" t="str">
        <f>'0389'!F65</f>
        <v>nan</v>
      </c>
      <c r="E176" t="str">
        <f>'0389'!G65</f>
        <v>nan</v>
      </c>
    </row>
    <row r="177" spans="1:5" x14ac:dyDescent="0.25">
      <c r="A177">
        <v>389</v>
      </c>
      <c r="B177">
        <f>'0389'!D66</f>
        <v>429390.1654</v>
      </c>
      <c r="C177">
        <f>'0389'!E66</f>
        <v>273.14999999999998</v>
      </c>
      <c r="D177" t="str">
        <f>'0389'!F66</f>
        <v>nan</v>
      </c>
      <c r="E177" t="str">
        <f>'0389'!G66</f>
        <v>nan</v>
      </c>
    </row>
    <row r="178" spans="1:5" x14ac:dyDescent="0.25">
      <c r="A178">
        <v>389</v>
      </c>
      <c r="B178">
        <f>'0389'!D67</f>
        <v>429350.16880000004</v>
      </c>
      <c r="C178">
        <f>'0389'!E67</f>
        <v>273.14999999999998</v>
      </c>
      <c r="D178" t="str">
        <f>'0389'!F67</f>
        <v>nan</v>
      </c>
      <c r="E178" t="str">
        <f>'0389'!G67</f>
        <v>nan</v>
      </c>
    </row>
    <row r="179" spans="1:5" x14ac:dyDescent="0.25">
      <c r="A179">
        <v>389</v>
      </c>
      <c r="B179">
        <f>'0389'!D68</f>
        <v>429456.82639999996</v>
      </c>
      <c r="C179">
        <f>'0389'!E68</f>
        <v>273.14999999999998</v>
      </c>
      <c r="D179" t="str">
        <f>'0389'!F68</f>
        <v>nan</v>
      </c>
      <c r="E179" t="str">
        <f>'0389'!G68</f>
        <v>nan</v>
      </c>
    </row>
    <row r="180" spans="1:5" x14ac:dyDescent="0.25">
      <c r="A180">
        <v>389</v>
      </c>
      <c r="B180">
        <f>'0389'!D69</f>
        <v>429403.49760000006</v>
      </c>
      <c r="C180">
        <f>'0389'!E69</f>
        <v>273.14999999999998</v>
      </c>
      <c r="D180" t="str">
        <f>'0389'!F69</f>
        <v>nan</v>
      </c>
      <c r="E180" t="str">
        <f>'0389'!G69</f>
        <v>nan</v>
      </c>
    </row>
    <row r="181" spans="1:5" x14ac:dyDescent="0.25">
      <c r="A181">
        <v>389</v>
      </c>
      <c r="B181">
        <f>'0389'!D70</f>
        <v>429456.82639999996</v>
      </c>
      <c r="C181">
        <f>'0389'!E70</f>
        <v>273.14999999999998</v>
      </c>
      <c r="D181" t="str">
        <f>'0389'!F70</f>
        <v>nan</v>
      </c>
      <c r="E181" t="str">
        <f>'0389'!G70</f>
        <v>nan</v>
      </c>
    </row>
    <row r="182" spans="1:5" x14ac:dyDescent="0.25">
      <c r="A182">
        <v>389</v>
      </c>
      <c r="B182">
        <f>'0389'!D71</f>
        <v>516156.12300000002</v>
      </c>
      <c r="C182">
        <f>'0389'!E71</f>
        <v>278.17199999999997</v>
      </c>
      <c r="D182" t="str">
        <f>'0389'!F71</f>
        <v>nan</v>
      </c>
      <c r="E182" t="str">
        <f>'0389'!G71</f>
        <v>nan</v>
      </c>
    </row>
    <row r="183" spans="1:5" x14ac:dyDescent="0.25">
      <c r="A183">
        <v>389</v>
      </c>
      <c r="B183">
        <f>'0389'!D72</f>
        <v>76260.184000000008</v>
      </c>
      <c r="C183">
        <f>'0389'!E72</f>
        <v>234.28299999999999</v>
      </c>
      <c r="D183" t="str">
        <f>'0389'!F72</f>
        <v>nan</v>
      </c>
      <c r="E183" t="str">
        <f>'0389'!G72</f>
        <v>nan</v>
      </c>
    </row>
    <row r="184" spans="1:5" x14ac:dyDescent="0.25">
      <c r="A184">
        <v>389</v>
      </c>
      <c r="B184">
        <f>'0389'!D73</f>
        <v>76220.18740000001</v>
      </c>
      <c r="C184">
        <f>'0389'!E73</f>
        <v>234.28399999999999</v>
      </c>
      <c r="D184" t="str">
        <f>'0389'!F73</f>
        <v>nan</v>
      </c>
      <c r="E184" t="str">
        <f>'0389'!G73</f>
        <v>nan</v>
      </c>
    </row>
    <row r="185" spans="1:5" x14ac:dyDescent="0.25">
      <c r="A185">
        <v>389</v>
      </c>
      <c r="B185">
        <f>'0389'!D74</f>
        <v>76260.184000000008</v>
      </c>
      <c r="C185">
        <f>'0389'!E74</f>
        <v>234.28499999999997</v>
      </c>
      <c r="D185" t="str">
        <f>'0389'!F74</f>
        <v>nan</v>
      </c>
      <c r="E185" t="str">
        <f>'0389'!G74</f>
        <v>nan</v>
      </c>
    </row>
    <row r="186" spans="1:5" x14ac:dyDescent="0.25">
      <c r="A186">
        <v>389</v>
      </c>
      <c r="B186">
        <f>'0389'!D75</f>
        <v>76233.5196</v>
      </c>
      <c r="C186">
        <f>'0389'!E75</f>
        <v>234.28899999999999</v>
      </c>
      <c r="D186" t="str">
        <f>'0389'!F75</f>
        <v>nan</v>
      </c>
      <c r="E186" t="str">
        <f>'0389'!G75</f>
        <v>nan</v>
      </c>
    </row>
    <row r="187" spans="1:5" x14ac:dyDescent="0.25">
      <c r="A187">
        <v>389</v>
      </c>
      <c r="B187">
        <f>'0389'!D76</f>
        <v>81353.084400000007</v>
      </c>
      <c r="C187">
        <f>'0389'!E76</f>
        <v>235.50699999999998</v>
      </c>
      <c r="D187" t="str">
        <f>'0389'!F76</f>
        <v>nan</v>
      </c>
      <c r="E187" t="str">
        <f>'0389'!G76</f>
        <v>nan</v>
      </c>
    </row>
    <row r="188" spans="1:5" x14ac:dyDescent="0.25">
      <c r="A188">
        <v>389</v>
      </c>
      <c r="B188">
        <f>'0389'!D77</f>
        <v>85046.103799999997</v>
      </c>
      <c r="C188">
        <f>'0389'!E77</f>
        <v>236.36899999999997</v>
      </c>
      <c r="D188" t="str">
        <f>'0389'!F77</f>
        <v>nan</v>
      </c>
      <c r="E188" t="str">
        <f>'0389'!G77</f>
        <v>nan</v>
      </c>
    </row>
    <row r="189" spans="1:5" x14ac:dyDescent="0.25">
      <c r="A189">
        <v>389</v>
      </c>
      <c r="B189">
        <f>'0389'!D78</f>
        <v>85486.066400000011</v>
      </c>
      <c r="C189">
        <f>'0389'!E78</f>
        <v>236.48299999999998</v>
      </c>
      <c r="D189" t="str">
        <f>'0389'!F78</f>
        <v>nan</v>
      </c>
      <c r="E189" t="str">
        <f>'0389'!G78</f>
        <v>nan</v>
      </c>
    </row>
    <row r="190" spans="1:5" x14ac:dyDescent="0.25">
      <c r="A190">
        <v>389</v>
      </c>
      <c r="B190">
        <f>'0389'!D79</f>
        <v>85659.384999999995</v>
      </c>
      <c r="C190">
        <f>'0389'!E79</f>
        <v>236.50499999999997</v>
      </c>
      <c r="D190" t="str">
        <f>'0389'!F79</f>
        <v>nan</v>
      </c>
      <c r="E190" t="str">
        <f>'0389'!G79</f>
        <v>nan</v>
      </c>
    </row>
    <row r="191" spans="1:5" x14ac:dyDescent="0.25">
      <c r="A191">
        <v>389</v>
      </c>
      <c r="B191">
        <f>'0389'!D80</f>
        <v>85806.039199999999</v>
      </c>
      <c r="C191">
        <f>'0389'!E80</f>
        <v>236.53399999999999</v>
      </c>
      <c r="D191" t="str">
        <f>'0389'!F80</f>
        <v>nan</v>
      </c>
      <c r="E191" t="str">
        <f>'0389'!G80</f>
        <v>nan</v>
      </c>
    </row>
    <row r="192" spans="1:5" x14ac:dyDescent="0.25">
      <c r="A192">
        <v>389</v>
      </c>
      <c r="B192">
        <f>'0389'!D81</f>
        <v>85792.706999999995</v>
      </c>
      <c r="C192">
        <f>'0389'!E81</f>
        <v>236.54499999999999</v>
      </c>
      <c r="D192" t="str">
        <f>'0389'!F81</f>
        <v>nan</v>
      </c>
      <c r="E192" t="str">
        <f>'0389'!G81</f>
        <v>nan</v>
      </c>
    </row>
    <row r="193" spans="1:5" x14ac:dyDescent="0.25">
      <c r="A193">
        <v>389</v>
      </c>
      <c r="B193">
        <f>'0389'!D82</f>
        <v>90992.264999999999</v>
      </c>
      <c r="C193">
        <f>'0389'!E82</f>
        <v>237.67399999999998</v>
      </c>
      <c r="D193" t="str">
        <f>'0389'!F82</f>
        <v>nan</v>
      </c>
      <c r="E193" t="str">
        <f>'0389'!G82</f>
        <v>nan</v>
      </c>
    </row>
    <row r="194" spans="1:5" x14ac:dyDescent="0.25">
      <c r="A194">
        <v>389</v>
      </c>
      <c r="B194">
        <f>'0389'!D83</f>
        <v>93698.7016</v>
      </c>
      <c r="C194">
        <f>'0389'!E83</f>
        <v>238.24299999999999</v>
      </c>
      <c r="D194" t="str">
        <f>'0389'!F83</f>
        <v>nan</v>
      </c>
      <c r="E194" t="str">
        <f>'0389'!G83</f>
        <v>nan</v>
      </c>
    </row>
    <row r="195" spans="1:5" x14ac:dyDescent="0.25">
      <c r="A195">
        <v>389</v>
      </c>
      <c r="B195">
        <f>'0389'!D84</f>
        <v>97471.714200000002</v>
      </c>
      <c r="C195">
        <f>'0389'!E84</f>
        <v>239.03099999999998</v>
      </c>
      <c r="D195" t="str">
        <f>'0389'!F84</f>
        <v>nan</v>
      </c>
      <c r="E195" t="str">
        <f>'0389'!G84</f>
        <v>nan</v>
      </c>
    </row>
    <row r="196" spans="1:5" x14ac:dyDescent="0.25">
      <c r="A196">
        <v>389</v>
      </c>
      <c r="B196">
        <f>'0389'!D85</f>
        <v>99338.222200000004</v>
      </c>
      <c r="C196">
        <f>'0389'!E85</f>
        <v>239.40399999999997</v>
      </c>
      <c r="D196" t="str">
        <f>'0389'!F85</f>
        <v>nan</v>
      </c>
      <c r="E196" t="str">
        <f>'0389'!G85</f>
        <v>nan</v>
      </c>
    </row>
    <row r="197" spans="1:5" x14ac:dyDescent="0.25">
      <c r="A197">
        <v>389</v>
      </c>
      <c r="B197">
        <f>'0389'!D86</f>
        <v>101151.4014</v>
      </c>
      <c r="C197">
        <f>'0389'!E86</f>
        <v>239.76099999999997</v>
      </c>
      <c r="D197" t="str">
        <f>'0389'!F86</f>
        <v>nan</v>
      </c>
      <c r="E197" t="str">
        <f>'0389'!G86</f>
        <v>nan</v>
      </c>
    </row>
    <row r="198" spans="1:5" x14ac:dyDescent="0.25">
      <c r="A198">
        <v>389</v>
      </c>
      <c r="B198">
        <f>'0389'!D87</f>
        <v>101351.38440000001</v>
      </c>
      <c r="C198">
        <f>'0389'!E87</f>
        <v>239.78099999999998</v>
      </c>
      <c r="D198" t="str">
        <f>'0389'!F87</f>
        <v>nan</v>
      </c>
      <c r="E198" t="str">
        <f>'0389'!G87</f>
        <v>nan</v>
      </c>
    </row>
    <row r="199" spans="1:5" x14ac:dyDescent="0.25">
      <c r="A199">
        <v>389</v>
      </c>
      <c r="B199">
        <f>'0389'!D88</f>
        <v>101231.3946</v>
      </c>
      <c r="C199">
        <f>'0389'!E88</f>
        <v>239.78199999999998</v>
      </c>
      <c r="D199" t="str">
        <f>'0389'!F88</f>
        <v>nan</v>
      </c>
      <c r="E199" t="str">
        <f>'0389'!G88</f>
        <v>nan</v>
      </c>
    </row>
    <row r="200" spans="1:5" x14ac:dyDescent="0.25">
      <c r="A200">
        <v>389</v>
      </c>
      <c r="B200">
        <f>'0389'!D89</f>
        <v>101338.05220000001</v>
      </c>
      <c r="C200">
        <f>'0389'!E89</f>
        <v>239.78699999999998</v>
      </c>
      <c r="D200" t="str">
        <f>'0389'!F89</f>
        <v>nan</v>
      </c>
      <c r="E200" t="str">
        <f>'0389'!G89</f>
        <v>nan</v>
      </c>
    </row>
    <row r="201" spans="1:5" x14ac:dyDescent="0.25">
      <c r="A201">
        <v>389</v>
      </c>
      <c r="B201">
        <f>'0389'!D90</f>
        <v>101324.72</v>
      </c>
      <c r="C201">
        <f>'0389'!E90</f>
        <v>239.78799999999998</v>
      </c>
      <c r="D201" t="str">
        <f>'0389'!F90</f>
        <v>nan</v>
      </c>
      <c r="E201" t="str">
        <f>'0389'!G90</f>
        <v>nan</v>
      </c>
    </row>
    <row r="202" spans="1:5" x14ac:dyDescent="0.25">
      <c r="A202">
        <v>389</v>
      </c>
      <c r="B202">
        <f>'0389'!D91</f>
        <v>101338.05220000001</v>
      </c>
      <c r="C202">
        <f>'0389'!E91</f>
        <v>239.78899999999999</v>
      </c>
      <c r="D202" t="str">
        <f>'0389'!F91</f>
        <v>nan</v>
      </c>
      <c r="E202" t="str">
        <f>'0389'!G91</f>
        <v>nan</v>
      </c>
    </row>
    <row r="203" spans="1:5" x14ac:dyDescent="0.25">
      <c r="A203">
        <v>389</v>
      </c>
      <c r="B203">
        <f>'0389'!D92</f>
        <v>101338.05220000001</v>
      </c>
      <c r="C203">
        <f>'0389'!E92</f>
        <v>239.79599999999999</v>
      </c>
      <c r="D203" t="str">
        <f>'0389'!F92</f>
        <v>nan</v>
      </c>
      <c r="E203" t="str">
        <f>'0389'!G92</f>
        <v>nan</v>
      </c>
    </row>
    <row r="204" spans="1:5" x14ac:dyDescent="0.25">
      <c r="A204">
        <v>389</v>
      </c>
      <c r="B204">
        <f>'0389'!D93</f>
        <v>101538.0352</v>
      </c>
      <c r="C204">
        <f>'0389'!E93</f>
        <v>239.83599999999998</v>
      </c>
      <c r="D204" t="str">
        <f>'0389'!F93</f>
        <v>nan</v>
      </c>
      <c r="E204" t="str">
        <f>'0389'!G93</f>
        <v>nan</v>
      </c>
    </row>
    <row r="205" spans="1:5" x14ac:dyDescent="0.25">
      <c r="A205">
        <v>389</v>
      </c>
      <c r="B205">
        <f>'0389'!D94</f>
        <v>101484.70640000001</v>
      </c>
      <c r="C205">
        <f>'0389'!E94</f>
        <v>239.84499999999997</v>
      </c>
      <c r="D205" t="str">
        <f>'0389'!F94</f>
        <v>nan</v>
      </c>
      <c r="E205" t="str">
        <f>'0389'!G94</f>
        <v>nan</v>
      </c>
    </row>
    <row r="206" spans="1:5" x14ac:dyDescent="0.25">
      <c r="A206">
        <v>389</v>
      </c>
      <c r="B206">
        <f>'0389'!D95</f>
        <v>101498.0386</v>
      </c>
      <c r="C206">
        <f>'0389'!E95</f>
        <v>239.85299999999998</v>
      </c>
      <c r="D206" t="str">
        <f>'0389'!F95</f>
        <v>nan</v>
      </c>
      <c r="E206" t="str">
        <f>'0389'!G95</f>
        <v>nan</v>
      </c>
    </row>
    <row r="207" spans="1:5" x14ac:dyDescent="0.25">
      <c r="A207">
        <v>389</v>
      </c>
      <c r="B207">
        <f>'0389'!D96</f>
        <v>101618.02840000001</v>
      </c>
      <c r="C207">
        <f>'0389'!E96</f>
        <v>239.86699999999996</v>
      </c>
      <c r="D207" t="str">
        <f>'0389'!F96</f>
        <v>nan</v>
      </c>
      <c r="E207" t="str">
        <f>'0389'!G96</f>
        <v>nan</v>
      </c>
    </row>
    <row r="208" spans="1:5" x14ac:dyDescent="0.25">
      <c r="A208">
        <v>389</v>
      </c>
      <c r="B208">
        <f>'0389'!D97</f>
        <v>101778.0148</v>
      </c>
      <c r="C208">
        <f>'0389'!E97</f>
        <v>239.87999999999997</v>
      </c>
      <c r="D208" t="str">
        <f>'0389'!F97</f>
        <v>nan</v>
      </c>
      <c r="E208" t="str">
        <f>'0389'!G97</f>
        <v>nan</v>
      </c>
    </row>
    <row r="209" spans="1:5" x14ac:dyDescent="0.25">
      <c r="A209">
        <v>389</v>
      </c>
      <c r="B209">
        <f>'0389'!D98</f>
        <v>101778.0148</v>
      </c>
      <c r="C209">
        <f>'0389'!E98</f>
        <v>239.89299999999997</v>
      </c>
      <c r="D209" t="str">
        <f>'0389'!F98</f>
        <v>nan</v>
      </c>
      <c r="E209" t="str">
        <f>'0389'!G98</f>
        <v>nan</v>
      </c>
    </row>
    <row r="210" spans="1:5" x14ac:dyDescent="0.25">
      <c r="A210">
        <v>389</v>
      </c>
      <c r="B210">
        <f>'0389'!D99</f>
        <v>101818.0114</v>
      </c>
      <c r="C210">
        <f>'0389'!E99</f>
        <v>239.89999999999998</v>
      </c>
      <c r="D210" t="str">
        <f>'0389'!F99</f>
        <v>nan</v>
      </c>
      <c r="E210" t="str">
        <f>'0389'!G99</f>
        <v>nan</v>
      </c>
    </row>
    <row r="211" spans="1:5" x14ac:dyDescent="0.25">
      <c r="A211">
        <v>389</v>
      </c>
      <c r="B211">
        <f>'0389'!D100</f>
        <v>101804.6792</v>
      </c>
      <c r="C211">
        <f>'0389'!E100</f>
        <v>239.90599999999998</v>
      </c>
      <c r="D211" t="str">
        <f>'0389'!F100</f>
        <v>nan</v>
      </c>
      <c r="E211" t="str">
        <f>'0389'!G100</f>
        <v>nan</v>
      </c>
    </row>
    <row r="212" spans="1:5" x14ac:dyDescent="0.25">
      <c r="A212">
        <v>389</v>
      </c>
      <c r="B212">
        <f>'0389'!D101</f>
        <v>101898.0046</v>
      </c>
      <c r="C212">
        <f>'0389'!E101</f>
        <v>239.90699999999998</v>
      </c>
      <c r="D212" t="str">
        <f>'0389'!F101</f>
        <v>nan</v>
      </c>
      <c r="E212" t="str">
        <f>'0389'!G101</f>
        <v>nan</v>
      </c>
    </row>
    <row r="213" spans="1:5" x14ac:dyDescent="0.25">
      <c r="A213">
        <v>389</v>
      </c>
      <c r="B213">
        <f>'0389'!D102</f>
        <v>101924.66900000001</v>
      </c>
      <c r="C213">
        <f>'0389'!E102</f>
        <v>239.90899999999999</v>
      </c>
      <c r="D213" t="str">
        <f>'0389'!F102</f>
        <v>nan</v>
      </c>
      <c r="E213" t="str">
        <f>'0389'!G102</f>
        <v>nan</v>
      </c>
    </row>
    <row r="214" spans="1:5" x14ac:dyDescent="0.25">
      <c r="A214">
        <v>389</v>
      </c>
      <c r="B214">
        <f>'0389'!D103</f>
        <v>102511.2858</v>
      </c>
      <c r="C214">
        <f>'0389'!E103</f>
        <v>240.02699999999999</v>
      </c>
      <c r="D214" t="str">
        <f>'0389'!F103</f>
        <v>nan</v>
      </c>
      <c r="E214" t="str">
        <f>'0389'!G103</f>
        <v>nan</v>
      </c>
    </row>
    <row r="215" spans="1:5" x14ac:dyDescent="0.25">
      <c r="A215">
        <v>389</v>
      </c>
      <c r="B215">
        <f>'0389'!D104</f>
        <v>116976.7228</v>
      </c>
      <c r="C215">
        <f>'0389'!E104</f>
        <v>242.7</v>
      </c>
      <c r="D215" t="str">
        <f>'0389'!F104</f>
        <v>nan</v>
      </c>
      <c r="E215" t="str">
        <f>'0389'!G104</f>
        <v>nan</v>
      </c>
    </row>
    <row r="216" spans="1:5" x14ac:dyDescent="0.25">
      <c r="A216">
        <v>389</v>
      </c>
      <c r="B216">
        <f>'0389'!D105</f>
        <v>119096.5426</v>
      </c>
      <c r="C216">
        <f>'0389'!E105</f>
        <v>243.06899999999999</v>
      </c>
      <c r="D216" t="str">
        <f>'0389'!F105</f>
        <v>nan</v>
      </c>
      <c r="E216" t="str">
        <f>'0389'!G105</f>
        <v>nan</v>
      </c>
    </row>
    <row r="217" spans="1:5" x14ac:dyDescent="0.25">
      <c r="A217">
        <v>389</v>
      </c>
      <c r="B217">
        <f>'0389'!D106</f>
        <v>119429.84759999999</v>
      </c>
      <c r="C217">
        <f>'0389'!E106</f>
        <v>243.11199999999997</v>
      </c>
      <c r="D217" t="str">
        <f>'0389'!F106</f>
        <v>nan</v>
      </c>
      <c r="E217" t="str">
        <f>'0389'!G106</f>
        <v>nan</v>
      </c>
    </row>
    <row r="218" spans="1:5" x14ac:dyDescent="0.25">
      <c r="A218">
        <v>389</v>
      </c>
      <c r="B218">
        <f>'0389'!D107</f>
        <v>119603.16620000001</v>
      </c>
      <c r="C218">
        <f>'0389'!E107</f>
        <v>243.13899999999998</v>
      </c>
      <c r="D218" t="str">
        <f>'0389'!F107</f>
        <v>nan</v>
      </c>
      <c r="E218" t="str">
        <f>'0389'!G107</f>
        <v>nan</v>
      </c>
    </row>
    <row r="219" spans="1:5" x14ac:dyDescent="0.25">
      <c r="A219">
        <v>389</v>
      </c>
      <c r="B219">
        <f>'0389'!D108</f>
        <v>119576.5018</v>
      </c>
      <c r="C219">
        <f>'0389'!E108</f>
        <v>243.14599999999999</v>
      </c>
      <c r="D219" t="str">
        <f>'0389'!F108</f>
        <v>nan</v>
      </c>
      <c r="E219" t="str">
        <f>'0389'!G108</f>
        <v>nan</v>
      </c>
    </row>
    <row r="220" spans="1:5" x14ac:dyDescent="0.25">
      <c r="A220">
        <v>389</v>
      </c>
      <c r="B220">
        <f>'0389'!D109</f>
        <v>120083.1254</v>
      </c>
      <c r="C220">
        <f>'0389'!E109</f>
        <v>243.23699999999997</v>
      </c>
      <c r="D220" t="str">
        <f>'0389'!F109</f>
        <v>nan</v>
      </c>
      <c r="E220" t="str">
        <f>'0389'!G109</f>
        <v>nan</v>
      </c>
    </row>
    <row r="221" spans="1:5" x14ac:dyDescent="0.25">
      <c r="A221">
        <v>389</v>
      </c>
      <c r="B221">
        <f>'0389'!D110</f>
        <v>151213.8124</v>
      </c>
      <c r="C221">
        <f>'0389'!E110</f>
        <v>248.09099999999998</v>
      </c>
      <c r="D221" t="str">
        <f>'0389'!F110</f>
        <v>nan</v>
      </c>
      <c r="E221" t="str">
        <f>'0389'!G110</f>
        <v>nan</v>
      </c>
    </row>
    <row r="222" spans="1:5" x14ac:dyDescent="0.25">
      <c r="A222">
        <v>389</v>
      </c>
      <c r="B222">
        <f>'0389'!D111</f>
        <v>151280.47340000002</v>
      </c>
      <c r="C222">
        <f>'0389'!E111</f>
        <v>248.09999999999997</v>
      </c>
      <c r="D222" t="str">
        <f>'0389'!F111</f>
        <v>nan</v>
      </c>
      <c r="E222" t="str">
        <f>'0389'!G111</f>
        <v>nan</v>
      </c>
    </row>
    <row r="223" spans="1:5" x14ac:dyDescent="0.25">
      <c r="A223">
        <v>389</v>
      </c>
      <c r="B223">
        <f>'0389'!D112</f>
        <v>151453.79200000002</v>
      </c>
      <c r="C223">
        <f>'0389'!E112</f>
        <v>248.11499999999998</v>
      </c>
      <c r="D223" t="str">
        <f>'0389'!F112</f>
        <v>nan</v>
      </c>
      <c r="E223" t="str">
        <f>'0389'!G112</f>
        <v>nan</v>
      </c>
    </row>
    <row r="224" spans="1:5" x14ac:dyDescent="0.25">
      <c r="A224">
        <v>389</v>
      </c>
      <c r="B224">
        <f>'0389'!D113</f>
        <v>515996.13660000003</v>
      </c>
      <c r="C224">
        <f>'0389'!E113</f>
        <v>278.17199999999997</v>
      </c>
      <c r="D224" t="str">
        <f>'0389'!F113</f>
        <v>nan</v>
      </c>
      <c r="E224" t="str">
        <f>'0389'!G113</f>
        <v>nan</v>
      </c>
    </row>
    <row r="225" spans="1:5" x14ac:dyDescent="0.25">
      <c r="A225">
        <v>389</v>
      </c>
      <c r="B225">
        <f>'0389'!D114</f>
        <v>515196.20460000006</v>
      </c>
      <c r="C225">
        <f>'0389'!E114</f>
        <v>278.12399999999997</v>
      </c>
      <c r="D225" t="str">
        <f>'0389'!F114</f>
        <v>nan</v>
      </c>
      <c r="E225" t="str">
        <f>'0389'!G114</f>
        <v>nan</v>
      </c>
    </row>
    <row r="226" spans="1:5" x14ac:dyDescent="0.25">
      <c r="A226">
        <v>389</v>
      </c>
      <c r="B226">
        <f>'0389'!D115</f>
        <v>614734.40979999991</v>
      </c>
      <c r="C226">
        <f>'0389'!E115</f>
        <v>283.14400000000001</v>
      </c>
      <c r="D226" t="str">
        <f>'0389'!F115</f>
        <v>nan</v>
      </c>
      <c r="E226" t="str">
        <f>'0389'!G115</f>
        <v>nan</v>
      </c>
    </row>
    <row r="227" spans="1:5" x14ac:dyDescent="0.25">
      <c r="A227">
        <v>389</v>
      </c>
      <c r="B227">
        <f>'0389'!D116</f>
        <v>615334.35879999993</v>
      </c>
      <c r="C227">
        <f>'0389'!E116</f>
        <v>283.17099999999999</v>
      </c>
      <c r="D227" t="str">
        <f>'0389'!F116</f>
        <v>nan</v>
      </c>
      <c r="E227" t="str">
        <f>'0389'!G116</f>
        <v>nan</v>
      </c>
    </row>
    <row r="228" spans="1:5" x14ac:dyDescent="0.25">
      <c r="A228">
        <v>389</v>
      </c>
      <c r="B228">
        <f>'0389'!D117</f>
        <v>615720.9926</v>
      </c>
      <c r="C228">
        <f>'0389'!E117</f>
        <v>283.185</v>
      </c>
      <c r="D228" t="str">
        <f>'0389'!F117</f>
        <v>nan</v>
      </c>
      <c r="E228" t="str">
        <f>'0389'!G117</f>
        <v>nan</v>
      </c>
    </row>
    <row r="229" spans="1:5" x14ac:dyDescent="0.25">
      <c r="A229">
        <v>389</v>
      </c>
      <c r="B229">
        <f>'0389'!D118</f>
        <v>728378.08260000008</v>
      </c>
      <c r="C229">
        <f>'0389'!E118</f>
        <v>288.15799999999996</v>
      </c>
      <c r="D229" t="str">
        <f>'0389'!F118</f>
        <v>nan</v>
      </c>
      <c r="E229" t="str">
        <f>'0389'!G118</f>
        <v>nan</v>
      </c>
    </row>
    <row r="230" spans="1:5" x14ac:dyDescent="0.25">
      <c r="A230">
        <v>389</v>
      </c>
      <c r="B230">
        <f>'0389'!D119</f>
        <v>732111.09860000003</v>
      </c>
      <c r="C230">
        <f>'0389'!E119</f>
        <v>288.30899999999997</v>
      </c>
      <c r="D230" t="str">
        <f>'0389'!F119</f>
        <v>nan</v>
      </c>
      <c r="E230" t="str">
        <f>'0389'!G119</f>
        <v>nan</v>
      </c>
    </row>
    <row r="231" spans="1:5" x14ac:dyDescent="0.25">
      <c r="A231">
        <v>389</v>
      </c>
      <c r="B231">
        <f>'0389'!D120</f>
        <v>857593.76500000001</v>
      </c>
      <c r="C231">
        <f>'0389'!E120</f>
        <v>293.16800000000001</v>
      </c>
      <c r="D231" t="str">
        <f>'0389'!F120</f>
        <v>nan</v>
      </c>
      <c r="E231" t="str">
        <f>'0389'!G120</f>
        <v>nan</v>
      </c>
    </row>
    <row r="232" spans="1:5" x14ac:dyDescent="0.25">
      <c r="A232">
        <v>389</v>
      </c>
      <c r="B232">
        <f>'0389'!D121</f>
        <v>857553.76839999994</v>
      </c>
      <c r="C232">
        <f>'0389'!E121</f>
        <v>293.16999999999996</v>
      </c>
      <c r="D232" t="str">
        <f>'0389'!F121</f>
        <v>nan</v>
      </c>
      <c r="E232" t="str">
        <f>'0389'!G121</f>
        <v>nan</v>
      </c>
    </row>
    <row r="233" spans="1:5" x14ac:dyDescent="0.25">
      <c r="A233">
        <v>389</v>
      </c>
      <c r="B233">
        <f>'0389'!D122</f>
        <v>1003261.3822000001</v>
      </c>
      <c r="C233">
        <f>'0389'!E122</f>
        <v>298.166</v>
      </c>
      <c r="D233" t="str">
        <f>'0389'!F122</f>
        <v>nan</v>
      </c>
      <c r="E233" t="str">
        <f>'0389'!G122</f>
        <v>nan</v>
      </c>
    </row>
    <row r="234" spans="1:5" x14ac:dyDescent="0.25">
      <c r="A234">
        <v>389</v>
      </c>
      <c r="B234">
        <f>'0389'!D123</f>
        <v>1008167.6318</v>
      </c>
      <c r="C234">
        <f>'0389'!E123</f>
        <v>298.32599999999996</v>
      </c>
      <c r="D234" t="str">
        <f>'0389'!F123</f>
        <v>nan</v>
      </c>
      <c r="E234" t="str">
        <f>'0389'!G123</f>
        <v>nan</v>
      </c>
    </row>
    <row r="235" spans="1:5" x14ac:dyDescent="0.25">
      <c r="A235">
        <v>389</v>
      </c>
      <c r="B235">
        <f>'0389'!D124</f>
        <v>731337.83100000001</v>
      </c>
      <c r="C235">
        <f>'0389'!E124</f>
        <v>288.27</v>
      </c>
      <c r="D235" t="str">
        <f>'0389'!F124</f>
        <v>nan</v>
      </c>
      <c r="E235" t="str">
        <f>'0389'!G124</f>
        <v>nan</v>
      </c>
    </row>
    <row r="236" spans="1:5" x14ac:dyDescent="0.25">
      <c r="A236">
        <v>389</v>
      </c>
      <c r="B236">
        <f>'0389'!D125</f>
        <v>856913.82279999997</v>
      </c>
      <c r="C236">
        <f>'0389'!E125</f>
        <v>293.149</v>
      </c>
      <c r="D236" t="str">
        <f>'0389'!F125</f>
        <v>nan</v>
      </c>
      <c r="E236" t="str">
        <f>'0389'!G125</f>
        <v>nan</v>
      </c>
    </row>
    <row r="237" spans="1:5" x14ac:dyDescent="0.25">
      <c r="A237">
        <v>389</v>
      </c>
      <c r="B237">
        <f>'0389'!D126</f>
        <v>1001928.1622</v>
      </c>
      <c r="C237">
        <f>'0389'!E126</f>
        <v>298.13099999999997</v>
      </c>
      <c r="D237" t="str">
        <f>'0389'!F126</f>
        <v>nan</v>
      </c>
      <c r="E237" t="str">
        <f>'0389'!G126</f>
        <v>nan</v>
      </c>
    </row>
    <row r="238" spans="1:5" x14ac:dyDescent="0.25">
      <c r="A238">
        <v>389</v>
      </c>
      <c r="B238">
        <f>'0389'!D127</f>
        <v>1005034.5647999999</v>
      </c>
      <c r="C238">
        <f>'0389'!E127</f>
        <v>298.23099999999999</v>
      </c>
      <c r="D238" t="str">
        <f>'0389'!F127</f>
        <v>nan</v>
      </c>
      <c r="E238" t="str">
        <f>'0389'!G127</f>
        <v>nan</v>
      </c>
    </row>
    <row r="239" spans="1:5" x14ac:dyDescent="0.25">
      <c r="A239">
        <v>389</v>
      </c>
      <c r="B239">
        <f>'0389'!D128</f>
        <v>1164687.6598</v>
      </c>
      <c r="C239">
        <f>'0389'!E128</f>
        <v>303.08599999999996</v>
      </c>
      <c r="D239" t="str">
        <f>'0389'!F128</f>
        <v>nan</v>
      </c>
      <c r="E239" t="str">
        <f>'0389'!G128</f>
        <v>nan</v>
      </c>
    </row>
    <row r="240" spans="1:5" x14ac:dyDescent="0.25">
      <c r="A240">
        <v>389</v>
      </c>
      <c r="B240">
        <f>'0389'!D129</f>
        <v>1166540.8355999999</v>
      </c>
      <c r="C240">
        <f>'0389'!E129</f>
        <v>303.15199999999999</v>
      </c>
      <c r="D240" t="str">
        <f>'0389'!F129</f>
        <v>nan</v>
      </c>
      <c r="E240" t="str">
        <f>'0389'!G129</f>
        <v>nan</v>
      </c>
    </row>
    <row r="241" spans="1:5" x14ac:dyDescent="0.25">
      <c r="A241">
        <v>389</v>
      </c>
      <c r="B241">
        <f>'0389'!D130</f>
        <v>1351485.1140000001</v>
      </c>
      <c r="C241">
        <f>'0389'!E130</f>
        <v>308.20799999999997</v>
      </c>
      <c r="D241" t="str">
        <f>'0389'!F130</f>
        <v>nan</v>
      </c>
      <c r="E241" t="str">
        <f>'0389'!G130</f>
        <v>nan</v>
      </c>
    </row>
    <row r="242" spans="1:5" x14ac:dyDescent="0.25">
      <c r="A242">
        <v>389</v>
      </c>
      <c r="B242">
        <f>'0389'!D131</f>
        <v>1350991.8225999998</v>
      </c>
      <c r="C242">
        <f>'0389'!E131</f>
        <v>308.17199999999997</v>
      </c>
      <c r="D242" t="str">
        <f>'0389'!F131</f>
        <v>nan</v>
      </c>
      <c r="E242" t="str">
        <f>'0389'!G131</f>
        <v>nan</v>
      </c>
    </row>
    <row r="243" spans="1:5" x14ac:dyDescent="0.25">
      <c r="A243">
        <v>389</v>
      </c>
      <c r="B243">
        <f>'0389'!D132</f>
        <v>1551574.7715999999</v>
      </c>
      <c r="C243">
        <f>'0389'!E132</f>
        <v>313.07799999999997</v>
      </c>
      <c r="D243" t="str">
        <f>'0389'!F132</f>
        <v>nan</v>
      </c>
      <c r="E243" t="str">
        <f>'0389'!G132</f>
        <v>nan</v>
      </c>
    </row>
    <row r="244" spans="1:5" x14ac:dyDescent="0.25">
      <c r="A244">
        <v>389</v>
      </c>
      <c r="B244">
        <f>'0389'!D133</f>
        <v>1551414.7852</v>
      </c>
      <c r="C244">
        <f>'0389'!E133</f>
        <v>313.07799999999997</v>
      </c>
      <c r="D244" t="str">
        <f>'0389'!F133</f>
        <v>nan</v>
      </c>
      <c r="E244" t="str">
        <f>'0389'!G133</f>
        <v>nan</v>
      </c>
    </row>
    <row r="245" spans="1:5" x14ac:dyDescent="0.25">
      <c r="A245">
        <v>389</v>
      </c>
      <c r="B245">
        <f>'0389'!D134</f>
        <v>1554734.503</v>
      </c>
      <c r="C245">
        <f>'0389'!E134</f>
        <v>313.14499999999998</v>
      </c>
      <c r="D245" t="str">
        <f>'0389'!F134</f>
        <v>nan</v>
      </c>
      <c r="E245" t="str">
        <f>'0389'!G134</f>
        <v>nan</v>
      </c>
    </row>
    <row r="246" spans="1:5" x14ac:dyDescent="0.25">
      <c r="A246">
        <v>389</v>
      </c>
      <c r="B246">
        <f>'0389'!D135</f>
        <v>1777542.2294000001</v>
      </c>
      <c r="C246">
        <f>'0389'!E135</f>
        <v>318.06899999999996</v>
      </c>
      <c r="D246" t="str">
        <f>'0389'!F135</f>
        <v>nan</v>
      </c>
      <c r="E246" t="str">
        <f>'0389'!G135</f>
        <v>nan</v>
      </c>
    </row>
    <row r="247" spans="1:5" x14ac:dyDescent="0.25">
      <c r="A247">
        <v>389</v>
      </c>
      <c r="B247">
        <f>'0389'!D136</f>
        <v>1779675.3814000001</v>
      </c>
      <c r="C247">
        <f>'0389'!E136</f>
        <v>318.11500000000001</v>
      </c>
      <c r="D247" t="str">
        <f>'0389'!F136</f>
        <v>nan</v>
      </c>
      <c r="E247" t="str">
        <f>'0389'!G136</f>
        <v>nan</v>
      </c>
    </row>
    <row r="248" spans="1:5" x14ac:dyDescent="0.25">
      <c r="A248">
        <v>389</v>
      </c>
      <c r="B248">
        <f>'0389'!D137</f>
        <v>1785034.9258000001</v>
      </c>
      <c r="C248">
        <f>'0389'!E137</f>
        <v>318.221</v>
      </c>
      <c r="D248" t="str">
        <f>'0389'!F137</f>
        <v>nan</v>
      </c>
      <c r="E248" t="str">
        <f>'0389'!G137</f>
        <v>nan</v>
      </c>
    </row>
    <row r="249" spans="1:5" x14ac:dyDescent="0.25">
      <c r="A249">
        <v>389</v>
      </c>
      <c r="B249">
        <f>'0389'!D138</f>
        <v>2034800.3606</v>
      </c>
      <c r="C249">
        <f>'0389'!E138</f>
        <v>323.18599999999998</v>
      </c>
      <c r="D249" t="str">
        <f>'0389'!F138</f>
        <v>nan</v>
      </c>
      <c r="E249" t="str">
        <f>'0389'!G138</f>
        <v>nan</v>
      </c>
    </row>
    <row r="250" spans="1:5" x14ac:dyDescent="0.25">
      <c r="A250">
        <v>389</v>
      </c>
      <c r="B250">
        <f>'0389'!D139</f>
        <v>2036373.5602000002</v>
      </c>
      <c r="C250">
        <f>'0389'!E139</f>
        <v>323.23299999999995</v>
      </c>
      <c r="D250" t="str">
        <f>'0389'!F139</f>
        <v>nan</v>
      </c>
      <c r="E250" t="str">
        <f>'0389'!G139</f>
        <v>nan</v>
      </c>
    </row>
    <row r="251" spans="1:5" x14ac:dyDescent="0.25">
      <c r="A251">
        <v>389</v>
      </c>
      <c r="B251">
        <f>'0389'!D140</f>
        <v>2038893.3460000001</v>
      </c>
      <c r="C251">
        <f>'0389'!E140</f>
        <v>323.267</v>
      </c>
      <c r="D251" t="str">
        <f>'0389'!F140</f>
        <v>nan</v>
      </c>
      <c r="E251" t="str">
        <f>'0389'!G140</f>
        <v>nan</v>
      </c>
    </row>
    <row r="252" spans="1:5" x14ac:dyDescent="0.25">
      <c r="A252">
        <v>389</v>
      </c>
      <c r="B252">
        <f>'0389'!D141</f>
        <v>2310070.2940000002</v>
      </c>
      <c r="C252">
        <f>'0389'!E141</f>
        <v>328.154</v>
      </c>
      <c r="D252" t="str">
        <f>'0389'!F141</f>
        <v>nan</v>
      </c>
      <c r="E252" t="str">
        <f>'0389'!G141</f>
        <v>nan</v>
      </c>
    </row>
    <row r="253" spans="1:5" x14ac:dyDescent="0.25">
      <c r="A253">
        <v>389</v>
      </c>
      <c r="B253">
        <f>'0389'!D142</f>
        <v>2617390.8361999998</v>
      </c>
      <c r="C253">
        <f>'0389'!E142</f>
        <v>333.20699999999999</v>
      </c>
      <c r="D253" t="str">
        <f>'0389'!F142</f>
        <v>nan</v>
      </c>
      <c r="E253" t="str">
        <f>'0389'!G142</f>
        <v>nan</v>
      </c>
    </row>
    <row r="254" spans="1:5" x14ac:dyDescent="0.25">
      <c r="A254">
        <v>389</v>
      </c>
      <c r="B254">
        <f>'0389'!D143</f>
        <v>2617857.4631999996</v>
      </c>
      <c r="C254">
        <f>'0389'!E143</f>
        <v>333.21199999999999</v>
      </c>
      <c r="D254" t="str">
        <f>'0389'!F143</f>
        <v>nan</v>
      </c>
      <c r="E254" t="str">
        <f>'0389'!G143</f>
        <v>nan</v>
      </c>
    </row>
    <row r="255" spans="1:5" x14ac:dyDescent="0.25">
      <c r="A255">
        <v>389</v>
      </c>
      <c r="B255">
        <f>'0389'!D144</f>
        <v>2618324.0902</v>
      </c>
      <c r="C255">
        <f>'0389'!E144</f>
        <v>333.21199999999999</v>
      </c>
      <c r="D255" t="str">
        <f>'0389'!F144</f>
        <v>nan</v>
      </c>
      <c r="E255" t="str">
        <f>'0389'!G144</f>
        <v>nan</v>
      </c>
    </row>
    <row r="256" spans="1:5" x14ac:dyDescent="0.25">
      <c r="A256">
        <v>389</v>
      </c>
      <c r="B256">
        <f>'0389'!D145</f>
        <v>2617430.8328000004</v>
      </c>
      <c r="C256">
        <f>'0389'!E145</f>
        <v>333.21</v>
      </c>
      <c r="D256" t="str">
        <f>'0389'!F145</f>
        <v>nan</v>
      </c>
      <c r="E256" t="str">
        <f>'0389'!G145</f>
        <v>nan</v>
      </c>
    </row>
    <row r="257" spans="1:5" x14ac:dyDescent="0.25">
      <c r="A257">
        <v>389</v>
      </c>
      <c r="B257">
        <f>'0389'!D146</f>
        <v>2618190.7681999998</v>
      </c>
      <c r="C257">
        <f>'0389'!E146</f>
        <v>333.21600000000001</v>
      </c>
      <c r="D257" t="str">
        <f>'0389'!F146</f>
        <v>nan</v>
      </c>
      <c r="E257" t="str">
        <f>'0389'!G146</f>
        <v>nan</v>
      </c>
    </row>
    <row r="258" spans="1:5" x14ac:dyDescent="0.25">
      <c r="A258">
        <v>389</v>
      </c>
      <c r="B258">
        <f>'0389'!D147</f>
        <v>2951309.1174000003</v>
      </c>
      <c r="C258">
        <f>'0389'!E147</f>
        <v>338.20099999999996</v>
      </c>
      <c r="D258" t="str">
        <f>'0389'!F147</f>
        <v>nan</v>
      </c>
      <c r="E258" t="str">
        <f>'0389'!G147</f>
        <v>nan</v>
      </c>
    </row>
    <row r="259" spans="1:5" x14ac:dyDescent="0.25">
      <c r="A259">
        <v>389</v>
      </c>
      <c r="B259">
        <f>'0389'!D148</f>
        <v>2951695.7511999998</v>
      </c>
      <c r="C259">
        <f>'0389'!E148</f>
        <v>338.20899999999995</v>
      </c>
      <c r="D259" t="str">
        <f>'0389'!F148</f>
        <v>nan</v>
      </c>
      <c r="E259" t="str">
        <f>'0389'!G148</f>
        <v>nan</v>
      </c>
    </row>
    <row r="260" spans="1:5" x14ac:dyDescent="0.25">
      <c r="A260">
        <v>389</v>
      </c>
      <c r="B260">
        <f>'0389'!D149</f>
        <v>2951762.4121999997</v>
      </c>
      <c r="C260">
        <f>'0389'!E149</f>
        <v>338.21299999999997</v>
      </c>
      <c r="D260" t="str">
        <f>'0389'!F149</f>
        <v>nan</v>
      </c>
      <c r="E260" t="str">
        <f>'0389'!G149</f>
        <v>nan</v>
      </c>
    </row>
    <row r="261" spans="1:5" x14ac:dyDescent="0.25">
      <c r="A261">
        <v>389</v>
      </c>
      <c r="B261">
        <f>'0389'!D150</f>
        <v>3312185.1069999998</v>
      </c>
      <c r="C261">
        <f>'0389'!E150</f>
        <v>343.16099999999994</v>
      </c>
      <c r="D261" t="str">
        <f>'0389'!F150</f>
        <v>nan</v>
      </c>
      <c r="E261" t="str">
        <f>'0389'!G150</f>
        <v>nan</v>
      </c>
    </row>
    <row r="262" spans="1:5" x14ac:dyDescent="0.25">
      <c r="A262">
        <v>389</v>
      </c>
      <c r="B262">
        <f>'0389'!D151</f>
        <v>3312065.1171999997</v>
      </c>
      <c r="C262">
        <f>'0389'!E151</f>
        <v>343.16099999999994</v>
      </c>
      <c r="D262" t="str">
        <f>'0389'!F151</f>
        <v>nan</v>
      </c>
      <c r="E262" t="str">
        <f>'0389'!G151</f>
        <v>nan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E388-99B5-421E-8E20-F8DB2B042BEB}">
  <dimension ref="A1:G15"/>
  <sheetViews>
    <sheetView workbookViewId="0">
      <selection activeCell="F1" sqref="F1:G1"/>
    </sheetView>
  </sheetViews>
  <sheetFormatPr defaultRowHeight="15" x14ac:dyDescent="0.25"/>
  <sheetData>
    <row r="1" spans="1:7" x14ac:dyDescent="0.25">
      <c r="A1" t="s">
        <v>4</v>
      </c>
      <c r="B1" t="s">
        <v>5</v>
      </c>
      <c r="D1" t="s">
        <v>0</v>
      </c>
      <c r="E1" t="s">
        <v>1</v>
      </c>
      <c r="F1" t="s">
        <v>12</v>
      </c>
      <c r="G1" t="s">
        <v>14</v>
      </c>
    </row>
    <row r="2" spans="1:7" x14ac:dyDescent="0.25">
      <c r="A2">
        <v>11.515000000000001</v>
      </c>
      <c r="B2">
        <v>30</v>
      </c>
      <c r="D2">
        <f>A2*101325</f>
        <v>1166757.375</v>
      </c>
      <c r="E2">
        <f>B2+273.15</f>
        <v>303.14999999999998</v>
      </c>
      <c r="F2" t="s">
        <v>15</v>
      </c>
      <c r="G2" t="s">
        <v>15</v>
      </c>
    </row>
    <row r="3" spans="1:7" x14ac:dyDescent="0.25">
      <c r="A3">
        <v>15.343</v>
      </c>
      <c r="B3">
        <v>40</v>
      </c>
      <c r="D3">
        <f t="shared" ref="D3:D15" si="0">A3*101325</f>
        <v>1554629.4750000001</v>
      </c>
      <c r="E3">
        <f t="shared" ref="E3:E15" si="1">B3+273.15</f>
        <v>313.14999999999998</v>
      </c>
      <c r="F3" t="s">
        <v>15</v>
      </c>
      <c r="G3" t="s">
        <v>15</v>
      </c>
    </row>
    <row r="4" spans="1:7" x14ac:dyDescent="0.25">
      <c r="A4">
        <v>20.074000000000002</v>
      </c>
      <c r="B4">
        <v>50</v>
      </c>
      <c r="D4">
        <f t="shared" si="0"/>
        <v>2033998.0500000003</v>
      </c>
      <c r="E4">
        <f t="shared" si="1"/>
        <v>323.14999999999998</v>
      </c>
      <c r="F4" t="s">
        <v>15</v>
      </c>
      <c r="G4" t="s">
        <v>15</v>
      </c>
    </row>
    <row r="5" spans="1:7" x14ac:dyDescent="0.25">
      <c r="A5">
        <v>25.815000000000001</v>
      </c>
      <c r="B5">
        <v>60</v>
      </c>
      <c r="D5">
        <f t="shared" si="0"/>
        <v>2615704.875</v>
      </c>
      <c r="E5">
        <f t="shared" si="1"/>
        <v>333.15</v>
      </c>
      <c r="F5" t="s">
        <v>15</v>
      </c>
      <c r="G5" t="s">
        <v>15</v>
      </c>
    </row>
    <row r="6" spans="1:7" x14ac:dyDescent="0.25">
      <c r="A6">
        <v>32.716999999999999</v>
      </c>
      <c r="B6">
        <v>70</v>
      </c>
      <c r="D6">
        <f t="shared" si="0"/>
        <v>3315050.0249999999</v>
      </c>
      <c r="E6">
        <f t="shared" si="1"/>
        <v>343.15</v>
      </c>
      <c r="F6" t="s">
        <v>15</v>
      </c>
      <c r="G6" t="s">
        <v>15</v>
      </c>
    </row>
    <row r="7" spans="1:7" x14ac:dyDescent="0.25">
      <c r="A7">
        <v>40.893999999999998</v>
      </c>
      <c r="B7">
        <v>80</v>
      </c>
      <c r="D7">
        <f t="shared" si="0"/>
        <v>4143584.55</v>
      </c>
      <c r="E7">
        <f t="shared" si="1"/>
        <v>353.15</v>
      </c>
      <c r="F7" t="s">
        <v>15</v>
      </c>
      <c r="G7" t="s">
        <v>15</v>
      </c>
    </row>
    <row r="8" spans="1:7" x14ac:dyDescent="0.25">
      <c r="A8">
        <v>50.526000000000003</v>
      </c>
      <c r="B8">
        <v>90</v>
      </c>
      <c r="D8">
        <f t="shared" si="0"/>
        <v>5119546.95</v>
      </c>
      <c r="E8">
        <f t="shared" si="1"/>
        <v>363.15</v>
      </c>
      <c r="F8" t="s">
        <v>15</v>
      </c>
      <c r="G8" t="s">
        <v>15</v>
      </c>
    </row>
    <row r="9" spans="1:7" x14ac:dyDescent="0.25">
      <c r="A9">
        <v>61.779000000000003</v>
      </c>
      <c r="B9">
        <v>100</v>
      </c>
      <c r="D9">
        <f t="shared" si="0"/>
        <v>6259757.1750000007</v>
      </c>
      <c r="E9">
        <f t="shared" si="1"/>
        <v>373.15</v>
      </c>
      <c r="F9" t="s">
        <v>15</v>
      </c>
      <c r="G9" t="s">
        <v>15</v>
      </c>
    </row>
    <row r="10" spans="1:7" x14ac:dyDescent="0.25">
      <c r="A10">
        <v>74.83</v>
      </c>
      <c r="B10">
        <v>110</v>
      </c>
      <c r="D10">
        <f t="shared" si="0"/>
        <v>7582149.75</v>
      </c>
      <c r="E10">
        <f t="shared" si="1"/>
        <v>383.15</v>
      </c>
      <c r="F10" t="s">
        <v>15</v>
      </c>
      <c r="G10" t="s">
        <v>15</v>
      </c>
    </row>
    <row r="11" spans="1:7" x14ac:dyDescent="0.25">
      <c r="A11">
        <v>89.98</v>
      </c>
      <c r="B11">
        <v>120</v>
      </c>
      <c r="D11">
        <f t="shared" si="0"/>
        <v>9117223.5</v>
      </c>
      <c r="E11">
        <f t="shared" si="1"/>
        <v>393.15</v>
      </c>
      <c r="F11" t="s">
        <v>15</v>
      </c>
      <c r="G11" t="s">
        <v>15</v>
      </c>
    </row>
    <row r="12" spans="1:7" x14ac:dyDescent="0.25">
      <c r="A12">
        <v>98.45</v>
      </c>
      <c r="B12">
        <v>125</v>
      </c>
      <c r="D12">
        <f t="shared" si="0"/>
        <v>9975446.25</v>
      </c>
      <c r="E12">
        <f t="shared" si="1"/>
        <v>398.15</v>
      </c>
      <c r="F12" t="s">
        <v>15</v>
      </c>
      <c r="G12" t="s">
        <v>15</v>
      </c>
    </row>
    <row r="13" spans="1:7" x14ac:dyDescent="0.25">
      <c r="A13">
        <v>107.6</v>
      </c>
      <c r="B13">
        <v>130</v>
      </c>
      <c r="D13">
        <f t="shared" si="0"/>
        <v>10902570</v>
      </c>
      <c r="E13">
        <f t="shared" si="1"/>
        <v>403.15</v>
      </c>
      <c r="F13" t="s">
        <v>15</v>
      </c>
      <c r="G13" t="s">
        <v>15</v>
      </c>
    </row>
    <row r="14" spans="1:7" x14ac:dyDescent="0.25">
      <c r="A14">
        <v>109.6</v>
      </c>
      <c r="B14">
        <v>131</v>
      </c>
      <c r="D14">
        <f t="shared" si="0"/>
        <v>11105220</v>
      </c>
      <c r="E14">
        <f t="shared" si="1"/>
        <v>404.15</v>
      </c>
      <c r="F14" t="s">
        <v>15</v>
      </c>
      <c r="G14" t="s">
        <v>15</v>
      </c>
    </row>
    <row r="15" spans="1:7" x14ac:dyDescent="0.25">
      <c r="A15">
        <v>111.5</v>
      </c>
      <c r="B15">
        <v>132</v>
      </c>
      <c r="D15">
        <f t="shared" si="0"/>
        <v>11297737.5</v>
      </c>
      <c r="E15">
        <f t="shared" si="1"/>
        <v>405.15</v>
      </c>
      <c r="F15" t="s">
        <v>15</v>
      </c>
      <c r="G1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8862-0FAE-4AFA-8FA0-917ECEEE9371}">
  <dimension ref="A1:J6"/>
  <sheetViews>
    <sheetView workbookViewId="0">
      <selection activeCell="G1" sqref="G1:H1"/>
    </sheetView>
  </sheetViews>
  <sheetFormatPr defaultRowHeight="15" x14ac:dyDescent="0.25"/>
  <sheetData>
    <row r="1" spans="1:10" x14ac:dyDescent="0.25">
      <c r="A1" t="s">
        <v>4</v>
      </c>
      <c r="B1" t="s">
        <v>5</v>
      </c>
      <c r="C1" t="s">
        <v>11</v>
      </c>
      <c r="E1" t="s">
        <v>0</v>
      </c>
      <c r="F1" t="s">
        <v>1</v>
      </c>
      <c r="G1" t="s">
        <v>12</v>
      </c>
      <c r="H1" t="s">
        <v>14</v>
      </c>
      <c r="J1" t="s">
        <v>13</v>
      </c>
    </row>
    <row r="2" spans="1:10" x14ac:dyDescent="0.25">
      <c r="A2">
        <v>9.98</v>
      </c>
      <c r="B2">
        <v>25</v>
      </c>
      <c r="C2">
        <v>1.1560000000000001E-2</v>
      </c>
      <c r="E2">
        <f>A2*101325</f>
        <v>1011223.5</v>
      </c>
      <c r="F2">
        <f>B2+273.15</f>
        <v>298.14999999999998</v>
      </c>
      <c r="G2">
        <f>E2/(C2*$J$2*F2)</f>
        <v>600.96297960920992</v>
      </c>
      <c r="H2" t="s">
        <v>15</v>
      </c>
      <c r="J2">
        <v>488.210129952334</v>
      </c>
    </row>
    <row r="3" spans="1:10" x14ac:dyDescent="0.25">
      <c r="A3">
        <v>20.05</v>
      </c>
      <c r="B3">
        <v>50</v>
      </c>
      <c r="C3">
        <v>2.2919999999999999E-2</v>
      </c>
      <c r="E3">
        <f>A3*101325</f>
        <v>2031566.25</v>
      </c>
      <c r="F3">
        <f>B3+273.15</f>
        <v>323.14999999999998</v>
      </c>
      <c r="G3">
        <f>E3/(C3*$J$2*F3)</f>
        <v>561.83065189524007</v>
      </c>
      <c r="H3" t="s">
        <v>15</v>
      </c>
    </row>
    <row r="4" spans="1:10" x14ac:dyDescent="0.25">
      <c r="A4">
        <v>36.58</v>
      </c>
      <c r="B4">
        <v>75</v>
      </c>
      <c r="C4">
        <v>4.2229999999999997E-2</v>
      </c>
      <c r="E4">
        <f>A4*101325</f>
        <v>3706468.5</v>
      </c>
      <c r="F4">
        <f>B4+273.15</f>
        <v>348.15</v>
      </c>
      <c r="G4">
        <f>E4/(C4*$J$2*F4)</f>
        <v>516.3759966312158</v>
      </c>
      <c r="H4" t="s">
        <v>15</v>
      </c>
    </row>
    <row r="5" spans="1:10" x14ac:dyDescent="0.25">
      <c r="A5">
        <v>61.65</v>
      </c>
      <c r="B5">
        <v>100</v>
      </c>
      <c r="C5">
        <v>7.5079999999999994E-2</v>
      </c>
      <c r="E5">
        <f>A5*101325</f>
        <v>6246686.25</v>
      </c>
      <c r="F5">
        <f>B5+273.15</f>
        <v>373.15</v>
      </c>
      <c r="G5">
        <f>E5/(C5*$J$2*F5)</f>
        <v>456.7044013595127</v>
      </c>
      <c r="H5" t="s">
        <v>15</v>
      </c>
    </row>
    <row r="6" spans="1:10" x14ac:dyDescent="0.25">
      <c r="A6">
        <v>98.15</v>
      </c>
      <c r="B6">
        <v>125</v>
      </c>
      <c r="C6">
        <v>0.1431</v>
      </c>
      <c r="E6">
        <f>A6*101325</f>
        <v>9945048.75</v>
      </c>
      <c r="F6">
        <f>B6+273.15</f>
        <v>398.15</v>
      </c>
      <c r="G6">
        <f>E6/(C6*$J$2*F6)</f>
        <v>357.53105968449927</v>
      </c>
      <c r="H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57A0-4886-407F-A9B6-C637F9680C3C}">
  <dimension ref="A1:K7"/>
  <sheetViews>
    <sheetView workbookViewId="0">
      <selection activeCell="F1" sqref="F1:I1"/>
    </sheetView>
  </sheetViews>
  <sheetFormatPr defaultRowHeight="15" x14ac:dyDescent="0.25"/>
  <sheetData>
    <row r="1" spans="1:11" x14ac:dyDescent="0.25">
      <c r="A1" t="s">
        <v>4</v>
      </c>
      <c r="B1" t="s">
        <v>5</v>
      </c>
      <c r="C1" t="s">
        <v>16</v>
      </c>
      <c r="D1" t="s">
        <v>17</v>
      </c>
      <c r="F1" t="s">
        <v>0</v>
      </c>
      <c r="G1" t="s">
        <v>1</v>
      </c>
      <c r="H1" t="s">
        <v>12</v>
      </c>
      <c r="I1" t="s">
        <v>14</v>
      </c>
      <c r="K1" t="s">
        <v>18</v>
      </c>
    </row>
    <row r="2" spans="1:11" x14ac:dyDescent="0.25">
      <c r="A2">
        <v>61.65</v>
      </c>
      <c r="B2">
        <v>100</v>
      </c>
      <c r="C2">
        <v>3.3</v>
      </c>
      <c r="D2">
        <v>26.81</v>
      </c>
      <c r="F2">
        <f t="shared" ref="F2:F7" si="0">A2*101325</f>
        <v>6246686.25</v>
      </c>
      <c r="G2">
        <f t="shared" ref="G2:G7" si="1">B2+273.15</f>
        <v>373.15</v>
      </c>
      <c r="H2">
        <f>C2*$K$2*1000</f>
        <v>56.200649999999996</v>
      </c>
      <c r="I2">
        <f>D2*$K$2*1000</f>
        <v>456.58770500000003</v>
      </c>
      <c r="K2">
        <v>1.70305E-2</v>
      </c>
    </row>
    <row r="3" spans="1:11" x14ac:dyDescent="0.25">
      <c r="A3">
        <v>98.15</v>
      </c>
      <c r="B3">
        <v>125</v>
      </c>
      <c r="C3">
        <v>7.34</v>
      </c>
      <c r="D3">
        <v>21</v>
      </c>
      <c r="F3">
        <f t="shared" si="0"/>
        <v>9945048.75</v>
      </c>
      <c r="G3">
        <f t="shared" si="1"/>
        <v>398.15</v>
      </c>
      <c r="H3">
        <f t="shared" ref="H3:H7" si="2">C3*$K$2*1000</f>
        <v>125.00386999999999</v>
      </c>
      <c r="I3">
        <f t="shared" ref="I3:I7" si="3">D3*$K$2*1000</f>
        <v>357.64050000000003</v>
      </c>
    </row>
    <row r="4" spans="1:11" x14ac:dyDescent="0.25">
      <c r="A4">
        <v>109.16</v>
      </c>
      <c r="B4">
        <v>131.05000000000001</v>
      </c>
      <c r="C4">
        <v>10.84</v>
      </c>
      <c r="D4">
        <v>17.149999999999999</v>
      </c>
      <c r="F4">
        <f t="shared" si="0"/>
        <v>11060637</v>
      </c>
      <c r="G4">
        <f t="shared" si="1"/>
        <v>404.2</v>
      </c>
      <c r="H4">
        <f t="shared" si="2"/>
        <v>184.61062000000001</v>
      </c>
      <c r="I4">
        <f t="shared" si="3"/>
        <v>292.07307499999996</v>
      </c>
    </row>
    <row r="5" spans="1:11" x14ac:dyDescent="0.25">
      <c r="A5">
        <v>110.09</v>
      </c>
      <c r="B5">
        <v>131.54</v>
      </c>
      <c r="C5">
        <v>11.32</v>
      </c>
      <c r="D5">
        <v>16.47</v>
      </c>
      <c r="F5">
        <f t="shared" si="0"/>
        <v>11154869.25</v>
      </c>
      <c r="G5">
        <f t="shared" si="1"/>
        <v>404.68999999999994</v>
      </c>
      <c r="H5">
        <f t="shared" si="2"/>
        <v>192.78526000000002</v>
      </c>
      <c r="I5">
        <f t="shared" si="3"/>
        <v>280.49233499999997</v>
      </c>
    </row>
    <row r="6" spans="1:11" x14ac:dyDescent="0.25">
      <c r="A6">
        <v>111.06</v>
      </c>
      <c r="B6">
        <v>132.04</v>
      </c>
      <c r="C6">
        <v>12.08</v>
      </c>
      <c r="D6">
        <v>15.71</v>
      </c>
      <c r="F6">
        <f t="shared" si="0"/>
        <v>11253154.5</v>
      </c>
      <c r="G6">
        <f t="shared" si="1"/>
        <v>405.18999999999994</v>
      </c>
      <c r="H6">
        <f t="shared" si="2"/>
        <v>205.72844000000001</v>
      </c>
      <c r="I6">
        <f t="shared" si="3"/>
        <v>267.54915500000004</v>
      </c>
    </row>
    <row r="7" spans="1:11" x14ac:dyDescent="0.25">
      <c r="A7">
        <v>111.55</v>
      </c>
      <c r="B7">
        <v>132.25</v>
      </c>
      <c r="C7">
        <v>12.81</v>
      </c>
      <c r="D7">
        <v>14.84</v>
      </c>
      <c r="F7">
        <f t="shared" si="0"/>
        <v>11302803.75</v>
      </c>
      <c r="G7">
        <f t="shared" si="1"/>
        <v>405.4</v>
      </c>
      <c r="H7">
        <f t="shared" si="2"/>
        <v>218.16070500000001</v>
      </c>
      <c r="I7">
        <f t="shared" si="3"/>
        <v>252.73262000000003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96CF-E0F2-43A6-8C87-CAF4C0A58E5D}">
  <dimension ref="A1:I23"/>
  <sheetViews>
    <sheetView tabSelected="1" workbookViewId="0">
      <selection activeCell="C19" sqref="C19"/>
    </sheetView>
  </sheetViews>
  <sheetFormatPr defaultRowHeight="15" x14ac:dyDescent="0.25"/>
  <sheetData>
    <row r="1" spans="1:9" x14ac:dyDescent="0.25">
      <c r="A1" t="s">
        <v>3</v>
      </c>
      <c r="B1" t="s">
        <v>21</v>
      </c>
      <c r="C1" t="s">
        <v>19</v>
      </c>
      <c r="D1" t="s">
        <v>20</v>
      </c>
      <c r="F1" t="s">
        <v>0</v>
      </c>
      <c r="G1" t="s">
        <v>1</v>
      </c>
      <c r="H1" t="s">
        <v>12</v>
      </c>
      <c r="I1" t="s">
        <v>14</v>
      </c>
    </row>
    <row r="2" spans="1:9" x14ac:dyDescent="0.25">
      <c r="A2">
        <v>200</v>
      </c>
      <c r="B2">
        <v>8.6660000000000001E-2</v>
      </c>
      <c r="C2">
        <v>1.3720000000000001</v>
      </c>
      <c r="D2">
        <v>11140</v>
      </c>
      <c r="F2">
        <f>B2*100000</f>
        <v>8666</v>
      </c>
      <c r="G2">
        <f>A2</f>
        <v>200</v>
      </c>
      <c r="H2">
        <f t="shared" ref="H2:H23" si="0">1/D2*0.001*1000000</f>
        <v>8.9766606822262132E-2</v>
      </c>
      <c r="I2">
        <f t="shared" ref="I2:I23" si="1">1/C2*0.001*1000000</f>
        <v>728.86297376093296</v>
      </c>
    </row>
    <row r="3" spans="1:9" x14ac:dyDescent="0.25">
      <c r="A3">
        <v>210</v>
      </c>
      <c r="B3">
        <v>0.1779</v>
      </c>
      <c r="C3">
        <v>1.3939999999999999</v>
      </c>
      <c r="D3">
        <v>5686.8</v>
      </c>
      <c r="F3">
        <f t="shared" ref="F3:F23" si="2">B3*100000</f>
        <v>17790</v>
      </c>
      <c r="G3">
        <f t="shared" ref="G3:G23" si="3">A3</f>
        <v>210</v>
      </c>
      <c r="H3">
        <f t="shared" si="0"/>
        <v>0.17584581838643878</v>
      </c>
      <c r="I3">
        <f t="shared" si="1"/>
        <v>717.36011477761838</v>
      </c>
    </row>
    <row r="4" spans="1:9" x14ac:dyDescent="0.25">
      <c r="A4">
        <v>220</v>
      </c>
      <c r="B4">
        <v>0.33910000000000001</v>
      </c>
      <c r="C4">
        <v>1.417</v>
      </c>
      <c r="D4">
        <v>3445.9</v>
      </c>
      <c r="F4">
        <f t="shared" si="2"/>
        <v>33910</v>
      </c>
      <c r="G4">
        <f t="shared" si="3"/>
        <v>220</v>
      </c>
      <c r="H4">
        <f t="shared" si="0"/>
        <v>0.29019994776400942</v>
      </c>
      <c r="I4">
        <f t="shared" si="1"/>
        <v>705.7163020465772</v>
      </c>
    </row>
    <row r="5" spans="1:9" x14ac:dyDescent="0.25">
      <c r="A5">
        <v>230</v>
      </c>
      <c r="B5">
        <v>0.60609999999999997</v>
      </c>
      <c r="C5">
        <v>1.4410000000000001</v>
      </c>
      <c r="D5">
        <v>1813.9</v>
      </c>
      <c r="F5">
        <f t="shared" si="2"/>
        <v>60610</v>
      </c>
      <c r="G5">
        <f t="shared" si="3"/>
        <v>230</v>
      </c>
      <c r="H5">
        <f t="shared" si="0"/>
        <v>0.55129830751419595</v>
      </c>
      <c r="I5">
        <f t="shared" si="1"/>
        <v>693.96252602359471</v>
      </c>
    </row>
    <row r="6" spans="1:9" x14ac:dyDescent="0.25">
      <c r="A6">
        <v>240</v>
      </c>
      <c r="B6">
        <v>1.0258</v>
      </c>
      <c r="C6">
        <v>1.4670000000000001</v>
      </c>
      <c r="D6">
        <v>1110</v>
      </c>
      <c r="F6">
        <f t="shared" si="2"/>
        <v>102580</v>
      </c>
      <c r="G6">
        <f t="shared" si="3"/>
        <v>240</v>
      </c>
      <c r="H6">
        <f t="shared" si="0"/>
        <v>0.90090090090090102</v>
      </c>
      <c r="I6">
        <f t="shared" si="1"/>
        <v>681.66325835037492</v>
      </c>
    </row>
    <row r="7" spans="1:9" x14ac:dyDescent="0.25">
      <c r="A7">
        <v>250</v>
      </c>
      <c r="B7">
        <v>1.6536</v>
      </c>
      <c r="C7">
        <v>1.4950000000000001</v>
      </c>
      <c r="D7">
        <v>709.72</v>
      </c>
      <c r="F7">
        <f t="shared" si="2"/>
        <v>165360</v>
      </c>
      <c r="G7">
        <f t="shared" si="3"/>
        <v>250</v>
      </c>
      <c r="H7">
        <f t="shared" si="0"/>
        <v>1.4090063687087866</v>
      </c>
      <c r="I7">
        <f t="shared" si="1"/>
        <v>668.89632107023408</v>
      </c>
    </row>
    <row r="8" spans="1:9" x14ac:dyDescent="0.25">
      <c r="A8">
        <v>260</v>
      </c>
      <c r="B8">
        <v>2.5590000000000002</v>
      </c>
      <c r="C8">
        <v>1.524</v>
      </c>
      <c r="D8">
        <v>471.41</v>
      </c>
      <c r="F8">
        <f t="shared" si="2"/>
        <v>255900.00000000003</v>
      </c>
      <c r="G8">
        <f t="shared" si="3"/>
        <v>260</v>
      </c>
      <c r="H8">
        <f t="shared" si="0"/>
        <v>2.1212956874058677</v>
      </c>
      <c r="I8">
        <f t="shared" si="1"/>
        <v>656.16797900262463</v>
      </c>
    </row>
    <row r="9" spans="1:9" x14ac:dyDescent="0.25">
      <c r="A9">
        <v>270</v>
      </c>
      <c r="B9">
        <v>3.819</v>
      </c>
      <c r="C9">
        <v>1.556</v>
      </c>
      <c r="D9">
        <v>323.2</v>
      </c>
      <c r="F9">
        <f t="shared" si="2"/>
        <v>381900</v>
      </c>
      <c r="G9">
        <f t="shared" si="3"/>
        <v>270</v>
      </c>
      <c r="H9">
        <f t="shared" si="0"/>
        <v>3.0940594059405941</v>
      </c>
      <c r="I9">
        <f t="shared" si="1"/>
        <v>642.67352185089976</v>
      </c>
    </row>
    <row r="10" spans="1:9" x14ac:dyDescent="0.25">
      <c r="A10">
        <v>280</v>
      </c>
      <c r="B10">
        <v>5.5179999999999998</v>
      </c>
      <c r="C10">
        <v>1.589</v>
      </c>
      <c r="D10">
        <v>227.9</v>
      </c>
      <c r="F10">
        <f t="shared" si="2"/>
        <v>551800</v>
      </c>
      <c r="G10">
        <f t="shared" si="3"/>
        <v>280</v>
      </c>
      <c r="H10">
        <f t="shared" si="0"/>
        <v>4.3878894251864855</v>
      </c>
      <c r="I10">
        <f t="shared" si="1"/>
        <v>629.32662051604791</v>
      </c>
    </row>
    <row r="11" spans="1:9" x14ac:dyDescent="0.25">
      <c r="A11">
        <v>290</v>
      </c>
      <c r="B11">
        <v>7.7530000000000001</v>
      </c>
      <c r="C11">
        <v>1.6259999999999999</v>
      </c>
      <c r="D11">
        <v>164.6</v>
      </c>
      <c r="F11">
        <f t="shared" si="2"/>
        <v>775300</v>
      </c>
      <c r="G11">
        <f t="shared" si="3"/>
        <v>290</v>
      </c>
      <c r="H11">
        <f t="shared" si="0"/>
        <v>6.0753341433778862</v>
      </c>
      <c r="I11">
        <f t="shared" si="1"/>
        <v>615.00615006150065</v>
      </c>
    </row>
    <row r="12" spans="1:9" x14ac:dyDescent="0.25">
      <c r="A12">
        <v>300</v>
      </c>
      <c r="B12">
        <v>10.624000000000001</v>
      </c>
      <c r="C12">
        <v>1.667</v>
      </c>
      <c r="D12">
        <v>121.3</v>
      </c>
      <c r="F12">
        <f t="shared" si="2"/>
        <v>1062400</v>
      </c>
      <c r="G12">
        <f t="shared" si="3"/>
        <v>300</v>
      </c>
      <c r="H12">
        <f t="shared" si="0"/>
        <v>8.2440230832646328</v>
      </c>
      <c r="I12">
        <f t="shared" si="1"/>
        <v>599.88002399520087</v>
      </c>
    </row>
    <row r="13" spans="1:9" x14ac:dyDescent="0.25">
      <c r="A13">
        <v>310</v>
      </c>
      <c r="B13">
        <v>14.249000000000001</v>
      </c>
      <c r="C13">
        <v>1.7110000000000001</v>
      </c>
      <c r="D13">
        <v>90.71</v>
      </c>
      <c r="F13">
        <f t="shared" si="2"/>
        <v>1424900</v>
      </c>
      <c r="G13">
        <f t="shared" si="3"/>
        <v>310</v>
      </c>
      <c r="H13">
        <f t="shared" si="0"/>
        <v>11.024142872891634</v>
      </c>
      <c r="I13">
        <f t="shared" si="1"/>
        <v>584.45353594389258</v>
      </c>
    </row>
    <row r="14" spans="1:9" x14ac:dyDescent="0.25">
      <c r="A14">
        <v>320</v>
      </c>
      <c r="B14">
        <v>18.66</v>
      </c>
      <c r="C14">
        <v>1.76</v>
      </c>
      <c r="D14">
        <v>68.930000000000007</v>
      </c>
      <c r="F14">
        <f t="shared" si="2"/>
        <v>1866000</v>
      </c>
      <c r="G14">
        <f t="shared" si="3"/>
        <v>320</v>
      </c>
      <c r="H14">
        <f t="shared" si="0"/>
        <v>14.507471347744087</v>
      </c>
      <c r="I14">
        <f t="shared" si="1"/>
        <v>568.18181818181824</v>
      </c>
    </row>
    <row r="15" spans="1:9" x14ac:dyDescent="0.25">
      <c r="A15">
        <v>330</v>
      </c>
      <c r="B15">
        <v>24.22</v>
      </c>
      <c r="C15">
        <v>1.8149999999999999</v>
      </c>
      <c r="D15">
        <v>52.85</v>
      </c>
      <c r="F15">
        <f t="shared" si="2"/>
        <v>2422000</v>
      </c>
      <c r="G15">
        <f t="shared" si="3"/>
        <v>330</v>
      </c>
      <c r="H15">
        <f t="shared" si="0"/>
        <v>18.921475875118258</v>
      </c>
      <c r="I15">
        <f t="shared" si="1"/>
        <v>550.96418732782377</v>
      </c>
    </row>
    <row r="16" spans="1:9" x14ac:dyDescent="0.25">
      <c r="A16">
        <v>340</v>
      </c>
      <c r="B16">
        <v>30.82</v>
      </c>
      <c r="C16">
        <v>1.8779999999999999</v>
      </c>
      <c r="D16">
        <v>40.869999999999997</v>
      </c>
      <c r="F16">
        <f t="shared" si="2"/>
        <v>3082000</v>
      </c>
      <c r="G16">
        <f t="shared" si="3"/>
        <v>340</v>
      </c>
      <c r="H16">
        <f t="shared" si="0"/>
        <v>24.46782481037436</v>
      </c>
      <c r="I16">
        <f t="shared" si="1"/>
        <v>532.48136315228976</v>
      </c>
    </row>
    <row r="17" spans="1:9" x14ac:dyDescent="0.25">
      <c r="A17">
        <v>350</v>
      </c>
      <c r="B17">
        <v>38.700000000000003</v>
      </c>
      <c r="C17">
        <v>1.952</v>
      </c>
      <c r="D17">
        <v>31.73</v>
      </c>
      <c r="F17">
        <f t="shared" si="2"/>
        <v>3870000.0000000005</v>
      </c>
      <c r="G17">
        <f t="shared" si="3"/>
        <v>350</v>
      </c>
      <c r="H17">
        <f t="shared" si="0"/>
        <v>31.515915537346359</v>
      </c>
      <c r="I17">
        <f t="shared" si="1"/>
        <v>512.29508196721304</v>
      </c>
    </row>
    <row r="18" spans="1:9" x14ac:dyDescent="0.25">
      <c r="A18">
        <v>360</v>
      </c>
      <c r="B18">
        <v>48.03</v>
      </c>
      <c r="C18">
        <v>2.0390000000000001</v>
      </c>
      <c r="D18">
        <v>24.62</v>
      </c>
      <c r="F18">
        <f t="shared" si="2"/>
        <v>4803000</v>
      </c>
      <c r="G18">
        <f t="shared" si="3"/>
        <v>360</v>
      </c>
      <c r="H18">
        <f t="shared" si="0"/>
        <v>40.617384240454911</v>
      </c>
      <c r="I18">
        <f t="shared" si="1"/>
        <v>490.43648847474242</v>
      </c>
    </row>
    <row r="19" spans="1:9" x14ac:dyDescent="0.25">
      <c r="A19">
        <v>370</v>
      </c>
      <c r="B19">
        <v>58.91</v>
      </c>
      <c r="C19">
        <v>2.1480000000000001</v>
      </c>
      <c r="D19">
        <v>19.02</v>
      </c>
      <c r="F19">
        <f t="shared" si="2"/>
        <v>5891000</v>
      </c>
      <c r="G19">
        <f t="shared" si="3"/>
        <v>370</v>
      </c>
      <c r="H19">
        <f t="shared" si="0"/>
        <v>52.576235541535226</v>
      </c>
      <c r="I19">
        <f t="shared" si="1"/>
        <v>465.54934823091241</v>
      </c>
    </row>
    <row r="20" spans="1:9" x14ac:dyDescent="0.25">
      <c r="A20">
        <v>380</v>
      </c>
      <c r="B20">
        <v>71.540000000000006</v>
      </c>
      <c r="C20">
        <v>2.2919999999999998</v>
      </c>
      <c r="D20">
        <v>14.5</v>
      </c>
      <c r="F20">
        <f t="shared" si="2"/>
        <v>7154000.0000000009</v>
      </c>
      <c r="G20">
        <f t="shared" si="3"/>
        <v>380</v>
      </c>
      <c r="H20">
        <f t="shared" si="0"/>
        <v>68.965517241379317</v>
      </c>
      <c r="I20">
        <f t="shared" si="1"/>
        <v>436.30017452006985</v>
      </c>
    </row>
    <row r="21" spans="1:9" x14ac:dyDescent="0.25">
      <c r="A21">
        <v>390</v>
      </c>
      <c r="B21">
        <v>86.06</v>
      </c>
      <c r="C21">
        <v>2.5019999999999998</v>
      </c>
      <c r="D21">
        <v>10.72</v>
      </c>
      <c r="F21">
        <f t="shared" si="2"/>
        <v>8606000</v>
      </c>
      <c r="G21">
        <f t="shared" si="3"/>
        <v>390</v>
      </c>
      <c r="H21">
        <f t="shared" si="0"/>
        <v>93.283582089552226</v>
      </c>
      <c r="I21">
        <f t="shared" si="1"/>
        <v>399.68025579536373</v>
      </c>
    </row>
    <row r="22" spans="1:9" x14ac:dyDescent="0.25">
      <c r="A22">
        <v>400</v>
      </c>
      <c r="B22">
        <v>102.8</v>
      </c>
      <c r="C22">
        <v>2.903</v>
      </c>
      <c r="D22">
        <v>7.31</v>
      </c>
      <c r="F22">
        <f t="shared" si="2"/>
        <v>10280000</v>
      </c>
      <c r="G22">
        <f t="shared" si="3"/>
        <v>400</v>
      </c>
      <c r="H22">
        <f t="shared" si="0"/>
        <v>136.79890560875512</v>
      </c>
      <c r="I22">
        <f t="shared" si="1"/>
        <v>344.47123665173956</v>
      </c>
    </row>
    <row r="23" spans="1:9" x14ac:dyDescent="0.25">
      <c r="A23">
        <v>405.6</v>
      </c>
      <c r="B23">
        <v>113</v>
      </c>
      <c r="C23">
        <v>4.2549999999999999</v>
      </c>
      <c r="D23">
        <v>4.2549999999999999</v>
      </c>
      <c r="F23">
        <f t="shared" si="2"/>
        <v>11300000</v>
      </c>
      <c r="G23">
        <f t="shared" si="3"/>
        <v>405.6</v>
      </c>
      <c r="H23">
        <f t="shared" si="0"/>
        <v>235.01762632197415</v>
      </c>
      <c r="I23">
        <f t="shared" si="1"/>
        <v>235.01762632197415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1444-5564-43C4-88D7-68567D2DA92D}">
  <dimension ref="A1:G17"/>
  <sheetViews>
    <sheetView workbookViewId="0">
      <selection activeCell="F1" sqref="F1:G17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D1" t="s">
        <v>0</v>
      </c>
      <c r="E1" t="s">
        <v>1</v>
      </c>
      <c r="F1" t="s">
        <v>12</v>
      </c>
      <c r="G1" t="s">
        <v>14</v>
      </c>
    </row>
    <row r="2" spans="1:7" x14ac:dyDescent="0.25">
      <c r="A2">
        <v>2.3254600000000001</v>
      </c>
      <c r="B2">
        <v>328.42500000000001</v>
      </c>
      <c r="D2">
        <f>A2*1000000</f>
        <v>2325460</v>
      </c>
      <c r="E2">
        <f>B2</f>
        <v>328.42500000000001</v>
      </c>
      <c r="F2" t="s">
        <v>15</v>
      </c>
      <c r="G2" t="s">
        <v>15</v>
      </c>
    </row>
    <row r="3" spans="1:7" x14ac:dyDescent="0.25">
      <c r="A3">
        <v>2.6276899999999999</v>
      </c>
      <c r="B3">
        <v>333.36799999999999</v>
      </c>
      <c r="D3">
        <f t="shared" ref="D3:D17" si="0">A3*1000000</f>
        <v>2627690</v>
      </c>
      <c r="E3">
        <f t="shared" ref="E3:E17" si="1">B3</f>
        <v>333.36799999999999</v>
      </c>
      <c r="F3" t="s">
        <v>15</v>
      </c>
      <c r="G3" t="s">
        <v>15</v>
      </c>
    </row>
    <row r="4" spans="1:7" x14ac:dyDescent="0.25">
      <c r="A4">
        <v>2.9594299999999998</v>
      </c>
      <c r="B4">
        <v>338.32400000000001</v>
      </c>
      <c r="D4">
        <f t="shared" si="0"/>
        <v>2959430</v>
      </c>
      <c r="E4">
        <f t="shared" si="1"/>
        <v>338.32400000000001</v>
      </c>
      <c r="F4" t="s">
        <v>15</v>
      </c>
      <c r="G4" t="s">
        <v>15</v>
      </c>
    </row>
    <row r="5" spans="1:7" x14ac:dyDescent="0.25">
      <c r="A5">
        <v>3.32273</v>
      </c>
      <c r="B5">
        <v>343.29599999999999</v>
      </c>
      <c r="D5">
        <f t="shared" si="0"/>
        <v>3322730</v>
      </c>
      <c r="E5">
        <f t="shared" si="1"/>
        <v>343.29599999999999</v>
      </c>
      <c r="F5" t="s">
        <v>15</v>
      </c>
      <c r="G5" t="s">
        <v>15</v>
      </c>
    </row>
    <row r="6" spans="1:7" x14ac:dyDescent="0.25">
      <c r="A6">
        <v>3.7158899999999999</v>
      </c>
      <c r="B6">
        <v>348.24200000000002</v>
      </c>
      <c r="D6">
        <f t="shared" si="0"/>
        <v>3715890</v>
      </c>
      <c r="E6">
        <f t="shared" si="1"/>
        <v>348.24200000000002</v>
      </c>
      <c r="F6" t="s">
        <v>15</v>
      </c>
      <c r="G6" t="s">
        <v>15</v>
      </c>
    </row>
    <row r="7" spans="1:7" x14ac:dyDescent="0.25">
      <c r="A7">
        <v>4.1396899999999999</v>
      </c>
      <c r="B7">
        <v>353.15100000000001</v>
      </c>
      <c r="D7">
        <f t="shared" si="0"/>
        <v>4139690</v>
      </c>
      <c r="E7">
        <f t="shared" si="1"/>
        <v>353.15100000000001</v>
      </c>
      <c r="F7" t="s">
        <v>15</v>
      </c>
      <c r="G7" t="s">
        <v>15</v>
      </c>
    </row>
    <row r="8" spans="1:7" x14ac:dyDescent="0.25">
      <c r="A8">
        <v>4.6075400000000002</v>
      </c>
      <c r="B8">
        <v>358.14800000000002</v>
      </c>
      <c r="D8">
        <f t="shared" si="0"/>
        <v>4607540</v>
      </c>
      <c r="E8">
        <f t="shared" si="1"/>
        <v>358.14800000000002</v>
      </c>
      <c r="F8" t="s">
        <v>15</v>
      </c>
      <c r="G8" t="s">
        <v>15</v>
      </c>
    </row>
    <row r="9" spans="1:7" x14ac:dyDescent="0.25">
      <c r="A9">
        <v>5.1078400000000004</v>
      </c>
      <c r="B9">
        <v>363.09</v>
      </c>
      <c r="D9">
        <f t="shared" si="0"/>
        <v>5107840</v>
      </c>
      <c r="E9">
        <f t="shared" si="1"/>
        <v>363.09</v>
      </c>
      <c r="F9" t="s">
        <v>15</v>
      </c>
      <c r="G9" t="s">
        <v>15</v>
      </c>
    </row>
    <row r="10" spans="1:7" x14ac:dyDescent="0.25">
      <c r="A10">
        <v>5.6844900000000003</v>
      </c>
      <c r="B10">
        <v>368.351</v>
      </c>
      <c r="D10">
        <f t="shared" si="0"/>
        <v>5684490</v>
      </c>
      <c r="E10">
        <f t="shared" si="1"/>
        <v>368.351</v>
      </c>
      <c r="F10" t="s">
        <v>15</v>
      </c>
      <c r="G10" t="s">
        <v>15</v>
      </c>
    </row>
    <row r="11" spans="1:7" x14ac:dyDescent="0.25">
      <c r="A11">
        <v>6.3332899999999999</v>
      </c>
      <c r="B11">
        <v>373.80599999999998</v>
      </c>
      <c r="D11">
        <f t="shared" si="0"/>
        <v>6333290</v>
      </c>
      <c r="E11">
        <f t="shared" si="1"/>
        <v>373.80599999999998</v>
      </c>
      <c r="F11" t="s">
        <v>15</v>
      </c>
      <c r="G11" t="s">
        <v>15</v>
      </c>
    </row>
    <row r="12" spans="1:7" x14ac:dyDescent="0.25">
      <c r="A12">
        <v>6.9721299999999999</v>
      </c>
      <c r="B12">
        <v>378.77800000000002</v>
      </c>
      <c r="D12">
        <f t="shared" si="0"/>
        <v>6972130</v>
      </c>
      <c r="E12">
        <f t="shared" si="1"/>
        <v>378.77800000000002</v>
      </c>
      <c r="F12" t="s">
        <v>15</v>
      </c>
      <c r="G12" t="s">
        <v>15</v>
      </c>
    </row>
    <row r="13" spans="1:7" x14ac:dyDescent="0.25">
      <c r="A13">
        <v>7.6590600000000002</v>
      </c>
      <c r="B13">
        <v>383.74400000000003</v>
      </c>
      <c r="D13">
        <f t="shared" si="0"/>
        <v>7659060</v>
      </c>
      <c r="E13">
        <f t="shared" si="1"/>
        <v>383.74400000000003</v>
      </c>
      <c r="F13" t="s">
        <v>15</v>
      </c>
      <c r="G13" t="s">
        <v>15</v>
      </c>
    </row>
    <row r="14" spans="1:7" x14ac:dyDescent="0.25">
      <c r="A14">
        <v>8.3924900000000004</v>
      </c>
      <c r="B14">
        <v>388.67399999999998</v>
      </c>
      <c r="D14">
        <f t="shared" si="0"/>
        <v>8392490</v>
      </c>
      <c r="E14">
        <f t="shared" si="1"/>
        <v>388.67399999999998</v>
      </c>
      <c r="F14" t="s">
        <v>15</v>
      </c>
      <c r="G14" t="s">
        <v>15</v>
      </c>
    </row>
    <row r="15" spans="1:7" x14ac:dyDescent="0.25">
      <c r="A15">
        <v>9.1826000000000008</v>
      </c>
      <c r="B15">
        <v>393.60700000000003</v>
      </c>
      <c r="D15">
        <f t="shared" si="0"/>
        <v>9182600</v>
      </c>
      <c r="E15">
        <f t="shared" si="1"/>
        <v>393.60700000000003</v>
      </c>
      <c r="F15" t="s">
        <v>15</v>
      </c>
      <c r="G15" t="s">
        <v>15</v>
      </c>
    </row>
    <row r="16" spans="1:7" x14ac:dyDescent="0.25">
      <c r="A16">
        <v>10.038449999999999</v>
      </c>
      <c r="B16">
        <v>398.57</v>
      </c>
      <c r="D16">
        <f t="shared" si="0"/>
        <v>10038450</v>
      </c>
      <c r="E16">
        <f t="shared" si="1"/>
        <v>398.57</v>
      </c>
      <c r="F16" t="s">
        <v>15</v>
      </c>
      <c r="G16" t="s">
        <v>15</v>
      </c>
    </row>
    <row r="17" spans="1:7" x14ac:dyDescent="0.25">
      <c r="A17">
        <v>10.97369</v>
      </c>
      <c r="B17">
        <v>403.58800000000002</v>
      </c>
      <c r="D17">
        <f t="shared" si="0"/>
        <v>10973690</v>
      </c>
      <c r="E17">
        <f t="shared" si="1"/>
        <v>403.58800000000002</v>
      </c>
      <c r="F17" t="s">
        <v>15</v>
      </c>
      <c r="G17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BABD-E186-4BC7-BA1C-FE867D67FBF6}">
  <dimension ref="A1:G18"/>
  <sheetViews>
    <sheetView workbookViewId="0">
      <selection activeCell="F1" sqref="F1:G18"/>
    </sheetView>
  </sheetViews>
  <sheetFormatPr defaultRowHeight="15" x14ac:dyDescent="0.25"/>
  <sheetData>
    <row r="1" spans="1:7" x14ac:dyDescent="0.25">
      <c r="A1" t="s">
        <v>6</v>
      </c>
      <c r="B1" t="s">
        <v>5</v>
      </c>
      <c r="D1" t="s">
        <v>0</v>
      </c>
      <c r="E1" t="s">
        <v>1</v>
      </c>
      <c r="F1" t="s">
        <v>12</v>
      </c>
      <c r="G1" t="s">
        <v>14</v>
      </c>
    </row>
    <row r="2" spans="1:7" x14ac:dyDescent="0.25">
      <c r="A2">
        <v>760</v>
      </c>
      <c r="B2">
        <v>238.5</v>
      </c>
      <c r="D2">
        <f>A2*133.322</f>
        <v>101324.72</v>
      </c>
      <c r="E2">
        <f>B2</f>
        <v>238.5</v>
      </c>
      <c r="F2" t="s">
        <v>15</v>
      </c>
      <c r="G2" t="s">
        <v>15</v>
      </c>
    </row>
    <row r="3" spans="1:7" x14ac:dyDescent="0.25">
      <c r="A3">
        <v>730</v>
      </c>
      <c r="B3">
        <v>237.7</v>
      </c>
      <c r="D3">
        <f t="shared" ref="D3:D18" si="0">A3*133.322</f>
        <v>97325.06</v>
      </c>
      <c r="E3">
        <f t="shared" ref="E3:E18" si="1">B3</f>
        <v>237.7</v>
      </c>
      <c r="F3" t="s">
        <v>15</v>
      </c>
      <c r="G3" t="s">
        <v>15</v>
      </c>
    </row>
    <row r="4" spans="1:7" x14ac:dyDescent="0.25">
      <c r="A4">
        <v>700</v>
      </c>
      <c r="B4">
        <v>236.8</v>
      </c>
      <c r="D4">
        <f t="shared" si="0"/>
        <v>93325.400000000009</v>
      </c>
      <c r="E4">
        <f t="shared" si="1"/>
        <v>236.8</v>
      </c>
      <c r="F4" t="s">
        <v>15</v>
      </c>
      <c r="G4" t="s">
        <v>15</v>
      </c>
    </row>
    <row r="5" spans="1:7" x14ac:dyDescent="0.25">
      <c r="A5">
        <v>650</v>
      </c>
      <c r="B5">
        <v>235.4</v>
      </c>
      <c r="D5">
        <f t="shared" si="0"/>
        <v>86659.3</v>
      </c>
      <c r="E5">
        <f t="shared" si="1"/>
        <v>235.4</v>
      </c>
      <c r="F5" t="s">
        <v>15</v>
      </c>
      <c r="G5" t="s">
        <v>15</v>
      </c>
    </row>
    <row r="6" spans="1:7" x14ac:dyDescent="0.25">
      <c r="A6">
        <v>600</v>
      </c>
      <c r="B6">
        <v>233.8</v>
      </c>
      <c r="D6">
        <f t="shared" si="0"/>
        <v>79993.2</v>
      </c>
      <c r="E6">
        <f t="shared" si="1"/>
        <v>233.8</v>
      </c>
      <c r="F6" t="s">
        <v>15</v>
      </c>
      <c r="G6" t="s">
        <v>15</v>
      </c>
    </row>
    <row r="7" spans="1:7" x14ac:dyDescent="0.25">
      <c r="A7">
        <v>500</v>
      </c>
      <c r="B7">
        <v>230.7</v>
      </c>
      <c r="D7">
        <f t="shared" si="0"/>
        <v>66661</v>
      </c>
      <c r="E7">
        <f t="shared" si="1"/>
        <v>230.7</v>
      </c>
      <c r="F7" t="s">
        <v>15</v>
      </c>
      <c r="G7" t="s">
        <v>15</v>
      </c>
    </row>
    <row r="8" spans="1:7" x14ac:dyDescent="0.25">
      <c r="A8">
        <v>400</v>
      </c>
      <c r="B8">
        <v>226.8</v>
      </c>
      <c r="D8">
        <f t="shared" si="0"/>
        <v>53328.800000000003</v>
      </c>
      <c r="E8">
        <f t="shared" si="1"/>
        <v>226.8</v>
      </c>
      <c r="F8" t="s">
        <v>15</v>
      </c>
      <c r="G8" t="s">
        <v>15</v>
      </c>
    </row>
    <row r="9" spans="1:7" x14ac:dyDescent="0.25">
      <c r="A9">
        <v>300</v>
      </c>
      <c r="B9">
        <v>222.4</v>
      </c>
      <c r="D9">
        <f t="shared" si="0"/>
        <v>39996.6</v>
      </c>
      <c r="E9">
        <f t="shared" si="1"/>
        <v>222.4</v>
      </c>
      <c r="F9" t="s">
        <v>15</v>
      </c>
      <c r="G9" t="s">
        <v>15</v>
      </c>
    </row>
    <row r="10" spans="1:7" x14ac:dyDescent="0.25">
      <c r="A10">
        <v>200</v>
      </c>
      <c r="B10">
        <v>216.3</v>
      </c>
      <c r="D10">
        <f t="shared" si="0"/>
        <v>26664.400000000001</v>
      </c>
      <c r="E10">
        <f t="shared" si="1"/>
        <v>216.3</v>
      </c>
      <c r="F10" t="s">
        <v>15</v>
      </c>
      <c r="G10" t="s">
        <v>15</v>
      </c>
    </row>
    <row r="11" spans="1:7" x14ac:dyDescent="0.25">
      <c r="A11">
        <v>150</v>
      </c>
      <c r="B11">
        <v>212.3</v>
      </c>
      <c r="D11">
        <f t="shared" si="0"/>
        <v>19998.3</v>
      </c>
      <c r="E11">
        <f t="shared" si="1"/>
        <v>212.3</v>
      </c>
      <c r="F11" t="s">
        <v>15</v>
      </c>
      <c r="G11" t="s">
        <v>15</v>
      </c>
    </row>
    <row r="12" spans="1:7" x14ac:dyDescent="0.25">
      <c r="A12">
        <v>100</v>
      </c>
      <c r="B12">
        <v>206.5</v>
      </c>
      <c r="D12">
        <f t="shared" si="0"/>
        <v>13332.2</v>
      </c>
      <c r="E12">
        <f t="shared" si="1"/>
        <v>206.5</v>
      </c>
      <c r="F12" t="s">
        <v>15</v>
      </c>
      <c r="G12" t="s">
        <v>15</v>
      </c>
    </row>
    <row r="13" spans="1:7" x14ac:dyDescent="0.25">
      <c r="A13">
        <v>50</v>
      </c>
      <c r="B13">
        <v>197</v>
      </c>
      <c r="D13">
        <f t="shared" si="0"/>
        <v>6666.1</v>
      </c>
      <c r="E13">
        <f t="shared" si="1"/>
        <v>197</v>
      </c>
      <c r="F13" t="s">
        <v>15</v>
      </c>
      <c r="G13" t="s">
        <v>15</v>
      </c>
    </row>
    <row r="14" spans="1:7" x14ac:dyDescent="0.25">
      <c r="A14">
        <v>30</v>
      </c>
      <c r="B14">
        <v>191</v>
      </c>
      <c r="D14">
        <f t="shared" si="0"/>
        <v>3999.66</v>
      </c>
      <c r="E14">
        <f t="shared" si="1"/>
        <v>191</v>
      </c>
      <c r="F14" t="s">
        <v>15</v>
      </c>
      <c r="G14" t="s">
        <v>15</v>
      </c>
    </row>
    <row r="15" spans="1:7" x14ac:dyDescent="0.25">
      <c r="A15">
        <v>15</v>
      </c>
      <c r="B15">
        <v>184.2</v>
      </c>
      <c r="D15">
        <f t="shared" si="0"/>
        <v>1999.83</v>
      </c>
      <c r="E15">
        <f t="shared" si="1"/>
        <v>184.2</v>
      </c>
      <c r="F15" t="s">
        <v>15</v>
      </c>
      <c r="G15" t="s">
        <v>15</v>
      </c>
    </row>
    <row r="16" spans="1:7" x14ac:dyDescent="0.25">
      <c r="A16">
        <v>7</v>
      </c>
      <c r="B16">
        <v>176.4</v>
      </c>
      <c r="D16">
        <f t="shared" si="0"/>
        <v>933.25400000000002</v>
      </c>
      <c r="E16">
        <f t="shared" si="1"/>
        <v>176.4</v>
      </c>
      <c r="F16" t="s">
        <v>15</v>
      </c>
      <c r="G16" t="s">
        <v>15</v>
      </c>
    </row>
    <row r="17" spans="1:7" x14ac:dyDescent="0.25">
      <c r="A17">
        <v>4</v>
      </c>
      <c r="B17">
        <v>171.9</v>
      </c>
      <c r="D17">
        <f t="shared" si="0"/>
        <v>533.28800000000001</v>
      </c>
      <c r="E17">
        <f t="shared" si="1"/>
        <v>171.9</v>
      </c>
      <c r="F17" t="s">
        <v>15</v>
      </c>
      <c r="G17" t="s">
        <v>15</v>
      </c>
    </row>
    <row r="18" spans="1:7" x14ac:dyDescent="0.25">
      <c r="A18">
        <v>1</v>
      </c>
      <c r="B18">
        <v>159.80000000000001</v>
      </c>
      <c r="D18">
        <f t="shared" si="0"/>
        <v>133.322</v>
      </c>
      <c r="E18">
        <f t="shared" si="1"/>
        <v>159.80000000000001</v>
      </c>
      <c r="F18" t="s">
        <v>15</v>
      </c>
      <c r="G18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FD07-C1B2-4B79-B6D4-24C7737BD711}">
  <dimension ref="A1:I32"/>
  <sheetViews>
    <sheetView workbookViewId="0">
      <selection activeCell="H1" sqref="H1:I32"/>
    </sheetView>
  </sheetViews>
  <sheetFormatPr defaultRowHeight="15" x14ac:dyDescent="0.25"/>
  <sheetData>
    <row r="1" spans="1:9" x14ac:dyDescent="0.25">
      <c r="A1" t="s">
        <v>3</v>
      </c>
      <c r="B1" t="s">
        <v>7</v>
      </c>
      <c r="C1" t="s">
        <v>8</v>
      </c>
      <c r="D1" t="s">
        <v>10</v>
      </c>
      <c r="F1" t="s">
        <v>0</v>
      </c>
      <c r="G1" t="s">
        <v>1</v>
      </c>
      <c r="H1" t="s">
        <v>12</v>
      </c>
      <c r="I1" t="s">
        <v>14</v>
      </c>
    </row>
    <row r="2" spans="1:9" x14ac:dyDescent="0.25">
      <c r="A2">
        <v>228.55</v>
      </c>
      <c r="B2">
        <v>48.273000000000003</v>
      </c>
      <c r="C2">
        <v>7.4806999999999997</v>
      </c>
      <c r="D2">
        <f>C2+B2</f>
        <v>55.753700000000002</v>
      </c>
      <c r="F2">
        <f>D2*1000</f>
        <v>55753.700000000004</v>
      </c>
      <c r="G2">
        <f>A2</f>
        <v>228.55</v>
      </c>
      <c r="H2" t="s">
        <v>15</v>
      </c>
      <c r="I2" t="s">
        <v>15</v>
      </c>
    </row>
    <row r="3" spans="1:9" x14ac:dyDescent="0.25">
      <c r="A3">
        <v>229.51</v>
      </c>
      <c r="B3">
        <v>50.869</v>
      </c>
      <c r="C3">
        <v>7.8170000000000002</v>
      </c>
      <c r="D3">
        <f t="shared" ref="D3:D32" si="0">C3+B3</f>
        <v>58.686</v>
      </c>
      <c r="F3">
        <f t="shared" ref="F3:F32" si="1">D3*1000</f>
        <v>58686</v>
      </c>
      <c r="G3">
        <f t="shared" ref="G3:G32" si="2">A3</f>
        <v>229.51</v>
      </c>
      <c r="H3" t="s">
        <v>15</v>
      </c>
      <c r="I3" t="s">
        <v>15</v>
      </c>
    </row>
    <row r="4" spans="1:9" x14ac:dyDescent="0.25">
      <c r="A4">
        <v>229.94</v>
      </c>
      <c r="B4">
        <v>52.234999999999999</v>
      </c>
      <c r="C4">
        <v>7.9326999999999996</v>
      </c>
      <c r="D4">
        <f t="shared" si="0"/>
        <v>60.167699999999996</v>
      </c>
      <c r="F4">
        <f t="shared" si="1"/>
        <v>60167.7</v>
      </c>
      <c r="G4">
        <f t="shared" si="2"/>
        <v>229.94</v>
      </c>
      <c r="H4" t="s">
        <v>15</v>
      </c>
      <c r="I4" t="s">
        <v>15</v>
      </c>
    </row>
    <row r="5" spans="1:9" x14ac:dyDescent="0.25">
      <c r="A5">
        <v>230.38</v>
      </c>
      <c r="B5">
        <v>53.661999999999999</v>
      </c>
      <c r="C5">
        <v>8.1030999999999995</v>
      </c>
      <c r="D5">
        <f t="shared" si="0"/>
        <v>61.765099999999997</v>
      </c>
      <c r="F5">
        <f t="shared" si="1"/>
        <v>61765.1</v>
      </c>
      <c r="G5">
        <f t="shared" si="2"/>
        <v>230.38</v>
      </c>
      <c r="H5" t="s">
        <v>15</v>
      </c>
      <c r="I5" t="s">
        <v>15</v>
      </c>
    </row>
    <row r="6" spans="1:9" x14ac:dyDescent="0.25">
      <c r="A6">
        <v>230.47</v>
      </c>
      <c r="B6">
        <v>53.884999999999998</v>
      </c>
      <c r="C6">
        <v>8.1187000000000005</v>
      </c>
      <c r="D6">
        <f t="shared" si="0"/>
        <v>62.003699999999995</v>
      </c>
      <c r="F6">
        <f t="shared" si="1"/>
        <v>62003.7</v>
      </c>
      <c r="G6">
        <f t="shared" si="2"/>
        <v>230.47</v>
      </c>
      <c r="H6" t="s">
        <v>15</v>
      </c>
      <c r="I6" t="s">
        <v>15</v>
      </c>
    </row>
    <row r="7" spans="1:9" x14ac:dyDescent="0.25">
      <c r="A7">
        <v>230.98</v>
      </c>
      <c r="B7">
        <v>55.417000000000002</v>
      </c>
      <c r="C7">
        <v>8.3007000000000009</v>
      </c>
      <c r="D7">
        <f t="shared" si="0"/>
        <v>63.717700000000001</v>
      </c>
      <c r="F7">
        <f t="shared" si="1"/>
        <v>63717.7</v>
      </c>
      <c r="G7">
        <f t="shared" si="2"/>
        <v>230.98</v>
      </c>
      <c r="H7" t="s">
        <v>15</v>
      </c>
      <c r="I7" t="s">
        <v>15</v>
      </c>
    </row>
    <row r="8" spans="1:9" x14ac:dyDescent="0.25">
      <c r="A8">
        <v>231.07</v>
      </c>
      <c r="B8">
        <v>55.738999999999997</v>
      </c>
      <c r="C8">
        <v>8.31</v>
      </c>
      <c r="D8">
        <f t="shared" si="0"/>
        <v>64.048999999999992</v>
      </c>
      <c r="F8">
        <f t="shared" si="1"/>
        <v>64048.999999999993</v>
      </c>
      <c r="G8">
        <f t="shared" si="2"/>
        <v>231.07</v>
      </c>
      <c r="H8" t="s">
        <v>15</v>
      </c>
      <c r="I8" t="s">
        <v>15</v>
      </c>
    </row>
    <row r="9" spans="1:9" x14ac:dyDescent="0.25">
      <c r="A9">
        <v>231.37</v>
      </c>
      <c r="B9">
        <v>56.677</v>
      </c>
      <c r="C9">
        <v>8.4433000000000007</v>
      </c>
      <c r="D9">
        <f t="shared" si="0"/>
        <v>65.1203</v>
      </c>
      <c r="F9">
        <f t="shared" si="1"/>
        <v>65120.3</v>
      </c>
      <c r="G9">
        <f t="shared" si="2"/>
        <v>231.37</v>
      </c>
      <c r="H9" t="s">
        <v>15</v>
      </c>
      <c r="I9" t="s">
        <v>15</v>
      </c>
    </row>
    <row r="10" spans="1:9" x14ac:dyDescent="0.25">
      <c r="A10">
        <v>231.43</v>
      </c>
      <c r="B10">
        <v>56.84</v>
      </c>
      <c r="C10">
        <v>8.4486000000000008</v>
      </c>
      <c r="D10">
        <f t="shared" si="0"/>
        <v>65.288600000000002</v>
      </c>
      <c r="F10">
        <f t="shared" si="1"/>
        <v>65288.600000000006</v>
      </c>
      <c r="G10">
        <f t="shared" si="2"/>
        <v>231.43</v>
      </c>
      <c r="H10" t="s">
        <v>15</v>
      </c>
      <c r="I10" t="s">
        <v>15</v>
      </c>
    </row>
    <row r="11" spans="1:9" x14ac:dyDescent="0.25">
      <c r="A11">
        <v>231.54</v>
      </c>
      <c r="B11">
        <v>57.101999999999997</v>
      </c>
      <c r="C11">
        <v>8.4913000000000007</v>
      </c>
      <c r="D11">
        <f t="shared" si="0"/>
        <v>65.593299999999999</v>
      </c>
      <c r="F11">
        <f t="shared" si="1"/>
        <v>65593.3</v>
      </c>
      <c r="G11">
        <f t="shared" si="2"/>
        <v>231.54</v>
      </c>
      <c r="H11" t="s">
        <v>15</v>
      </c>
      <c r="I11" t="s">
        <v>15</v>
      </c>
    </row>
    <row r="12" spans="1:9" x14ac:dyDescent="0.25">
      <c r="A12">
        <v>231.89</v>
      </c>
      <c r="B12">
        <v>58.237000000000002</v>
      </c>
      <c r="C12">
        <v>8.5832999999999995</v>
      </c>
      <c r="D12">
        <f t="shared" si="0"/>
        <v>66.820300000000003</v>
      </c>
      <c r="F12">
        <f t="shared" si="1"/>
        <v>66820.3</v>
      </c>
      <c r="G12">
        <f t="shared" si="2"/>
        <v>231.89</v>
      </c>
      <c r="H12" t="s">
        <v>15</v>
      </c>
      <c r="I12" t="s">
        <v>15</v>
      </c>
    </row>
    <row r="13" spans="1:9" x14ac:dyDescent="0.25">
      <c r="A13">
        <v>232.69</v>
      </c>
      <c r="B13">
        <v>61.036000000000001</v>
      </c>
      <c r="C13">
        <v>8.9099000000000004</v>
      </c>
      <c r="D13">
        <f t="shared" si="0"/>
        <v>69.945899999999995</v>
      </c>
      <c r="F13">
        <f t="shared" si="1"/>
        <v>69945.899999999994</v>
      </c>
      <c r="G13">
        <f t="shared" si="2"/>
        <v>232.69</v>
      </c>
      <c r="H13" t="s">
        <v>15</v>
      </c>
      <c r="I13" t="s">
        <v>15</v>
      </c>
    </row>
    <row r="14" spans="1:9" x14ac:dyDescent="0.25">
      <c r="A14">
        <v>233</v>
      </c>
      <c r="B14">
        <v>62.040999999999997</v>
      </c>
      <c r="C14">
        <v>9.0213000000000001</v>
      </c>
      <c r="D14">
        <f t="shared" si="0"/>
        <v>71.062299999999993</v>
      </c>
      <c r="F14">
        <f t="shared" si="1"/>
        <v>71062.299999999988</v>
      </c>
      <c r="G14">
        <f t="shared" si="2"/>
        <v>233</v>
      </c>
      <c r="H14" t="s">
        <v>15</v>
      </c>
      <c r="I14" t="s">
        <v>15</v>
      </c>
    </row>
    <row r="15" spans="1:9" x14ac:dyDescent="0.25">
      <c r="A15">
        <v>233.33</v>
      </c>
      <c r="B15">
        <v>63.173000000000002</v>
      </c>
      <c r="C15">
        <v>9.1486000000000001</v>
      </c>
      <c r="D15">
        <f t="shared" si="0"/>
        <v>72.321600000000004</v>
      </c>
      <c r="F15">
        <f t="shared" si="1"/>
        <v>72321.600000000006</v>
      </c>
      <c r="G15">
        <f t="shared" si="2"/>
        <v>233.33</v>
      </c>
      <c r="H15" t="s">
        <v>15</v>
      </c>
      <c r="I15" t="s">
        <v>15</v>
      </c>
    </row>
    <row r="16" spans="1:9" x14ac:dyDescent="0.25">
      <c r="A16">
        <v>233.37</v>
      </c>
      <c r="B16">
        <v>63.247</v>
      </c>
      <c r="C16">
        <v>9.1582000000000008</v>
      </c>
      <c r="D16">
        <f t="shared" si="0"/>
        <v>72.405200000000008</v>
      </c>
      <c r="F16">
        <f t="shared" si="1"/>
        <v>72405.200000000012</v>
      </c>
      <c r="G16">
        <f t="shared" si="2"/>
        <v>233.37</v>
      </c>
      <c r="H16" t="s">
        <v>15</v>
      </c>
      <c r="I16" t="s">
        <v>15</v>
      </c>
    </row>
    <row r="17" spans="1:9" x14ac:dyDescent="0.25">
      <c r="A17">
        <v>233.83</v>
      </c>
      <c r="B17">
        <v>65.001000000000005</v>
      </c>
      <c r="C17">
        <v>9.3488000000000007</v>
      </c>
      <c r="D17">
        <f t="shared" si="0"/>
        <v>74.349800000000002</v>
      </c>
      <c r="F17">
        <f t="shared" si="1"/>
        <v>74349.8</v>
      </c>
      <c r="G17">
        <f t="shared" si="2"/>
        <v>233.83</v>
      </c>
      <c r="H17" t="s">
        <v>15</v>
      </c>
      <c r="I17" t="s">
        <v>15</v>
      </c>
    </row>
    <row r="18" spans="1:9" x14ac:dyDescent="0.25">
      <c r="A18">
        <v>234.15</v>
      </c>
      <c r="B18">
        <v>66.072999999999993</v>
      </c>
      <c r="C18">
        <v>9.4672000000000001</v>
      </c>
      <c r="D18">
        <f t="shared" si="0"/>
        <v>75.540199999999999</v>
      </c>
      <c r="F18">
        <f t="shared" si="1"/>
        <v>75540.2</v>
      </c>
      <c r="G18">
        <f t="shared" si="2"/>
        <v>234.15</v>
      </c>
      <c r="H18" t="s">
        <v>15</v>
      </c>
      <c r="I18" t="s">
        <v>15</v>
      </c>
    </row>
    <row r="19" spans="1:9" x14ac:dyDescent="0.25">
      <c r="A19">
        <v>234.25</v>
      </c>
      <c r="B19">
        <v>66.462000000000003</v>
      </c>
      <c r="C19">
        <v>9.5152000000000001</v>
      </c>
      <c r="D19">
        <f t="shared" si="0"/>
        <v>75.977200000000011</v>
      </c>
      <c r="F19">
        <f t="shared" si="1"/>
        <v>75977.200000000012</v>
      </c>
      <c r="G19">
        <f t="shared" si="2"/>
        <v>234.25</v>
      </c>
      <c r="H19" t="s">
        <v>15</v>
      </c>
      <c r="I19" t="s">
        <v>15</v>
      </c>
    </row>
    <row r="20" spans="1:9" x14ac:dyDescent="0.25">
      <c r="A20">
        <v>234.47</v>
      </c>
      <c r="B20">
        <v>67.307000000000002</v>
      </c>
      <c r="C20">
        <v>9.5965000000000007</v>
      </c>
      <c r="D20">
        <f t="shared" si="0"/>
        <v>76.903500000000008</v>
      </c>
      <c r="F20">
        <f t="shared" si="1"/>
        <v>76903.500000000015</v>
      </c>
      <c r="G20">
        <f t="shared" si="2"/>
        <v>234.47</v>
      </c>
      <c r="H20" t="s">
        <v>15</v>
      </c>
      <c r="I20" t="s">
        <v>15</v>
      </c>
    </row>
    <row r="21" spans="1:9" x14ac:dyDescent="0.25">
      <c r="A21">
        <v>234.95</v>
      </c>
      <c r="B21">
        <v>69.040000000000006</v>
      </c>
      <c r="C21">
        <v>9.7684999999999995</v>
      </c>
      <c r="D21">
        <f t="shared" si="0"/>
        <v>78.808500000000009</v>
      </c>
      <c r="F21">
        <f t="shared" si="1"/>
        <v>78808.500000000015</v>
      </c>
      <c r="G21">
        <f t="shared" si="2"/>
        <v>234.95</v>
      </c>
      <c r="H21" t="s">
        <v>15</v>
      </c>
      <c r="I21" t="s">
        <v>15</v>
      </c>
    </row>
    <row r="22" spans="1:9" x14ac:dyDescent="0.25">
      <c r="A22">
        <v>235.15</v>
      </c>
      <c r="B22">
        <v>69.694000000000003</v>
      </c>
      <c r="C22">
        <v>9.8185000000000002</v>
      </c>
      <c r="D22">
        <f t="shared" si="0"/>
        <v>79.512500000000003</v>
      </c>
      <c r="F22">
        <f t="shared" si="1"/>
        <v>79512.5</v>
      </c>
      <c r="G22">
        <f t="shared" si="2"/>
        <v>235.15</v>
      </c>
      <c r="H22" t="s">
        <v>15</v>
      </c>
      <c r="I22" t="s">
        <v>15</v>
      </c>
    </row>
    <row r="23" spans="1:9" x14ac:dyDescent="0.25">
      <c r="A23">
        <v>235.57</v>
      </c>
      <c r="B23">
        <v>71.37</v>
      </c>
      <c r="C23">
        <v>10.0098</v>
      </c>
      <c r="D23">
        <f t="shared" si="0"/>
        <v>81.379800000000003</v>
      </c>
      <c r="F23">
        <f t="shared" si="1"/>
        <v>81379.8</v>
      </c>
      <c r="G23">
        <f t="shared" si="2"/>
        <v>235.57</v>
      </c>
      <c r="H23" t="s">
        <v>15</v>
      </c>
      <c r="I23" t="s">
        <v>15</v>
      </c>
    </row>
    <row r="24" spans="1:9" x14ac:dyDescent="0.25">
      <c r="A24">
        <v>235.58</v>
      </c>
      <c r="B24">
        <v>71.465000000000003</v>
      </c>
      <c r="C24">
        <v>10.023199999999999</v>
      </c>
      <c r="D24">
        <f t="shared" si="0"/>
        <v>81.488200000000006</v>
      </c>
      <c r="F24">
        <f t="shared" si="1"/>
        <v>81488.200000000012</v>
      </c>
      <c r="G24">
        <f t="shared" si="2"/>
        <v>235.58</v>
      </c>
      <c r="H24" t="s">
        <v>15</v>
      </c>
      <c r="I24" t="s">
        <v>15</v>
      </c>
    </row>
    <row r="25" spans="1:9" x14ac:dyDescent="0.25">
      <c r="A25">
        <v>235.9</v>
      </c>
      <c r="B25">
        <v>72.709999999999994</v>
      </c>
      <c r="C25">
        <v>10.1632</v>
      </c>
      <c r="D25">
        <f t="shared" si="0"/>
        <v>82.873199999999997</v>
      </c>
      <c r="F25">
        <f t="shared" si="1"/>
        <v>82873.2</v>
      </c>
      <c r="G25">
        <f t="shared" si="2"/>
        <v>235.9</v>
      </c>
      <c r="H25" t="s">
        <v>15</v>
      </c>
      <c r="I25" t="s">
        <v>15</v>
      </c>
    </row>
    <row r="26" spans="1:9" x14ac:dyDescent="0.25">
      <c r="A26">
        <v>236.47</v>
      </c>
      <c r="B26">
        <v>74.894999999999996</v>
      </c>
      <c r="C26">
        <v>10.377800000000001</v>
      </c>
      <c r="D26">
        <f t="shared" si="0"/>
        <v>85.272799999999989</v>
      </c>
      <c r="F26">
        <f t="shared" si="1"/>
        <v>85272.799999999988</v>
      </c>
      <c r="G26">
        <f t="shared" si="2"/>
        <v>236.47</v>
      </c>
      <c r="H26" t="s">
        <v>15</v>
      </c>
      <c r="I26" t="s">
        <v>15</v>
      </c>
    </row>
    <row r="27" spans="1:9" x14ac:dyDescent="0.25">
      <c r="A27">
        <v>236.73</v>
      </c>
      <c r="B27">
        <v>75.991</v>
      </c>
      <c r="C27">
        <v>10.501099999999999</v>
      </c>
      <c r="D27">
        <f t="shared" si="0"/>
        <v>86.492099999999994</v>
      </c>
      <c r="F27">
        <f t="shared" si="1"/>
        <v>86492.099999999991</v>
      </c>
      <c r="G27">
        <f t="shared" si="2"/>
        <v>236.73</v>
      </c>
      <c r="H27" t="s">
        <v>15</v>
      </c>
      <c r="I27" t="s">
        <v>15</v>
      </c>
    </row>
    <row r="28" spans="1:9" x14ac:dyDescent="0.25">
      <c r="A28">
        <v>236.77</v>
      </c>
      <c r="B28">
        <v>76.153000000000006</v>
      </c>
      <c r="C28">
        <v>10.5061</v>
      </c>
      <c r="D28">
        <f t="shared" si="0"/>
        <v>86.659100000000009</v>
      </c>
      <c r="F28">
        <f t="shared" si="1"/>
        <v>86659.1</v>
      </c>
      <c r="G28">
        <f t="shared" si="2"/>
        <v>236.77</v>
      </c>
      <c r="H28" t="s">
        <v>15</v>
      </c>
      <c r="I28" t="s">
        <v>15</v>
      </c>
    </row>
    <row r="29" spans="1:9" x14ac:dyDescent="0.25">
      <c r="A29">
        <v>237.32</v>
      </c>
      <c r="B29">
        <v>78.418999999999997</v>
      </c>
      <c r="C29">
        <v>10.7524</v>
      </c>
      <c r="D29">
        <f t="shared" si="0"/>
        <v>89.171399999999991</v>
      </c>
      <c r="F29">
        <f t="shared" si="1"/>
        <v>89171.4</v>
      </c>
      <c r="G29">
        <f t="shared" si="2"/>
        <v>237.32</v>
      </c>
      <c r="H29" t="s">
        <v>15</v>
      </c>
      <c r="I29" t="s">
        <v>15</v>
      </c>
    </row>
    <row r="30" spans="1:9" x14ac:dyDescent="0.25">
      <c r="A30">
        <v>237.38</v>
      </c>
      <c r="B30">
        <v>78.644999999999996</v>
      </c>
      <c r="C30">
        <v>10.767099999999999</v>
      </c>
      <c r="D30">
        <f t="shared" si="0"/>
        <v>89.412099999999995</v>
      </c>
      <c r="F30">
        <f t="shared" si="1"/>
        <v>89412.099999999991</v>
      </c>
      <c r="G30">
        <f t="shared" si="2"/>
        <v>237.38</v>
      </c>
      <c r="H30" t="s">
        <v>15</v>
      </c>
      <c r="I30" t="s">
        <v>15</v>
      </c>
    </row>
    <row r="31" spans="1:9" x14ac:dyDescent="0.25">
      <c r="A31">
        <v>237.46</v>
      </c>
      <c r="B31">
        <v>79.144000000000005</v>
      </c>
      <c r="C31">
        <v>10.811</v>
      </c>
      <c r="D31">
        <f t="shared" si="0"/>
        <v>89.955000000000013</v>
      </c>
      <c r="F31">
        <f t="shared" si="1"/>
        <v>89955.000000000015</v>
      </c>
      <c r="G31">
        <f t="shared" si="2"/>
        <v>237.46</v>
      </c>
      <c r="H31" t="s">
        <v>15</v>
      </c>
      <c r="I31" t="s">
        <v>15</v>
      </c>
    </row>
    <row r="32" spans="1:9" x14ac:dyDescent="0.25">
      <c r="A32">
        <v>237.92</v>
      </c>
      <c r="B32">
        <v>80.808999999999997</v>
      </c>
      <c r="C32">
        <v>10.9511</v>
      </c>
      <c r="D32">
        <f t="shared" si="0"/>
        <v>91.760099999999994</v>
      </c>
      <c r="F32">
        <f t="shared" si="1"/>
        <v>91760.099999999991</v>
      </c>
      <c r="G32">
        <f t="shared" si="2"/>
        <v>237.92</v>
      </c>
      <c r="H32" t="s">
        <v>15</v>
      </c>
      <c r="I32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DB78-7A23-4FF0-AC70-4A1F0C0D3EEB}">
  <dimension ref="A1:G151"/>
  <sheetViews>
    <sheetView topLeftCell="A130" zoomScaleNormal="100" workbookViewId="0">
      <selection activeCell="K145" sqref="K145"/>
    </sheetView>
  </sheetViews>
  <sheetFormatPr defaultRowHeight="15" x14ac:dyDescent="0.25"/>
  <cols>
    <col min="1" max="1" width="8.28515625" bestFit="1" customWidth="1"/>
    <col min="2" max="2" width="9.85546875" bestFit="1" customWidth="1"/>
  </cols>
  <sheetData>
    <row r="1" spans="1:7" x14ac:dyDescent="0.25">
      <c r="A1" t="s">
        <v>5</v>
      </c>
      <c r="B1" t="s">
        <v>6</v>
      </c>
      <c r="D1" t="s">
        <v>0</v>
      </c>
      <c r="E1" t="s">
        <v>1</v>
      </c>
      <c r="F1" t="s">
        <v>12</v>
      </c>
      <c r="G1" t="s">
        <v>14</v>
      </c>
    </row>
    <row r="2" spans="1:7" x14ac:dyDescent="0.25">
      <c r="A2">
        <v>-78.44</v>
      </c>
      <c r="B2">
        <v>42.2</v>
      </c>
      <c r="D2">
        <f t="shared" ref="D2:D33" si="0">B2*133.322</f>
        <v>5626.1884000000009</v>
      </c>
      <c r="E2">
        <f>A2+273.15</f>
        <v>194.70999999999998</v>
      </c>
      <c r="F2" t="s">
        <v>15</v>
      </c>
      <c r="G2" t="s">
        <v>15</v>
      </c>
    </row>
    <row r="3" spans="1:7" x14ac:dyDescent="0.25">
      <c r="A3">
        <v>-78.45</v>
      </c>
      <c r="B3">
        <v>42.8</v>
      </c>
      <c r="D3">
        <f t="shared" si="0"/>
        <v>5706.1815999999999</v>
      </c>
      <c r="E3">
        <f t="shared" ref="E3:E66" si="1">A3+273.15</f>
        <v>194.7</v>
      </c>
      <c r="F3" t="s">
        <v>15</v>
      </c>
      <c r="G3" t="s">
        <v>15</v>
      </c>
    </row>
    <row r="4" spans="1:7" x14ac:dyDescent="0.25">
      <c r="A4">
        <v>-77.7</v>
      </c>
      <c r="B4">
        <v>44.9</v>
      </c>
      <c r="D4">
        <f t="shared" si="0"/>
        <v>5986.1578</v>
      </c>
      <c r="E4">
        <f t="shared" si="1"/>
        <v>195.45</v>
      </c>
      <c r="F4" t="s">
        <v>15</v>
      </c>
      <c r="G4" t="s">
        <v>15</v>
      </c>
    </row>
    <row r="5" spans="1:7" x14ac:dyDescent="0.25">
      <c r="A5">
        <v>-64.5</v>
      </c>
      <c r="B5">
        <v>121.2</v>
      </c>
      <c r="D5">
        <f t="shared" si="0"/>
        <v>16158.626400000001</v>
      </c>
      <c r="E5">
        <f t="shared" si="1"/>
        <v>208.64999999999998</v>
      </c>
      <c r="F5" t="s">
        <v>15</v>
      </c>
      <c r="G5" t="s">
        <v>15</v>
      </c>
    </row>
    <row r="6" spans="1:7" x14ac:dyDescent="0.25">
      <c r="A6">
        <v>-64.27</v>
      </c>
      <c r="B6">
        <v>122.8</v>
      </c>
      <c r="D6">
        <f t="shared" si="0"/>
        <v>16371.9416</v>
      </c>
      <c r="E6">
        <f t="shared" si="1"/>
        <v>208.88</v>
      </c>
      <c r="F6" t="s">
        <v>15</v>
      </c>
      <c r="G6" t="s">
        <v>15</v>
      </c>
    </row>
    <row r="7" spans="1:7" x14ac:dyDescent="0.25">
      <c r="A7">
        <v>-53.036000000000001</v>
      </c>
      <c r="B7">
        <v>256.3</v>
      </c>
      <c r="D7">
        <f t="shared" si="0"/>
        <v>34170.428599999999</v>
      </c>
      <c r="E7">
        <f t="shared" si="1"/>
        <v>220.11399999999998</v>
      </c>
      <c r="F7" t="s">
        <v>15</v>
      </c>
      <c r="G7" t="s">
        <v>15</v>
      </c>
    </row>
    <row r="8" spans="1:7" x14ac:dyDescent="0.25">
      <c r="A8">
        <v>-51.76</v>
      </c>
      <c r="B8">
        <v>276.60000000000002</v>
      </c>
      <c r="D8">
        <f t="shared" si="0"/>
        <v>36876.8652</v>
      </c>
      <c r="E8">
        <f t="shared" si="1"/>
        <v>221.39</v>
      </c>
      <c r="F8" t="s">
        <v>15</v>
      </c>
      <c r="G8" t="s">
        <v>15</v>
      </c>
    </row>
    <row r="9" spans="1:7" x14ac:dyDescent="0.25">
      <c r="A9">
        <v>-51.603000000000002</v>
      </c>
      <c r="B9">
        <v>278.89999999999998</v>
      </c>
      <c r="D9">
        <f t="shared" si="0"/>
        <v>37183.505799999999</v>
      </c>
      <c r="E9">
        <f t="shared" si="1"/>
        <v>221.54699999999997</v>
      </c>
      <c r="F9" t="s">
        <v>15</v>
      </c>
      <c r="G9" t="s">
        <v>15</v>
      </c>
    </row>
    <row r="10" spans="1:7" x14ac:dyDescent="0.25">
      <c r="A10">
        <v>-50.716999999999999</v>
      </c>
      <c r="B10">
        <v>294.5</v>
      </c>
      <c r="D10">
        <f t="shared" si="0"/>
        <v>39263.328999999998</v>
      </c>
      <c r="E10">
        <f t="shared" si="1"/>
        <v>222.43299999999999</v>
      </c>
      <c r="F10" t="s">
        <v>15</v>
      </c>
      <c r="G10" t="s">
        <v>15</v>
      </c>
    </row>
    <row r="11" spans="1:7" x14ac:dyDescent="0.25">
      <c r="A11">
        <f>-50.717</f>
        <v>-50.716999999999999</v>
      </c>
      <c r="B11">
        <v>294.39999999999998</v>
      </c>
      <c r="D11">
        <f t="shared" si="0"/>
        <v>39249.996800000001</v>
      </c>
      <c r="E11">
        <f t="shared" si="1"/>
        <v>222.43299999999999</v>
      </c>
      <c r="F11" t="s">
        <v>15</v>
      </c>
      <c r="G11" t="s">
        <v>15</v>
      </c>
    </row>
    <row r="12" spans="1:7" x14ac:dyDescent="0.25">
      <c r="A12">
        <v>-48.494999999999997</v>
      </c>
      <c r="B12">
        <v>335.2</v>
      </c>
      <c r="D12">
        <f t="shared" si="0"/>
        <v>44689.534399999997</v>
      </c>
      <c r="E12">
        <f t="shared" si="1"/>
        <v>224.65499999999997</v>
      </c>
      <c r="F12" t="s">
        <v>15</v>
      </c>
      <c r="G12" t="s">
        <v>15</v>
      </c>
    </row>
    <row r="13" spans="1:7" x14ac:dyDescent="0.25">
      <c r="A13">
        <v>-48.171999999999997</v>
      </c>
      <c r="B13">
        <v>341.9</v>
      </c>
      <c r="D13">
        <f t="shared" si="0"/>
        <v>45582.791799999999</v>
      </c>
      <c r="E13">
        <f t="shared" si="1"/>
        <v>224.97799999999998</v>
      </c>
      <c r="F13" t="s">
        <v>15</v>
      </c>
      <c r="G13" t="s">
        <v>15</v>
      </c>
    </row>
    <row r="14" spans="1:7" x14ac:dyDescent="0.25">
      <c r="A14">
        <v>-47.780999999999999</v>
      </c>
      <c r="B14">
        <v>349.5</v>
      </c>
      <c r="D14">
        <f t="shared" si="0"/>
        <v>46596.039000000004</v>
      </c>
      <c r="E14">
        <f t="shared" si="1"/>
        <v>225.36899999999997</v>
      </c>
      <c r="F14" t="s">
        <v>15</v>
      </c>
      <c r="G14" t="s">
        <v>15</v>
      </c>
    </row>
    <row r="15" spans="1:7" x14ac:dyDescent="0.25">
      <c r="A15">
        <v>-47.62</v>
      </c>
      <c r="B15">
        <v>352.3</v>
      </c>
      <c r="D15">
        <f t="shared" si="0"/>
        <v>46969.340600000003</v>
      </c>
      <c r="E15">
        <f t="shared" si="1"/>
        <v>225.52999999999997</v>
      </c>
      <c r="F15" t="s">
        <v>15</v>
      </c>
      <c r="G15" t="s">
        <v>15</v>
      </c>
    </row>
    <row r="16" spans="1:7" x14ac:dyDescent="0.25">
      <c r="A16">
        <v>-45.945999999999998</v>
      </c>
      <c r="B16">
        <v>388.3</v>
      </c>
      <c r="D16">
        <f t="shared" si="0"/>
        <v>51768.9326</v>
      </c>
      <c r="E16">
        <f t="shared" si="1"/>
        <v>227.20399999999998</v>
      </c>
      <c r="F16" t="s">
        <v>15</v>
      </c>
      <c r="G16" t="s">
        <v>15</v>
      </c>
    </row>
    <row r="17" spans="1:7" x14ac:dyDescent="0.25">
      <c r="A17">
        <v>-44.597000000000001</v>
      </c>
      <c r="B17">
        <v>419</v>
      </c>
      <c r="D17">
        <f t="shared" si="0"/>
        <v>55861.917999999998</v>
      </c>
      <c r="E17">
        <f t="shared" si="1"/>
        <v>228.55299999999997</v>
      </c>
      <c r="F17" t="s">
        <v>15</v>
      </c>
      <c r="G17" t="s">
        <v>15</v>
      </c>
    </row>
    <row r="18" spans="1:7" x14ac:dyDescent="0.25">
      <c r="A18">
        <v>-44.27</v>
      </c>
      <c r="B18">
        <v>426.2</v>
      </c>
      <c r="D18">
        <f t="shared" si="0"/>
        <v>56821.8364</v>
      </c>
      <c r="E18">
        <f t="shared" si="1"/>
        <v>228.87999999999997</v>
      </c>
      <c r="F18" t="s">
        <v>15</v>
      </c>
      <c r="G18" t="s">
        <v>15</v>
      </c>
    </row>
    <row r="19" spans="1:7" x14ac:dyDescent="0.25">
      <c r="A19">
        <v>-44.168999999999997</v>
      </c>
      <c r="B19">
        <v>428.6</v>
      </c>
      <c r="D19">
        <f t="shared" si="0"/>
        <v>57141.809200000003</v>
      </c>
      <c r="E19">
        <f t="shared" si="1"/>
        <v>228.98099999999999</v>
      </c>
      <c r="F19" t="s">
        <v>15</v>
      </c>
      <c r="G19" t="s">
        <v>15</v>
      </c>
    </row>
    <row r="20" spans="1:7" x14ac:dyDescent="0.25">
      <c r="A20">
        <v>-44.058999999999997</v>
      </c>
      <c r="B20">
        <v>431.9</v>
      </c>
      <c r="D20">
        <f t="shared" si="0"/>
        <v>57581.771799999995</v>
      </c>
      <c r="E20">
        <f t="shared" si="1"/>
        <v>229.09099999999998</v>
      </c>
      <c r="F20" t="s">
        <v>15</v>
      </c>
      <c r="G20" t="s">
        <v>15</v>
      </c>
    </row>
    <row r="21" spans="1:7" x14ac:dyDescent="0.25">
      <c r="A21">
        <v>-44.033999999999999</v>
      </c>
      <c r="B21">
        <v>432.4</v>
      </c>
      <c r="D21">
        <f t="shared" si="0"/>
        <v>57648.432799999995</v>
      </c>
      <c r="E21">
        <f t="shared" si="1"/>
        <v>229.11599999999999</v>
      </c>
      <c r="F21" t="s">
        <v>15</v>
      </c>
      <c r="G21" t="s">
        <v>15</v>
      </c>
    </row>
    <row r="22" spans="1:7" x14ac:dyDescent="0.25">
      <c r="A22">
        <v>-43.936999999999998</v>
      </c>
      <c r="B22">
        <v>434.3</v>
      </c>
      <c r="D22">
        <f t="shared" si="0"/>
        <v>57901.744600000005</v>
      </c>
      <c r="E22">
        <f t="shared" si="1"/>
        <v>229.21299999999997</v>
      </c>
      <c r="F22" t="s">
        <v>15</v>
      </c>
      <c r="G22" t="s">
        <v>15</v>
      </c>
    </row>
    <row r="23" spans="1:7" x14ac:dyDescent="0.25">
      <c r="A23">
        <v>-43.423000000000002</v>
      </c>
      <c r="B23">
        <v>446.9</v>
      </c>
      <c r="D23">
        <f t="shared" si="0"/>
        <v>59581.601799999997</v>
      </c>
      <c r="E23">
        <f t="shared" si="1"/>
        <v>229.72699999999998</v>
      </c>
      <c r="F23" t="s">
        <v>15</v>
      </c>
      <c r="G23" t="s">
        <v>15</v>
      </c>
    </row>
    <row r="24" spans="1:7" x14ac:dyDescent="0.25">
      <c r="A24">
        <v>-42.475999999999999</v>
      </c>
      <c r="B24">
        <v>471.2</v>
      </c>
      <c r="D24">
        <f t="shared" si="0"/>
        <v>62821.326399999998</v>
      </c>
      <c r="E24">
        <f t="shared" si="1"/>
        <v>230.67399999999998</v>
      </c>
      <c r="F24" t="s">
        <v>15</v>
      </c>
      <c r="G24" t="s">
        <v>15</v>
      </c>
    </row>
    <row r="25" spans="1:7" x14ac:dyDescent="0.25">
      <c r="A25">
        <v>-40.274000000000001</v>
      </c>
      <c r="B25">
        <v>530.6</v>
      </c>
      <c r="D25">
        <f t="shared" si="0"/>
        <v>70740.653200000001</v>
      </c>
      <c r="E25">
        <f t="shared" si="1"/>
        <v>232.87599999999998</v>
      </c>
      <c r="F25" t="s">
        <v>15</v>
      </c>
      <c r="G25" t="s">
        <v>15</v>
      </c>
    </row>
    <row r="26" spans="1:7" x14ac:dyDescent="0.25">
      <c r="A26">
        <v>-40.24</v>
      </c>
      <c r="B26">
        <v>531.79999999999995</v>
      </c>
      <c r="D26">
        <f t="shared" si="0"/>
        <v>70900.639599999995</v>
      </c>
      <c r="E26">
        <f t="shared" si="1"/>
        <v>232.90999999999997</v>
      </c>
      <c r="F26" t="s">
        <v>15</v>
      </c>
      <c r="G26" t="s">
        <v>15</v>
      </c>
    </row>
    <row r="27" spans="1:7" x14ac:dyDescent="0.25">
      <c r="A27">
        <v>-38.875</v>
      </c>
      <c r="B27">
        <v>572</v>
      </c>
      <c r="D27">
        <f t="shared" si="0"/>
        <v>76260.184000000008</v>
      </c>
      <c r="E27">
        <f t="shared" si="1"/>
        <v>234.27499999999998</v>
      </c>
      <c r="F27" t="s">
        <v>15</v>
      </c>
      <c r="G27" t="s">
        <v>15</v>
      </c>
    </row>
    <row r="28" spans="1:7" x14ac:dyDescent="0.25">
      <c r="A28">
        <v>-38.872999999999998</v>
      </c>
      <c r="B28">
        <v>571.6</v>
      </c>
      <c r="D28">
        <f t="shared" si="0"/>
        <v>76206.855200000005</v>
      </c>
      <c r="E28">
        <f t="shared" si="1"/>
        <v>234.27699999999999</v>
      </c>
      <c r="F28" t="s">
        <v>15</v>
      </c>
      <c r="G28" t="s">
        <v>15</v>
      </c>
    </row>
    <row r="29" spans="1:7" x14ac:dyDescent="0.25">
      <c r="A29">
        <v>-38.872999999999998</v>
      </c>
      <c r="B29">
        <v>571.29999999999995</v>
      </c>
      <c r="D29">
        <f t="shared" si="0"/>
        <v>76166.858599999992</v>
      </c>
      <c r="E29">
        <f t="shared" si="1"/>
        <v>234.27699999999999</v>
      </c>
      <c r="F29" t="s">
        <v>15</v>
      </c>
      <c r="G29" t="s">
        <v>15</v>
      </c>
    </row>
    <row r="30" spans="1:7" x14ac:dyDescent="0.25">
      <c r="A30">
        <v>-38.872999999999998</v>
      </c>
      <c r="B30">
        <v>571.9</v>
      </c>
      <c r="D30">
        <f t="shared" si="0"/>
        <v>76246.851800000004</v>
      </c>
      <c r="E30">
        <f t="shared" si="1"/>
        <v>234.27699999999999</v>
      </c>
      <c r="F30" t="s">
        <v>15</v>
      </c>
      <c r="G30" t="s">
        <v>15</v>
      </c>
    </row>
    <row r="31" spans="1:7" x14ac:dyDescent="0.25">
      <c r="A31">
        <v>-38.872</v>
      </c>
      <c r="B31">
        <v>571.70000000000005</v>
      </c>
      <c r="D31">
        <f t="shared" si="0"/>
        <v>76220.18740000001</v>
      </c>
      <c r="E31">
        <f t="shared" si="1"/>
        <v>234.27799999999996</v>
      </c>
      <c r="F31" t="s">
        <v>15</v>
      </c>
      <c r="G31" t="s">
        <v>15</v>
      </c>
    </row>
    <row r="32" spans="1:7" x14ac:dyDescent="0.25">
      <c r="A32">
        <v>-38.872</v>
      </c>
      <c r="B32">
        <v>571.79999999999995</v>
      </c>
      <c r="D32">
        <f t="shared" si="0"/>
        <v>76233.5196</v>
      </c>
      <c r="E32">
        <f t="shared" si="1"/>
        <v>234.27799999999996</v>
      </c>
      <c r="F32" t="s">
        <v>15</v>
      </c>
      <c r="G32" t="s">
        <v>15</v>
      </c>
    </row>
    <row r="33" spans="1:7" x14ac:dyDescent="0.25">
      <c r="A33">
        <v>-38.872</v>
      </c>
      <c r="B33">
        <v>571.70000000000005</v>
      </c>
      <c r="D33">
        <f t="shared" si="0"/>
        <v>76220.18740000001</v>
      </c>
      <c r="E33">
        <f t="shared" si="1"/>
        <v>234.27799999999996</v>
      </c>
      <c r="F33" t="s">
        <v>15</v>
      </c>
      <c r="G33" t="s">
        <v>15</v>
      </c>
    </row>
    <row r="34" spans="1:7" x14ac:dyDescent="0.25">
      <c r="A34">
        <v>-38.872</v>
      </c>
      <c r="B34">
        <v>571.6</v>
      </c>
      <c r="D34">
        <f t="shared" ref="D34:D65" si="2">B34*133.322</f>
        <v>76206.855200000005</v>
      </c>
      <c r="E34">
        <f t="shared" si="1"/>
        <v>234.27799999999996</v>
      </c>
      <c r="F34" t="s">
        <v>15</v>
      </c>
      <c r="G34" t="s">
        <v>15</v>
      </c>
    </row>
    <row r="35" spans="1:7" x14ac:dyDescent="0.25">
      <c r="A35">
        <v>-38.872</v>
      </c>
      <c r="B35">
        <v>571.70000000000005</v>
      </c>
      <c r="D35">
        <f t="shared" si="2"/>
        <v>76220.18740000001</v>
      </c>
      <c r="E35">
        <f t="shared" si="1"/>
        <v>234.27799999999996</v>
      </c>
      <c r="F35" t="s">
        <v>15</v>
      </c>
      <c r="G35" t="s">
        <v>15</v>
      </c>
    </row>
    <row r="36" spans="1:7" x14ac:dyDescent="0.25">
      <c r="A36">
        <v>-38.869999999999997</v>
      </c>
      <c r="B36">
        <v>571.9</v>
      </c>
      <c r="D36">
        <f t="shared" si="2"/>
        <v>76246.851800000004</v>
      </c>
      <c r="E36">
        <f t="shared" si="1"/>
        <v>234.27999999999997</v>
      </c>
      <c r="F36" t="s">
        <v>15</v>
      </c>
      <c r="G36" t="s">
        <v>15</v>
      </c>
    </row>
    <row r="37" spans="1:7" x14ac:dyDescent="0.25">
      <c r="A37">
        <v>-25.018999999999998</v>
      </c>
      <c r="B37">
        <v>1136.5999999999999</v>
      </c>
      <c r="D37">
        <f t="shared" si="2"/>
        <v>151533.78519999998</v>
      </c>
      <c r="E37">
        <f t="shared" si="1"/>
        <v>248.13099999999997</v>
      </c>
      <c r="F37" t="s">
        <v>15</v>
      </c>
      <c r="G37" t="s">
        <v>15</v>
      </c>
    </row>
    <row r="38" spans="1:7" x14ac:dyDescent="0.25">
      <c r="A38">
        <v>-25.018000000000001</v>
      </c>
      <c r="B38">
        <v>1136.3</v>
      </c>
      <c r="D38">
        <f t="shared" si="2"/>
        <v>151493.7886</v>
      </c>
      <c r="E38">
        <f t="shared" si="1"/>
        <v>248.13199999999998</v>
      </c>
      <c r="F38" t="s">
        <v>15</v>
      </c>
      <c r="G38" t="s">
        <v>15</v>
      </c>
    </row>
    <row r="39" spans="1:7" x14ac:dyDescent="0.25">
      <c r="A39">
        <v>-25.004999999999999</v>
      </c>
      <c r="B39">
        <v>1137</v>
      </c>
      <c r="D39">
        <f t="shared" si="2"/>
        <v>151587.114</v>
      </c>
      <c r="E39">
        <f t="shared" si="1"/>
        <v>248.14499999999998</v>
      </c>
      <c r="F39" t="s">
        <v>15</v>
      </c>
      <c r="G39" t="s">
        <v>15</v>
      </c>
    </row>
    <row r="40" spans="1:7" x14ac:dyDescent="0.25">
      <c r="A40">
        <v>-22.812000000000001</v>
      </c>
      <c r="B40">
        <v>1257.3</v>
      </c>
      <c r="D40">
        <f t="shared" si="2"/>
        <v>167625.7506</v>
      </c>
      <c r="E40">
        <f t="shared" si="1"/>
        <v>250.33799999999997</v>
      </c>
      <c r="F40" t="s">
        <v>15</v>
      </c>
      <c r="G40" t="s">
        <v>15</v>
      </c>
    </row>
    <row r="41" spans="1:7" x14ac:dyDescent="0.25">
      <c r="A41">
        <v>-22.782</v>
      </c>
      <c r="B41">
        <v>1259.2</v>
      </c>
      <c r="D41">
        <f t="shared" si="2"/>
        <v>167879.0624</v>
      </c>
      <c r="E41">
        <f t="shared" si="1"/>
        <v>250.36799999999997</v>
      </c>
      <c r="F41" t="s">
        <v>15</v>
      </c>
      <c r="G41" t="s">
        <v>15</v>
      </c>
    </row>
    <row r="42" spans="1:7" x14ac:dyDescent="0.25">
      <c r="A42">
        <v>-20.012</v>
      </c>
      <c r="B42">
        <v>1426.3</v>
      </c>
      <c r="D42">
        <f t="shared" si="2"/>
        <v>190157.1686</v>
      </c>
      <c r="E42">
        <f t="shared" si="1"/>
        <v>253.13799999999998</v>
      </c>
      <c r="F42" t="s">
        <v>15</v>
      </c>
      <c r="G42" t="s">
        <v>15</v>
      </c>
    </row>
    <row r="43" spans="1:7" x14ac:dyDescent="0.25">
      <c r="A43">
        <v>-20.007999999999999</v>
      </c>
      <c r="B43">
        <v>1426.9</v>
      </c>
      <c r="D43">
        <f t="shared" si="2"/>
        <v>190237.1618</v>
      </c>
      <c r="E43">
        <f t="shared" si="1"/>
        <v>253.14199999999997</v>
      </c>
      <c r="F43" t="s">
        <v>15</v>
      </c>
      <c r="G43" t="s">
        <v>15</v>
      </c>
    </row>
    <row r="44" spans="1:7" x14ac:dyDescent="0.25">
      <c r="A44">
        <v>-20.004999999999999</v>
      </c>
      <c r="B44">
        <v>1426.6</v>
      </c>
      <c r="D44">
        <f t="shared" si="2"/>
        <v>190197.16519999999</v>
      </c>
      <c r="E44">
        <f t="shared" si="1"/>
        <v>253.14499999999998</v>
      </c>
      <c r="F44" t="s">
        <v>15</v>
      </c>
      <c r="G44" t="s">
        <v>15</v>
      </c>
    </row>
    <row r="45" spans="1:7" x14ac:dyDescent="0.25">
      <c r="A45">
        <v>-20.004000000000001</v>
      </c>
      <c r="B45">
        <v>1426.2</v>
      </c>
      <c r="D45">
        <f t="shared" si="2"/>
        <v>190143.8364</v>
      </c>
      <c r="E45">
        <f t="shared" si="1"/>
        <v>253.14599999999999</v>
      </c>
      <c r="F45" t="s">
        <v>15</v>
      </c>
      <c r="G45" t="s">
        <v>15</v>
      </c>
    </row>
    <row r="46" spans="1:7" x14ac:dyDescent="0.25">
      <c r="A46">
        <v>-20.001999999999999</v>
      </c>
      <c r="B46">
        <v>1427.3</v>
      </c>
      <c r="D46">
        <f t="shared" si="2"/>
        <v>190290.49059999999</v>
      </c>
      <c r="E46">
        <f t="shared" si="1"/>
        <v>253.14799999999997</v>
      </c>
      <c r="F46" t="s">
        <v>15</v>
      </c>
      <c r="G46" t="s">
        <v>15</v>
      </c>
    </row>
    <row r="47" spans="1:7" x14ac:dyDescent="0.25">
      <c r="A47">
        <v>-15.045999999999999</v>
      </c>
      <c r="B47">
        <v>1769.8</v>
      </c>
      <c r="D47">
        <f t="shared" si="2"/>
        <v>235953.27559999999</v>
      </c>
      <c r="E47">
        <f t="shared" si="1"/>
        <v>258.10399999999998</v>
      </c>
      <c r="F47" t="s">
        <v>15</v>
      </c>
      <c r="G47" t="s">
        <v>15</v>
      </c>
    </row>
    <row r="48" spans="1:7" x14ac:dyDescent="0.25">
      <c r="A48">
        <v>-15.025</v>
      </c>
      <c r="B48">
        <v>1770.9</v>
      </c>
      <c r="D48">
        <f t="shared" si="2"/>
        <v>236099.92980000001</v>
      </c>
      <c r="E48">
        <f t="shared" si="1"/>
        <v>258.125</v>
      </c>
      <c r="F48" t="s">
        <v>15</v>
      </c>
      <c r="G48" t="s">
        <v>15</v>
      </c>
    </row>
    <row r="49" spans="1:7" x14ac:dyDescent="0.25">
      <c r="A49">
        <v>-15.02</v>
      </c>
      <c r="B49">
        <v>1770.9</v>
      </c>
      <c r="D49">
        <f t="shared" si="2"/>
        <v>236099.92980000001</v>
      </c>
      <c r="E49">
        <f t="shared" si="1"/>
        <v>258.13</v>
      </c>
      <c r="F49" t="s">
        <v>15</v>
      </c>
      <c r="G49" t="s">
        <v>15</v>
      </c>
    </row>
    <row r="50" spans="1:7" x14ac:dyDescent="0.25">
      <c r="A50">
        <v>-15.003</v>
      </c>
      <c r="B50">
        <v>1772.5</v>
      </c>
      <c r="D50">
        <f t="shared" si="2"/>
        <v>236313.245</v>
      </c>
      <c r="E50">
        <f t="shared" si="1"/>
        <v>258.14699999999999</v>
      </c>
      <c r="F50" t="s">
        <v>15</v>
      </c>
      <c r="G50" t="s">
        <v>15</v>
      </c>
    </row>
    <row r="51" spans="1:7" x14ac:dyDescent="0.25">
      <c r="A51">
        <v>-15.002000000000001</v>
      </c>
      <c r="B51">
        <v>1772.6</v>
      </c>
      <c r="D51">
        <f t="shared" si="2"/>
        <v>236326.5772</v>
      </c>
      <c r="E51">
        <f t="shared" si="1"/>
        <v>258.14799999999997</v>
      </c>
      <c r="F51" t="s">
        <v>15</v>
      </c>
      <c r="G51" t="s">
        <v>15</v>
      </c>
    </row>
    <row r="52" spans="1:7" x14ac:dyDescent="0.25">
      <c r="A52">
        <v>-10.023999999999999</v>
      </c>
      <c r="B52">
        <v>2179.9</v>
      </c>
      <c r="D52">
        <f t="shared" si="2"/>
        <v>290628.62780000002</v>
      </c>
      <c r="E52">
        <f t="shared" si="1"/>
        <v>263.12599999999998</v>
      </c>
      <c r="F52" t="s">
        <v>15</v>
      </c>
      <c r="G52" t="s">
        <v>15</v>
      </c>
    </row>
    <row r="53" spans="1:7" x14ac:dyDescent="0.25">
      <c r="A53">
        <v>-10.02</v>
      </c>
      <c r="B53">
        <v>2179.8000000000002</v>
      </c>
      <c r="D53">
        <f t="shared" si="2"/>
        <v>290615.29560000001</v>
      </c>
      <c r="E53">
        <f t="shared" si="1"/>
        <v>263.13</v>
      </c>
      <c r="F53" t="s">
        <v>15</v>
      </c>
      <c r="G53" t="s">
        <v>15</v>
      </c>
    </row>
    <row r="54" spans="1:7" x14ac:dyDescent="0.25">
      <c r="A54">
        <v>-10.01</v>
      </c>
      <c r="B54">
        <v>2181.4</v>
      </c>
      <c r="D54">
        <f t="shared" si="2"/>
        <v>290828.61080000002</v>
      </c>
      <c r="E54">
        <f t="shared" si="1"/>
        <v>263.14</v>
      </c>
      <c r="F54" t="s">
        <v>15</v>
      </c>
      <c r="G54" t="s">
        <v>15</v>
      </c>
    </row>
    <row r="55" spans="1:7" x14ac:dyDescent="0.25">
      <c r="A55">
        <v>-10.009</v>
      </c>
      <c r="B55">
        <v>2180.6999999999998</v>
      </c>
      <c r="D55">
        <f t="shared" si="2"/>
        <v>290735.28539999999</v>
      </c>
      <c r="E55">
        <f t="shared" si="1"/>
        <v>263.14099999999996</v>
      </c>
      <c r="F55" t="s">
        <v>15</v>
      </c>
      <c r="G55" t="s">
        <v>15</v>
      </c>
    </row>
    <row r="56" spans="1:7" x14ac:dyDescent="0.25">
      <c r="A56">
        <v>-9.9990000000000006</v>
      </c>
      <c r="B56">
        <v>2180.5</v>
      </c>
      <c r="D56">
        <f t="shared" si="2"/>
        <v>290708.62099999998</v>
      </c>
      <c r="E56">
        <f t="shared" si="1"/>
        <v>263.15099999999995</v>
      </c>
      <c r="F56" t="s">
        <v>15</v>
      </c>
      <c r="G56" t="s">
        <v>15</v>
      </c>
    </row>
    <row r="57" spans="1:7" x14ac:dyDescent="0.25">
      <c r="A57">
        <v>-5.0609999999999999</v>
      </c>
      <c r="B57">
        <v>2654.1</v>
      </c>
      <c r="D57">
        <f t="shared" si="2"/>
        <v>353849.92019999999</v>
      </c>
      <c r="E57">
        <f t="shared" si="1"/>
        <v>268.089</v>
      </c>
      <c r="F57" t="s">
        <v>15</v>
      </c>
      <c r="G57" t="s">
        <v>15</v>
      </c>
    </row>
    <row r="58" spans="1:7" x14ac:dyDescent="0.25">
      <c r="A58">
        <v>-5.0209999999999999</v>
      </c>
      <c r="B58">
        <v>2659.8</v>
      </c>
      <c r="D58">
        <f t="shared" si="2"/>
        <v>354609.85560000001</v>
      </c>
      <c r="E58">
        <f t="shared" si="1"/>
        <v>268.12899999999996</v>
      </c>
      <c r="F58" t="s">
        <v>15</v>
      </c>
      <c r="G58" t="s">
        <v>15</v>
      </c>
    </row>
    <row r="59" spans="1:7" x14ac:dyDescent="0.25">
      <c r="A59">
        <v>-5.016</v>
      </c>
      <c r="B59">
        <v>2659.7</v>
      </c>
      <c r="D59">
        <f t="shared" si="2"/>
        <v>354596.52340000001</v>
      </c>
      <c r="E59">
        <f t="shared" si="1"/>
        <v>268.13399999999996</v>
      </c>
      <c r="F59" t="s">
        <v>15</v>
      </c>
      <c r="G59" t="s">
        <v>15</v>
      </c>
    </row>
    <row r="60" spans="1:7" x14ac:dyDescent="0.25">
      <c r="A60">
        <v>-5.0140000000000002</v>
      </c>
      <c r="B60">
        <v>2660.2</v>
      </c>
      <c r="D60">
        <f t="shared" si="2"/>
        <v>354663.18439999997</v>
      </c>
      <c r="E60">
        <f t="shared" si="1"/>
        <v>268.13599999999997</v>
      </c>
      <c r="F60" t="s">
        <v>15</v>
      </c>
      <c r="G60" t="s">
        <v>15</v>
      </c>
    </row>
    <row r="61" spans="1:7" x14ac:dyDescent="0.25">
      <c r="A61">
        <v>-5.01</v>
      </c>
      <c r="B61">
        <v>2660.3</v>
      </c>
      <c r="D61">
        <f t="shared" si="2"/>
        <v>354676.51660000003</v>
      </c>
      <c r="E61">
        <f t="shared" si="1"/>
        <v>268.14</v>
      </c>
      <c r="F61" t="s">
        <v>15</v>
      </c>
      <c r="G61" t="s">
        <v>15</v>
      </c>
    </row>
    <row r="62" spans="1:7" x14ac:dyDescent="0.25">
      <c r="A62">
        <v>-5.0049999999999999</v>
      </c>
      <c r="B62">
        <v>2661.7</v>
      </c>
      <c r="D62">
        <f t="shared" si="2"/>
        <v>354863.16739999998</v>
      </c>
      <c r="E62">
        <f t="shared" si="1"/>
        <v>268.14499999999998</v>
      </c>
      <c r="F62" t="s">
        <v>15</v>
      </c>
      <c r="G62" t="s">
        <v>15</v>
      </c>
    </row>
    <row r="63" spans="1:7" x14ac:dyDescent="0.25">
      <c r="A63">
        <v>-3.0000000000000001E-3</v>
      </c>
      <c r="B63">
        <v>3220.7</v>
      </c>
      <c r="D63">
        <f t="shared" si="2"/>
        <v>429390.1654</v>
      </c>
      <c r="E63">
        <f t="shared" si="1"/>
        <v>273.14699999999999</v>
      </c>
      <c r="F63" t="s">
        <v>15</v>
      </c>
      <c r="G63" t="s">
        <v>15</v>
      </c>
    </row>
    <row r="64" spans="1:7" x14ac:dyDescent="0.25">
      <c r="A64">
        <v>0</v>
      </c>
      <c r="B64">
        <v>3220.5</v>
      </c>
      <c r="D64">
        <f t="shared" si="2"/>
        <v>429363.50099999999</v>
      </c>
      <c r="E64">
        <f t="shared" si="1"/>
        <v>273.14999999999998</v>
      </c>
      <c r="F64" t="s">
        <v>15</v>
      </c>
      <c r="G64" t="s">
        <v>15</v>
      </c>
    </row>
    <row r="65" spans="1:7" x14ac:dyDescent="0.25">
      <c r="A65">
        <v>0</v>
      </c>
      <c r="B65">
        <v>3220.8</v>
      </c>
      <c r="D65">
        <f t="shared" si="2"/>
        <v>429403.49760000006</v>
      </c>
      <c r="E65">
        <f t="shared" si="1"/>
        <v>273.14999999999998</v>
      </c>
      <c r="F65" t="s">
        <v>15</v>
      </c>
      <c r="G65" t="s">
        <v>15</v>
      </c>
    </row>
    <row r="66" spans="1:7" x14ac:dyDescent="0.25">
      <c r="A66">
        <v>0</v>
      </c>
      <c r="B66">
        <v>3220.7</v>
      </c>
      <c r="D66">
        <f t="shared" ref="D66:D97" si="3">B66*133.322</f>
        <v>429390.1654</v>
      </c>
      <c r="E66">
        <f t="shared" si="1"/>
        <v>273.14999999999998</v>
      </c>
      <c r="F66" t="s">
        <v>15</v>
      </c>
      <c r="G66" t="s">
        <v>15</v>
      </c>
    </row>
    <row r="67" spans="1:7" x14ac:dyDescent="0.25">
      <c r="A67">
        <v>0</v>
      </c>
      <c r="B67">
        <v>3220.4</v>
      </c>
      <c r="D67">
        <f t="shared" si="3"/>
        <v>429350.16880000004</v>
      </c>
      <c r="E67">
        <f t="shared" ref="E67:E130" si="4">A67+273.15</f>
        <v>273.14999999999998</v>
      </c>
      <c r="F67" t="s">
        <v>15</v>
      </c>
      <c r="G67" t="s">
        <v>15</v>
      </c>
    </row>
    <row r="68" spans="1:7" x14ac:dyDescent="0.25">
      <c r="A68">
        <v>0</v>
      </c>
      <c r="B68">
        <v>3221.2</v>
      </c>
      <c r="D68">
        <f t="shared" si="3"/>
        <v>429456.82639999996</v>
      </c>
      <c r="E68">
        <f t="shared" si="4"/>
        <v>273.14999999999998</v>
      </c>
      <c r="F68" t="s">
        <v>15</v>
      </c>
      <c r="G68" t="s">
        <v>15</v>
      </c>
    </row>
    <row r="69" spans="1:7" x14ac:dyDescent="0.25">
      <c r="A69">
        <v>0</v>
      </c>
      <c r="B69">
        <v>3220.8</v>
      </c>
      <c r="D69">
        <f t="shared" si="3"/>
        <v>429403.49760000006</v>
      </c>
      <c r="E69">
        <f t="shared" si="4"/>
        <v>273.14999999999998</v>
      </c>
      <c r="F69" t="s">
        <v>15</v>
      </c>
      <c r="G69" t="s">
        <v>15</v>
      </c>
    </row>
    <row r="70" spans="1:7" x14ac:dyDescent="0.25">
      <c r="A70">
        <v>0</v>
      </c>
      <c r="B70">
        <v>3221.2</v>
      </c>
      <c r="D70">
        <f t="shared" si="3"/>
        <v>429456.82639999996</v>
      </c>
      <c r="E70">
        <f t="shared" si="4"/>
        <v>273.14999999999998</v>
      </c>
      <c r="F70" t="s">
        <v>15</v>
      </c>
      <c r="G70" t="s">
        <v>15</v>
      </c>
    </row>
    <row r="71" spans="1:7" x14ac:dyDescent="0.25">
      <c r="A71">
        <v>5.0220000000000002</v>
      </c>
      <c r="B71">
        <v>3871.5</v>
      </c>
      <c r="D71">
        <f t="shared" si="3"/>
        <v>516156.12300000002</v>
      </c>
      <c r="E71">
        <f t="shared" si="4"/>
        <v>278.17199999999997</v>
      </c>
      <c r="F71" t="s">
        <v>15</v>
      </c>
      <c r="G71" t="s">
        <v>15</v>
      </c>
    </row>
    <row r="72" spans="1:7" x14ac:dyDescent="0.25">
      <c r="A72">
        <v>-38.866999999999997</v>
      </c>
      <c r="B72">
        <v>572</v>
      </c>
      <c r="D72">
        <f t="shared" si="3"/>
        <v>76260.184000000008</v>
      </c>
      <c r="E72">
        <f t="shared" si="4"/>
        <v>234.28299999999999</v>
      </c>
      <c r="F72" t="s">
        <v>15</v>
      </c>
      <c r="G72" t="s">
        <v>15</v>
      </c>
    </row>
    <row r="73" spans="1:7" x14ac:dyDescent="0.25">
      <c r="A73">
        <v>-38.866</v>
      </c>
      <c r="B73">
        <v>571.70000000000005</v>
      </c>
      <c r="D73">
        <f t="shared" si="3"/>
        <v>76220.18740000001</v>
      </c>
      <c r="E73">
        <f t="shared" si="4"/>
        <v>234.28399999999999</v>
      </c>
      <c r="F73" t="s">
        <v>15</v>
      </c>
      <c r="G73" t="s">
        <v>15</v>
      </c>
    </row>
    <row r="74" spans="1:7" x14ac:dyDescent="0.25">
      <c r="A74">
        <v>-38.865000000000002</v>
      </c>
      <c r="B74">
        <v>572</v>
      </c>
      <c r="D74">
        <f t="shared" si="3"/>
        <v>76260.184000000008</v>
      </c>
      <c r="E74">
        <f t="shared" si="4"/>
        <v>234.28499999999997</v>
      </c>
      <c r="F74" t="s">
        <v>15</v>
      </c>
      <c r="G74" t="s">
        <v>15</v>
      </c>
    </row>
    <row r="75" spans="1:7" x14ac:dyDescent="0.25">
      <c r="A75">
        <v>-38.860999999999997</v>
      </c>
      <c r="B75">
        <v>571.79999999999995</v>
      </c>
      <c r="D75">
        <f t="shared" si="3"/>
        <v>76233.5196</v>
      </c>
      <c r="E75">
        <f t="shared" si="4"/>
        <v>234.28899999999999</v>
      </c>
      <c r="F75" t="s">
        <v>15</v>
      </c>
      <c r="G75" t="s">
        <v>15</v>
      </c>
    </row>
    <row r="76" spans="1:7" x14ac:dyDescent="0.25">
      <c r="A76">
        <v>-37.643000000000001</v>
      </c>
      <c r="B76">
        <v>610.20000000000005</v>
      </c>
      <c r="D76">
        <f t="shared" si="3"/>
        <v>81353.084400000007</v>
      </c>
      <c r="E76">
        <f t="shared" si="4"/>
        <v>235.50699999999998</v>
      </c>
      <c r="F76" t="s">
        <v>15</v>
      </c>
      <c r="G76" t="s">
        <v>15</v>
      </c>
    </row>
    <row r="77" spans="1:7" x14ac:dyDescent="0.25">
      <c r="A77">
        <v>-36.780999999999999</v>
      </c>
      <c r="B77">
        <v>637.9</v>
      </c>
      <c r="D77">
        <f t="shared" si="3"/>
        <v>85046.103799999997</v>
      </c>
      <c r="E77">
        <f t="shared" si="4"/>
        <v>236.36899999999997</v>
      </c>
      <c r="F77" t="s">
        <v>15</v>
      </c>
      <c r="G77" t="s">
        <v>15</v>
      </c>
    </row>
    <row r="78" spans="1:7" x14ac:dyDescent="0.25">
      <c r="A78">
        <v>-36.667000000000002</v>
      </c>
      <c r="B78">
        <v>641.20000000000005</v>
      </c>
      <c r="D78">
        <f t="shared" si="3"/>
        <v>85486.066400000011</v>
      </c>
      <c r="E78">
        <f t="shared" si="4"/>
        <v>236.48299999999998</v>
      </c>
      <c r="F78" t="s">
        <v>15</v>
      </c>
      <c r="G78" t="s">
        <v>15</v>
      </c>
    </row>
    <row r="79" spans="1:7" x14ac:dyDescent="0.25">
      <c r="A79">
        <v>-36.645000000000003</v>
      </c>
      <c r="B79">
        <v>642.5</v>
      </c>
      <c r="D79">
        <f t="shared" si="3"/>
        <v>85659.384999999995</v>
      </c>
      <c r="E79">
        <f t="shared" si="4"/>
        <v>236.50499999999997</v>
      </c>
      <c r="F79" t="s">
        <v>15</v>
      </c>
      <c r="G79" t="s">
        <v>15</v>
      </c>
    </row>
    <row r="80" spans="1:7" x14ac:dyDescent="0.25">
      <c r="A80">
        <v>-36.616</v>
      </c>
      <c r="B80">
        <v>643.6</v>
      </c>
      <c r="D80">
        <f t="shared" si="3"/>
        <v>85806.039199999999</v>
      </c>
      <c r="E80">
        <f t="shared" si="4"/>
        <v>236.53399999999999</v>
      </c>
      <c r="F80" t="s">
        <v>15</v>
      </c>
      <c r="G80" t="s">
        <v>15</v>
      </c>
    </row>
    <row r="81" spans="1:7" x14ac:dyDescent="0.25">
      <c r="A81">
        <v>-36.604999999999997</v>
      </c>
      <c r="B81">
        <v>643.5</v>
      </c>
      <c r="D81">
        <f t="shared" si="3"/>
        <v>85792.706999999995</v>
      </c>
      <c r="E81">
        <f t="shared" si="4"/>
        <v>236.54499999999999</v>
      </c>
      <c r="F81" t="s">
        <v>15</v>
      </c>
      <c r="G81" t="s">
        <v>15</v>
      </c>
    </row>
    <row r="82" spans="1:7" x14ac:dyDescent="0.25">
      <c r="A82">
        <v>-35.475999999999999</v>
      </c>
      <c r="B82">
        <v>682.5</v>
      </c>
      <c r="D82">
        <f t="shared" si="3"/>
        <v>90992.264999999999</v>
      </c>
      <c r="E82">
        <f t="shared" si="4"/>
        <v>237.67399999999998</v>
      </c>
      <c r="F82" t="s">
        <v>15</v>
      </c>
      <c r="G82" t="s">
        <v>15</v>
      </c>
    </row>
    <row r="83" spans="1:7" x14ac:dyDescent="0.25">
      <c r="A83">
        <v>-34.906999999999996</v>
      </c>
      <c r="B83">
        <v>702.8</v>
      </c>
      <c r="D83">
        <f t="shared" si="3"/>
        <v>93698.7016</v>
      </c>
      <c r="E83">
        <f t="shared" si="4"/>
        <v>238.24299999999999</v>
      </c>
      <c r="F83" t="s">
        <v>15</v>
      </c>
      <c r="G83" t="s">
        <v>15</v>
      </c>
    </row>
    <row r="84" spans="1:7" x14ac:dyDescent="0.25">
      <c r="A84">
        <v>-34.119</v>
      </c>
      <c r="B84">
        <v>731.1</v>
      </c>
      <c r="D84">
        <f t="shared" si="3"/>
        <v>97471.714200000002</v>
      </c>
      <c r="E84">
        <f t="shared" si="4"/>
        <v>239.03099999999998</v>
      </c>
      <c r="F84" t="s">
        <v>15</v>
      </c>
      <c r="G84" t="s">
        <v>15</v>
      </c>
    </row>
    <row r="85" spans="1:7" x14ac:dyDescent="0.25">
      <c r="A85">
        <v>-33.746000000000002</v>
      </c>
      <c r="B85">
        <v>745.1</v>
      </c>
      <c r="D85">
        <f t="shared" si="3"/>
        <v>99338.222200000004</v>
      </c>
      <c r="E85">
        <f t="shared" si="4"/>
        <v>239.40399999999997</v>
      </c>
      <c r="F85" t="s">
        <v>15</v>
      </c>
      <c r="G85" t="s">
        <v>15</v>
      </c>
    </row>
    <row r="86" spans="1:7" x14ac:dyDescent="0.25">
      <c r="A86">
        <v>-33.389000000000003</v>
      </c>
      <c r="B86">
        <v>758.7</v>
      </c>
      <c r="D86">
        <f t="shared" si="3"/>
        <v>101151.4014</v>
      </c>
      <c r="E86">
        <f t="shared" si="4"/>
        <v>239.76099999999997</v>
      </c>
      <c r="F86" t="s">
        <v>15</v>
      </c>
      <c r="G86" t="s">
        <v>15</v>
      </c>
    </row>
    <row r="87" spans="1:7" x14ac:dyDescent="0.25">
      <c r="A87">
        <v>-33.369</v>
      </c>
      <c r="B87">
        <v>760.2</v>
      </c>
      <c r="D87">
        <f t="shared" si="3"/>
        <v>101351.38440000001</v>
      </c>
      <c r="E87">
        <f t="shared" si="4"/>
        <v>239.78099999999998</v>
      </c>
      <c r="F87" t="s">
        <v>15</v>
      </c>
      <c r="G87" t="s">
        <v>15</v>
      </c>
    </row>
    <row r="88" spans="1:7" x14ac:dyDescent="0.25">
      <c r="A88">
        <v>-33.368000000000002</v>
      </c>
      <c r="B88">
        <v>759.3</v>
      </c>
      <c r="D88">
        <f t="shared" si="3"/>
        <v>101231.3946</v>
      </c>
      <c r="E88">
        <f t="shared" si="4"/>
        <v>239.78199999999998</v>
      </c>
      <c r="F88" t="s">
        <v>15</v>
      </c>
      <c r="G88" t="s">
        <v>15</v>
      </c>
    </row>
    <row r="89" spans="1:7" x14ac:dyDescent="0.25">
      <c r="A89">
        <v>-33.363</v>
      </c>
      <c r="B89">
        <v>760.1</v>
      </c>
      <c r="D89">
        <f t="shared" si="3"/>
        <v>101338.05220000001</v>
      </c>
      <c r="E89">
        <f t="shared" si="4"/>
        <v>239.78699999999998</v>
      </c>
      <c r="F89" t="s">
        <v>15</v>
      </c>
      <c r="G89" t="s">
        <v>15</v>
      </c>
    </row>
    <row r="90" spans="1:7" x14ac:dyDescent="0.25">
      <c r="A90">
        <v>-33.362000000000002</v>
      </c>
      <c r="B90">
        <v>760</v>
      </c>
      <c r="D90">
        <f t="shared" si="3"/>
        <v>101324.72</v>
      </c>
      <c r="E90">
        <f t="shared" si="4"/>
        <v>239.78799999999998</v>
      </c>
      <c r="F90" t="s">
        <v>15</v>
      </c>
      <c r="G90" t="s">
        <v>15</v>
      </c>
    </row>
    <row r="91" spans="1:7" x14ac:dyDescent="0.25">
      <c r="A91">
        <v>-33.360999999999997</v>
      </c>
      <c r="B91">
        <v>760.1</v>
      </c>
      <c r="D91">
        <f t="shared" si="3"/>
        <v>101338.05220000001</v>
      </c>
      <c r="E91">
        <f t="shared" si="4"/>
        <v>239.78899999999999</v>
      </c>
      <c r="F91" t="s">
        <v>15</v>
      </c>
      <c r="G91" t="s">
        <v>15</v>
      </c>
    </row>
    <row r="92" spans="1:7" x14ac:dyDescent="0.25">
      <c r="A92">
        <v>-33.353999999999999</v>
      </c>
      <c r="B92">
        <v>760.1</v>
      </c>
      <c r="D92">
        <f t="shared" si="3"/>
        <v>101338.05220000001</v>
      </c>
      <c r="E92">
        <f t="shared" si="4"/>
        <v>239.79599999999999</v>
      </c>
      <c r="F92" t="s">
        <v>15</v>
      </c>
      <c r="G92" t="s">
        <v>15</v>
      </c>
    </row>
    <row r="93" spans="1:7" x14ac:dyDescent="0.25">
      <c r="A93">
        <v>-33.314</v>
      </c>
      <c r="B93">
        <v>761.6</v>
      </c>
      <c r="D93">
        <f t="shared" si="3"/>
        <v>101538.0352</v>
      </c>
      <c r="E93">
        <f t="shared" si="4"/>
        <v>239.83599999999998</v>
      </c>
      <c r="F93" t="s">
        <v>15</v>
      </c>
      <c r="G93" t="s">
        <v>15</v>
      </c>
    </row>
    <row r="94" spans="1:7" x14ac:dyDescent="0.25">
      <c r="A94">
        <v>-33.305</v>
      </c>
      <c r="B94">
        <v>761.2</v>
      </c>
      <c r="D94">
        <f t="shared" si="3"/>
        <v>101484.70640000001</v>
      </c>
      <c r="E94">
        <f t="shared" si="4"/>
        <v>239.84499999999997</v>
      </c>
      <c r="F94" t="s">
        <v>15</v>
      </c>
      <c r="G94" t="s">
        <v>15</v>
      </c>
    </row>
    <row r="95" spans="1:7" x14ac:dyDescent="0.25">
      <c r="A95">
        <v>-33.296999999999997</v>
      </c>
      <c r="B95">
        <v>761.3</v>
      </c>
      <c r="D95">
        <f t="shared" si="3"/>
        <v>101498.0386</v>
      </c>
      <c r="E95">
        <f t="shared" si="4"/>
        <v>239.85299999999998</v>
      </c>
      <c r="F95" t="s">
        <v>15</v>
      </c>
      <c r="G95" t="s">
        <v>15</v>
      </c>
    </row>
    <row r="96" spans="1:7" x14ac:dyDescent="0.25">
      <c r="A96">
        <v>-33.283000000000001</v>
      </c>
      <c r="B96">
        <v>762.2</v>
      </c>
      <c r="D96">
        <f t="shared" si="3"/>
        <v>101618.02840000001</v>
      </c>
      <c r="E96">
        <f t="shared" si="4"/>
        <v>239.86699999999996</v>
      </c>
      <c r="F96" t="s">
        <v>15</v>
      </c>
      <c r="G96" t="s">
        <v>15</v>
      </c>
    </row>
    <row r="97" spans="1:7" x14ac:dyDescent="0.25">
      <c r="A97">
        <v>-33.270000000000003</v>
      </c>
      <c r="B97">
        <v>763.4</v>
      </c>
      <c r="D97">
        <f t="shared" si="3"/>
        <v>101778.0148</v>
      </c>
      <c r="E97">
        <f t="shared" si="4"/>
        <v>239.87999999999997</v>
      </c>
      <c r="F97" t="s">
        <v>15</v>
      </c>
      <c r="G97" t="s">
        <v>15</v>
      </c>
    </row>
    <row r="98" spans="1:7" x14ac:dyDescent="0.25">
      <c r="A98">
        <v>-33.256999999999998</v>
      </c>
      <c r="B98">
        <v>763.4</v>
      </c>
      <c r="D98">
        <f t="shared" ref="D98:D129" si="5">B98*133.322</f>
        <v>101778.0148</v>
      </c>
      <c r="E98">
        <f t="shared" si="4"/>
        <v>239.89299999999997</v>
      </c>
      <c r="F98" t="s">
        <v>15</v>
      </c>
      <c r="G98" t="s">
        <v>15</v>
      </c>
    </row>
    <row r="99" spans="1:7" x14ac:dyDescent="0.25">
      <c r="A99">
        <v>-33.25</v>
      </c>
      <c r="B99">
        <v>763.7</v>
      </c>
      <c r="D99">
        <f t="shared" si="5"/>
        <v>101818.0114</v>
      </c>
      <c r="E99">
        <f t="shared" si="4"/>
        <v>239.89999999999998</v>
      </c>
      <c r="F99" t="s">
        <v>15</v>
      </c>
      <c r="G99" t="s">
        <v>15</v>
      </c>
    </row>
    <row r="100" spans="1:7" x14ac:dyDescent="0.25">
      <c r="A100">
        <f>-33.244</f>
        <v>-33.244</v>
      </c>
      <c r="B100">
        <v>763.6</v>
      </c>
      <c r="D100">
        <f t="shared" si="5"/>
        <v>101804.6792</v>
      </c>
      <c r="E100">
        <f t="shared" si="4"/>
        <v>239.90599999999998</v>
      </c>
      <c r="F100" t="s">
        <v>15</v>
      </c>
      <c r="G100" t="s">
        <v>15</v>
      </c>
    </row>
    <row r="101" spans="1:7" x14ac:dyDescent="0.25">
      <c r="A101">
        <v>-33.243000000000002</v>
      </c>
      <c r="B101">
        <v>764.3</v>
      </c>
      <c r="D101">
        <f t="shared" si="5"/>
        <v>101898.0046</v>
      </c>
      <c r="E101">
        <f t="shared" si="4"/>
        <v>239.90699999999998</v>
      </c>
      <c r="F101" t="s">
        <v>15</v>
      </c>
      <c r="G101" t="s">
        <v>15</v>
      </c>
    </row>
    <row r="102" spans="1:7" x14ac:dyDescent="0.25">
      <c r="A102">
        <v>-33.241</v>
      </c>
      <c r="B102">
        <v>764.5</v>
      </c>
      <c r="D102">
        <f t="shared" si="5"/>
        <v>101924.66900000001</v>
      </c>
      <c r="E102">
        <f t="shared" si="4"/>
        <v>239.90899999999999</v>
      </c>
      <c r="F102" t="s">
        <v>15</v>
      </c>
      <c r="G102" t="s">
        <v>15</v>
      </c>
    </row>
    <row r="103" spans="1:7" x14ac:dyDescent="0.25">
      <c r="A103">
        <v>-33.122999999999998</v>
      </c>
      <c r="B103">
        <v>768.9</v>
      </c>
      <c r="D103">
        <f t="shared" si="5"/>
        <v>102511.2858</v>
      </c>
      <c r="E103">
        <f t="shared" si="4"/>
        <v>240.02699999999999</v>
      </c>
      <c r="F103" t="s">
        <v>15</v>
      </c>
      <c r="G103" t="s">
        <v>15</v>
      </c>
    </row>
    <row r="104" spans="1:7" x14ac:dyDescent="0.25">
      <c r="A104">
        <v>-30.45</v>
      </c>
      <c r="B104">
        <v>877.4</v>
      </c>
      <c r="D104">
        <f t="shared" si="5"/>
        <v>116976.7228</v>
      </c>
      <c r="E104">
        <f t="shared" si="4"/>
        <v>242.7</v>
      </c>
      <c r="F104" t="s">
        <v>15</v>
      </c>
      <c r="G104" t="s">
        <v>15</v>
      </c>
    </row>
    <row r="105" spans="1:7" x14ac:dyDescent="0.25">
      <c r="A105">
        <v>-30.081</v>
      </c>
      <c r="B105">
        <v>893.3</v>
      </c>
      <c r="D105">
        <f t="shared" si="5"/>
        <v>119096.5426</v>
      </c>
      <c r="E105">
        <f t="shared" si="4"/>
        <v>243.06899999999999</v>
      </c>
      <c r="F105" t="s">
        <v>15</v>
      </c>
      <c r="G105" t="s">
        <v>15</v>
      </c>
    </row>
    <row r="106" spans="1:7" x14ac:dyDescent="0.25">
      <c r="A106">
        <v>-30.038</v>
      </c>
      <c r="B106">
        <v>895.8</v>
      </c>
      <c r="D106">
        <f t="shared" si="5"/>
        <v>119429.84759999999</v>
      </c>
      <c r="E106">
        <f t="shared" si="4"/>
        <v>243.11199999999997</v>
      </c>
      <c r="F106" t="s">
        <v>15</v>
      </c>
      <c r="G106" t="s">
        <v>15</v>
      </c>
    </row>
    <row r="107" spans="1:7" x14ac:dyDescent="0.25">
      <c r="A107">
        <v>-30.010999999999999</v>
      </c>
      <c r="B107">
        <v>897.1</v>
      </c>
      <c r="D107">
        <f t="shared" si="5"/>
        <v>119603.16620000001</v>
      </c>
      <c r="E107">
        <f t="shared" si="4"/>
        <v>243.13899999999998</v>
      </c>
      <c r="F107" t="s">
        <v>15</v>
      </c>
      <c r="G107" t="s">
        <v>15</v>
      </c>
    </row>
    <row r="108" spans="1:7" x14ac:dyDescent="0.25">
      <c r="A108">
        <v>-30.004000000000001</v>
      </c>
      <c r="B108">
        <v>896.9</v>
      </c>
      <c r="D108">
        <f t="shared" si="5"/>
        <v>119576.5018</v>
      </c>
      <c r="E108">
        <f t="shared" si="4"/>
        <v>243.14599999999999</v>
      </c>
      <c r="F108" t="s">
        <v>15</v>
      </c>
      <c r="G108" t="s">
        <v>15</v>
      </c>
    </row>
    <row r="109" spans="1:7" x14ac:dyDescent="0.25">
      <c r="A109">
        <v>-29.913</v>
      </c>
      <c r="B109">
        <v>900.7</v>
      </c>
      <c r="D109">
        <f t="shared" si="5"/>
        <v>120083.1254</v>
      </c>
      <c r="E109">
        <f t="shared" si="4"/>
        <v>243.23699999999997</v>
      </c>
      <c r="F109" t="s">
        <v>15</v>
      </c>
      <c r="G109" t="s">
        <v>15</v>
      </c>
    </row>
    <row r="110" spans="1:7" x14ac:dyDescent="0.25">
      <c r="A110">
        <v>-25.059000000000001</v>
      </c>
      <c r="B110">
        <v>1134.2</v>
      </c>
      <c r="D110">
        <f t="shared" si="5"/>
        <v>151213.8124</v>
      </c>
      <c r="E110">
        <f t="shared" si="4"/>
        <v>248.09099999999998</v>
      </c>
      <c r="F110" t="s">
        <v>15</v>
      </c>
      <c r="G110" t="s">
        <v>15</v>
      </c>
    </row>
    <row r="111" spans="1:7" x14ac:dyDescent="0.25">
      <c r="A111">
        <v>-25.05</v>
      </c>
      <c r="B111">
        <v>1134.7</v>
      </c>
      <c r="D111">
        <f t="shared" si="5"/>
        <v>151280.47340000002</v>
      </c>
      <c r="E111">
        <f t="shared" si="4"/>
        <v>248.09999999999997</v>
      </c>
      <c r="F111" t="s">
        <v>15</v>
      </c>
      <c r="G111" t="s">
        <v>15</v>
      </c>
    </row>
    <row r="112" spans="1:7" x14ac:dyDescent="0.25">
      <c r="A112">
        <v>-25.035</v>
      </c>
      <c r="B112">
        <v>1136</v>
      </c>
      <c r="D112">
        <f t="shared" si="5"/>
        <v>151453.79200000002</v>
      </c>
      <c r="E112">
        <f t="shared" si="4"/>
        <v>248.11499999999998</v>
      </c>
      <c r="F112" t="s">
        <v>15</v>
      </c>
      <c r="G112" t="s">
        <v>15</v>
      </c>
    </row>
    <row r="113" spans="1:7" x14ac:dyDescent="0.25">
      <c r="A113">
        <v>5.0220000000000002</v>
      </c>
      <c r="B113">
        <v>3870.3</v>
      </c>
      <c r="D113">
        <f t="shared" si="5"/>
        <v>515996.13660000003</v>
      </c>
      <c r="E113">
        <f t="shared" si="4"/>
        <v>278.17199999999997</v>
      </c>
      <c r="F113" t="s">
        <v>15</v>
      </c>
      <c r="G113" t="s">
        <v>15</v>
      </c>
    </row>
    <row r="114" spans="1:7" x14ac:dyDescent="0.25">
      <c r="A114" s="2">
        <v>4.9740000000000002</v>
      </c>
      <c r="B114">
        <v>3864.3</v>
      </c>
      <c r="D114">
        <f t="shared" si="5"/>
        <v>515196.20460000006</v>
      </c>
      <c r="E114">
        <f t="shared" si="4"/>
        <v>278.12399999999997</v>
      </c>
      <c r="F114" t="s">
        <v>15</v>
      </c>
      <c r="G114" t="s">
        <v>15</v>
      </c>
    </row>
    <row r="115" spans="1:7" x14ac:dyDescent="0.25">
      <c r="A115" s="1">
        <v>9.9939999999999998</v>
      </c>
      <c r="B115">
        <v>4610.8999999999996</v>
      </c>
      <c r="D115">
        <f t="shared" si="5"/>
        <v>614734.40979999991</v>
      </c>
      <c r="E115">
        <f t="shared" si="4"/>
        <v>283.14400000000001</v>
      </c>
      <c r="F115" t="s">
        <v>15</v>
      </c>
      <c r="G115" t="s">
        <v>15</v>
      </c>
    </row>
    <row r="116" spans="1:7" x14ac:dyDescent="0.25">
      <c r="A116">
        <v>10.021000000000001</v>
      </c>
      <c r="B116">
        <v>4615.3999999999996</v>
      </c>
      <c r="D116">
        <f t="shared" si="5"/>
        <v>615334.35879999993</v>
      </c>
      <c r="E116">
        <f t="shared" si="4"/>
        <v>283.17099999999999</v>
      </c>
      <c r="F116" t="s">
        <v>15</v>
      </c>
      <c r="G116" t="s">
        <v>15</v>
      </c>
    </row>
    <row r="117" spans="1:7" x14ac:dyDescent="0.25">
      <c r="A117">
        <v>10.035</v>
      </c>
      <c r="B117">
        <v>4618.3</v>
      </c>
      <c r="D117">
        <f t="shared" si="5"/>
        <v>615720.9926</v>
      </c>
      <c r="E117">
        <f t="shared" si="4"/>
        <v>283.185</v>
      </c>
      <c r="F117" t="s">
        <v>15</v>
      </c>
      <c r="G117" t="s">
        <v>15</v>
      </c>
    </row>
    <row r="118" spans="1:7" x14ac:dyDescent="0.25">
      <c r="A118">
        <v>15.007999999999999</v>
      </c>
      <c r="B118">
        <v>5463.3</v>
      </c>
      <c r="D118">
        <f t="shared" si="5"/>
        <v>728378.08260000008</v>
      </c>
      <c r="E118">
        <f t="shared" si="4"/>
        <v>288.15799999999996</v>
      </c>
      <c r="F118" t="s">
        <v>15</v>
      </c>
      <c r="G118" t="s">
        <v>15</v>
      </c>
    </row>
    <row r="119" spans="1:7" x14ac:dyDescent="0.25">
      <c r="A119">
        <v>15.159000000000001</v>
      </c>
      <c r="B119">
        <v>5491.3</v>
      </c>
      <c r="D119">
        <f t="shared" si="5"/>
        <v>732111.09860000003</v>
      </c>
      <c r="E119">
        <f t="shared" si="4"/>
        <v>288.30899999999997</v>
      </c>
      <c r="F119" t="s">
        <v>15</v>
      </c>
      <c r="G119" t="s">
        <v>15</v>
      </c>
    </row>
    <row r="120" spans="1:7" x14ac:dyDescent="0.25">
      <c r="A120">
        <v>20.018000000000001</v>
      </c>
      <c r="B120">
        <v>6432.5</v>
      </c>
      <c r="D120">
        <f t="shared" si="5"/>
        <v>857593.76500000001</v>
      </c>
      <c r="E120">
        <f t="shared" si="4"/>
        <v>293.16800000000001</v>
      </c>
      <c r="F120" t="s">
        <v>15</v>
      </c>
      <c r="G120" t="s">
        <v>15</v>
      </c>
    </row>
    <row r="121" spans="1:7" x14ac:dyDescent="0.25">
      <c r="A121">
        <v>20.02</v>
      </c>
      <c r="B121">
        <v>6432.2</v>
      </c>
      <c r="D121">
        <f t="shared" si="5"/>
        <v>857553.76839999994</v>
      </c>
      <c r="E121">
        <f t="shared" si="4"/>
        <v>293.16999999999996</v>
      </c>
      <c r="F121" t="s">
        <v>15</v>
      </c>
      <c r="G121" t="s">
        <v>15</v>
      </c>
    </row>
    <row r="122" spans="1:7" x14ac:dyDescent="0.25">
      <c r="A122">
        <v>25.015999999999998</v>
      </c>
      <c r="B122">
        <v>7525.1</v>
      </c>
      <c r="D122">
        <f t="shared" si="5"/>
        <v>1003261.3822000001</v>
      </c>
      <c r="E122">
        <f t="shared" si="4"/>
        <v>298.166</v>
      </c>
      <c r="F122" t="s">
        <v>15</v>
      </c>
      <c r="G122" t="s">
        <v>15</v>
      </c>
    </row>
    <row r="123" spans="1:7" x14ac:dyDescent="0.25">
      <c r="A123">
        <v>25.175999999999998</v>
      </c>
      <c r="B123">
        <v>7561.9</v>
      </c>
      <c r="D123">
        <f t="shared" si="5"/>
        <v>1008167.6318</v>
      </c>
      <c r="E123">
        <f t="shared" si="4"/>
        <v>298.32599999999996</v>
      </c>
      <c r="F123" t="s">
        <v>15</v>
      </c>
      <c r="G123" t="s">
        <v>15</v>
      </c>
    </row>
    <row r="124" spans="1:7" x14ac:dyDescent="0.25">
      <c r="A124">
        <v>15.12</v>
      </c>
      <c r="B124">
        <v>5485.5</v>
      </c>
      <c r="D124">
        <f t="shared" si="5"/>
        <v>731337.83100000001</v>
      </c>
      <c r="E124">
        <f t="shared" si="4"/>
        <v>288.27</v>
      </c>
      <c r="F124" t="s">
        <v>15</v>
      </c>
      <c r="G124" t="s">
        <v>15</v>
      </c>
    </row>
    <row r="125" spans="1:7" x14ac:dyDescent="0.25">
      <c r="A125">
        <v>19.998999999999999</v>
      </c>
      <c r="B125">
        <v>6427.4</v>
      </c>
      <c r="D125">
        <f t="shared" si="5"/>
        <v>856913.82279999997</v>
      </c>
      <c r="E125">
        <f t="shared" si="4"/>
        <v>293.149</v>
      </c>
      <c r="F125" t="s">
        <v>15</v>
      </c>
      <c r="G125" t="s">
        <v>15</v>
      </c>
    </row>
    <row r="126" spans="1:7" x14ac:dyDescent="0.25">
      <c r="A126">
        <v>24.981000000000002</v>
      </c>
      <c r="B126">
        <v>7515.1</v>
      </c>
      <c r="D126">
        <f t="shared" si="5"/>
        <v>1001928.1622</v>
      </c>
      <c r="E126">
        <f t="shared" si="4"/>
        <v>298.13099999999997</v>
      </c>
      <c r="F126" t="s">
        <v>15</v>
      </c>
      <c r="G126" t="s">
        <v>15</v>
      </c>
    </row>
    <row r="127" spans="1:7" x14ac:dyDescent="0.25">
      <c r="A127">
        <v>25.081</v>
      </c>
      <c r="B127">
        <v>7538.4</v>
      </c>
      <c r="D127">
        <f t="shared" si="5"/>
        <v>1005034.5647999999</v>
      </c>
      <c r="E127">
        <f t="shared" si="4"/>
        <v>298.23099999999999</v>
      </c>
      <c r="F127" t="s">
        <v>15</v>
      </c>
      <c r="G127" t="s">
        <v>15</v>
      </c>
    </row>
    <row r="128" spans="1:7" x14ac:dyDescent="0.25">
      <c r="A128">
        <v>29.936</v>
      </c>
      <c r="B128">
        <v>8735.9</v>
      </c>
      <c r="D128">
        <f t="shared" si="5"/>
        <v>1164687.6598</v>
      </c>
      <c r="E128">
        <f t="shared" si="4"/>
        <v>303.08599999999996</v>
      </c>
      <c r="F128" t="s">
        <v>15</v>
      </c>
      <c r="G128" t="s">
        <v>15</v>
      </c>
    </row>
    <row r="129" spans="1:7" x14ac:dyDescent="0.25">
      <c r="A129">
        <v>30.001999999999999</v>
      </c>
      <c r="B129">
        <v>8749.7999999999993</v>
      </c>
      <c r="D129">
        <f t="shared" si="5"/>
        <v>1166540.8355999999</v>
      </c>
      <c r="E129">
        <f t="shared" si="4"/>
        <v>303.15199999999999</v>
      </c>
      <c r="F129" t="s">
        <v>15</v>
      </c>
      <c r="G129" t="s">
        <v>15</v>
      </c>
    </row>
    <row r="130" spans="1:7" x14ac:dyDescent="0.25">
      <c r="A130">
        <v>35.058</v>
      </c>
      <c r="B130">
        <v>10137</v>
      </c>
      <c r="D130">
        <f t="shared" ref="D130:D151" si="6">B130*133.322</f>
        <v>1351485.1140000001</v>
      </c>
      <c r="E130">
        <f t="shared" si="4"/>
        <v>308.20799999999997</v>
      </c>
      <c r="F130" t="s">
        <v>15</v>
      </c>
      <c r="G130" t="s">
        <v>15</v>
      </c>
    </row>
    <row r="131" spans="1:7" x14ac:dyDescent="0.25">
      <c r="A131">
        <v>35.021999999999998</v>
      </c>
      <c r="B131">
        <v>10133.299999999999</v>
      </c>
      <c r="D131">
        <f t="shared" si="6"/>
        <v>1350991.8225999998</v>
      </c>
      <c r="E131">
        <f t="shared" ref="E131:E151" si="7">A131+273.15</f>
        <v>308.17199999999997</v>
      </c>
      <c r="F131" t="s">
        <v>15</v>
      </c>
      <c r="G131" t="s">
        <v>15</v>
      </c>
    </row>
    <row r="132" spans="1:7" x14ac:dyDescent="0.25">
      <c r="A132">
        <v>39.927999999999997</v>
      </c>
      <c r="B132">
        <v>11637.8</v>
      </c>
      <c r="D132">
        <f t="shared" si="6"/>
        <v>1551574.7715999999</v>
      </c>
      <c r="E132">
        <f t="shared" si="7"/>
        <v>313.07799999999997</v>
      </c>
      <c r="F132" t="s">
        <v>15</v>
      </c>
      <c r="G132" t="s">
        <v>15</v>
      </c>
    </row>
    <row r="133" spans="1:7" x14ac:dyDescent="0.25">
      <c r="A133">
        <v>39.927999999999997</v>
      </c>
      <c r="B133">
        <v>11636.6</v>
      </c>
      <c r="D133">
        <f t="shared" si="6"/>
        <v>1551414.7852</v>
      </c>
      <c r="E133">
        <f t="shared" si="7"/>
        <v>313.07799999999997</v>
      </c>
      <c r="F133" t="s">
        <v>15</v>
      </c>
      <c r="G133" t="s">
        <v>15</v>
      </c>
    </row>
    <row r="134" spans="1:7" x14ac:dyDescent="0.25">
      <c r="A134">
        <v>39.994999999999997</v>
      </c>
      <c r="B134">
        <v>11661.5</v>
      </c>
      <c r="D134">
        <f t="shared" si="6"/>
        <v>1554734.503</v>
      </c>
      <c r="E134">
        <f t="shared" si="7"/>
        <v>313.14499999999998</v>
      </c>
      <c r="F134" t="s">
        <v>15</v>
      </c>
      <c r="G134" t="s">
        <v>15</v>
      </c>
    </row>
    <row r="135" spans="1:7" x14ac:dyDescent="0.25">
      <c r="A135">
        <v>44.918999999999997</v>
      </c>
      <c r="B135">
        <v>13332.7</v>
      </c>
      <c r="D135">
        <f t="shared" si="6"/>
        <v>1777542.2294000001</v>
      </c>
      <c r="E135">
        <f t="shared" si="7"/>
        <v>318.06899999999996</v>
      </c>
      <c r="F135" t="s">
        <v>15</v>
      </c>
      <c r="G135" t="s">
        <v>15</v>
      </c>
    </row>
    <row r="136" spans="1:7" x14ac:dyDescent="0.25">
      <c r="A136">
        <v>44.965000000000003</v>
      </c>
      <c r="B136">
        <v>13348.7</v>
      </c>
      <c r="D136">
        <f t="shared" si="6"/>
        <v>1779675.3814000001</v>
      </c>
      <c r="E136">
        <f t="shared" si="7"/>
        <v>318.11500000000001</v>
      </c>
      <c r="F136" t="s">
        <v>15</v>
      </c>
      <c r="G136" t="s">
        <v>15</v>
      </c>
    </row>
    <row r="137" spans="1:7" x14ac:dyDescent="0.25">
      <c r="A137">
        <v>45.070999999999998</v>
      </c>
      <c r="B137">
        <v>13388.9</v>
      </c>
      <c r="D137">
        <f t="shared" si="6"/>
        <v>1785034.9258000001</v>
      </c>
      <c r="E137">
        <f t="shared" si="7"/>
        <v>318.221</v>
      </c>
      <c r="F137" t="s">
        <v>15</v>
      </c>
      <c r="G137" t="s">
        <v>15</v>
      </c>
    </row>
    <row r="138" spans="1:7" x14ac:dyDescent="0.25">
      <c r="A138">
        <v>50.036000000000001</v>
      </c>
      <c r="B138">
        <v>15262.3</v>
      </c>
      <c r="D138">
        <f t="shared" si="6"/>
        <v>2034800.3606</v>
      </c>
      <c r="E138">
        <f t="shared" si="7"/>
        <v>323.18599999999998</v>
      </c>
      <c r="F138" t="s">
        <v>15</v>
      </c>
      <c r="G138" t="s">
        <v>15</v>
      </c>
    </row>
    <row r="139" spans="1:7" x14ac:dyDescent="0.25">
      <c r="A139">
        <v>50.082999999999998</v>
      </c>
      <c r="B139">
        <v>15274.1</v>
      </c>
      <c r="D139">
        <f t="shared" si="6"/>
        <v>2036373.5602000002</v>
      </c>
      <c r="E139">
        <f t="shared" si="7"/>
        <v>323.23299999999995</v>
      </c>
      <c r="F139" t="s">
        <v>15</v>
      </c>
      <c r="G139" t="s">
        <v>15</v>
      </c>
    </row>
    <row r="140" spans="1:7" x14ac:dyDescent="0.25">
      <c r="A140">
        <v>50.116999999999997</v>
      </c>
      <c r="B140">
        <v>15293</v>
      </c>
      <c r="D140">
        <f t="shared" si="6"/>
        <v>2038893.3460000001</v>
      </c>
      <c r="E140">
        <f t="shared" si="7"/>
        <v>323.267</v>
      </c>
      <c r="F140" t="s">
        <v>15</v>
      </c>
      <c r="G140" t="s">
        <v>15</v>
      </c>
    </row>
    <row r="141" spans="1:7" x14ac:dyDescent="0.25">
      <c r="A141">
        <v>55.003999999999998</v>
      </c>
      <c r="B141">
        <v>17327</v>
      </c>
      <c r="D141">
        <f t="shared" si="6"/>
        <v>2310070.2940000002</v>
      </c>
      <c r="E141">
        <f t="shared" si="7"/>
        <v>328.154</v>
      </c>
      <c r="F141" t="s">
        <v>15</v>
      </c>
      <c r="G141" t="s">
        <v>15</v>
      </c>
    </row>
    <row r="142" spans="1:7" x14ac:dyDescent="0.25">
      <c r="A142">
        <v>60.057000000000002</v>
      </c>
      <c r="B142">
        <v>19632.099999999999</v>
      </c>
      <c r="D142">
        <f t="shared" si="6"/>
        <v>2617390.8361999998</v>
      </c>
      <c r="E142">
        <f t="shared" si="7"/>
        <v>333.20699999999999</v>
      </c>
      <c r="F142" t="s">
        <v>15</v>
      </c>
      <c r="G142" t="s">
        <v>15</v>
      </c>
    </row>
    <row r="143" spans="1:7" x14ac:dyDescent="0.25">
      <c r="A143">
        <v>60.061999999999998</v>
      </c>
      <c r="B143">
        <v>19635.599999999999</v>
      </c>
      <c r="D143">
        <f t="shared" si="6"/>
        <v>2617857.4631999996</v>
      </c>
      <c r="E143">
        <f t="shared" si="7"/>
        <v>333.21199999999999</v>
      </c>
      <c r="F143" t="s">
        <v>15</v>
      </c>
      <c r="G143" t="s">
        <v>15</v>
      </c>
    </row>
    <row r="144" spans="1:7" x14ac:dyDescent="0.25">
      <c r="A144">
        <v>60.061999999999998</v>
      </c>
      <c r="B144">
        <v>19639.099999999999</v>
      </c>
      <c r="D144">
        <f t="shared" si="6"/>
        <v>2618324.0902</v>
      </c>
      <c r="E144">
        <f t="shared" si="7"/>
        <v>333.21199999999999</v>
      </c>
      <c r="F144" t="s">
        <v>15</v>
      </c>
      <c r="G144" t="s">
        <v>15</v>
      </c>
    </row>
    <row r="145" spans="1:7" x14ac:dyDescent="0.25">
      <c r="A145">
        <v>60.06</v>
      </c>
      <c r="B145">
        <v>19632.400000000001</v>
      </c>
      <c r="D145">
        <f t="shared" si="6"/>
        <v>2617430.8328000004</v>
      </c>
      <c r="E145">
        <f t="shared" si="7"/>
        <v>333.21</v>
      </c>
      <c r="F145" t="s">
        <v>15</v>
      </c>
      <c r="G145" t="s">
        <v>15</v>
      </c>
    </row>
    <row r="146" spans="1:7" x14ac:dyDescent="0.25">
      <c r="A146">
        <v>60.066000000000003</v>
      </c>
      <c r="B146">
        <v>19638.099999999999</v>
      </c>
      <c r="D146">
        <f t="shared" si="6"/>
        <v>2618190.7681999998</v>
      </c>
      <c r="E146">
        <f t="shared" si="7"/>
        <v>333.21600000000001</v>
      </c>
      <c r="F146" t="s">
        <v>15</v>
      </c>
      <c r="G146" t="s">
        <v>15</v>
      </c>
    </row>
    <row r="147" spans="1:7" x14ac:dyDescent="0.25">
      <c r="A147">
        <v>65.051000000000002</v>
      </c>
      <c r="B147">
        <v>22136.7</v>
      </c>
      <c r="D147">
        <f t="shared" si="6"/>
        <v>2951309.1174000003</v>
      </c>
      <c r="E147">
        <f t="shared" si="7"/>
        <v>338.20099999999996</v>
      </c>
      <c r="F147" t="s">
        <v>15</v>
      </c>
      <c r="G147" t="s">
        <v>15</v>
      </c>
    </row>
    <row r="148" spans="1:7" x14ac:dyDescent="0.25">
      <c r="A148">
        <v>65.058999999999997</v>
      </c>
      <c r="B148">
        <v>22139.599999999999</v>
      </c>
      <c r="D148">
        <f t="shared" si="6"/>
        <v>2951695.7511999998</v>
      </c>
      <c r="E148">
        <f t="shared" si="7"/>
        <v>338.20899999999995</v>
      </c>
      <c r="F148" t="s">
        <v>15</v>
      </c>
      <c r="G148" t="s">
        <v>15</v>
      </c>
    </row>
    <row r="149" spans="1:7" x14ac:dyDescent="0.25">
      <c r="A149">
        <v>65.063000000000002</v>
      </c>
      <c r="B149">
        <v>22140.1</v>
      </c>
      <c r="D149">
        <f t="shared" si="6"/>
        <v>2951762.4121999997</v>
      </c>
      <c r="E149">
        <f t="shared" si="7"/>
        <v>338.21299999999997</v>
      </c>
      <c r="F149" t="s">
        <v>15</v>
      </c>
      <c r="G149" t="s">
        <v>15</v>
      </c>
    </row>
    <row r="150" spans="1:7" x14ac:dyDescent="0.25">
      <c r="A150">
        <v>70.010999999999996</v>
      </c>
      <c r="B150">
        <v>24843.5</v>
      </c>
      <c r="D150">
        <f t="shared" si="6"/>
        <v>3312185.1069999998</v>
      </c>
      <c r="E150">
        <f t="shared" si="7"/>
        <v>343.16099999999994</v>
      </c>
      <c r="F150" t="s">
        <v>15</v>
      </c>
      <c r="G150" t="s">
        <v>15</v>
      </c>
    </row>
    <row r="151" spans="1:7" x14ac:dyDescent="0.25">
      <c r="A151">
        <v>70.010999999999996</v>
      </c>
      <c r="B151">
        <v>24842.6</v>
      </c>
      <c r="D151">
        <f t="shared" si="6"/>
        <v>3312065.1171999997</v>
      </c>
      <c r="E151">
        <f t="shared" si="7"/>
        <v>343.16099999999994</v>
      </c>
      <c r="F151" t="s">
        <v>15</v>
      </c>
      <c r="G1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0357</vt:lpstr>
      <vt:lpstr>0358</vt:lpstr>
      <vt:lpstr>0359</vt:lpstr>
      <vt:lpstr>0376</vt:lpstr>
      <vt:lpstr>0385</vt:lpstr>
      <vt:lpstr>0386</vt:lpstr>
      <vt:lpstr>0388</vt:lpstr>
      <vt:lpstr>0389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Nunes, Catarina</dc:creator>
  <cp:lastModifiedBy>Duarte Nunes, Catarina</cp:lastModifiedBy>
  <dcterms:created xsi:type="dcterms:W3CDTF">2015-06-05T18:17:20Z</dcterms:created>
  <dcterms:modified xsi:type="dcterms:W3CDTF">2024-10-08T09:07:21Z</dcterms:modified>
</cp:coreProperties>
</file>